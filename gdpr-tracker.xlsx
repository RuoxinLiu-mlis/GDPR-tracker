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at\AppData\Local\Temp\claude\D--d--------claude-sessions\d60abab0-e3eb-4278-b09d-f11742847f7b\scratchpad\build\v3\"/>
    </mc:Choice>
  </mc:AlternateContent>
  <xr:revisionPtr revIDLastSave="0" documentId="8_{E473A394-1E04-4EAD-B8F5-C4A7324DC462}" xr6:coauthVersionLast="47" xr6:coauthVersionMax="47" xr10:uidLastSave="{00000000-0000-0000-0000-000000000000}"/>
  <bookViews>
    <workbookView xWindow="-98" yWindow="-98" windowWidth="21795" windowHeight="13096" xr2:uid="{819B9909-B540-459B-ADB9-26E0051B7E31}"/>
  </bookViews>
  <sheets>
    <sheet name="ReadMe" sheetId="1" r:id="rId1"/>
    <sheet name="Lists" sheetId="2" r:id="rId2"/>
    <sheet name="DSR_Register" sheetId="3" r:id="rId3"/>
    <sheet name="Incident_Log" sheetId="4" r:id="rId4"/>
    <sheet name="DPIA_Register" sheetId="5" r:id="rId5"/>
    <sheet name="Live_Alerts" sheetId="6" r:id="rId6"/>
    <sheet name="Monthly_Report" sheetId="7" r:id="rId7"/>
    <sheet name="Benchmark" sheetId="8" r:id="rId8"/>
    <sheet name="ICO_Retail_2024_25" sheetId="9" r:id="rId9"/>
  </sheets>
  <definedNames>
    <definedName name="_xlnm._FilterDatabase" localSheetId="4" hidden="1">DPIA_Register!$A$1:$AC$1</definedName>
    <definedName name="_xlnm._FilterDatabase" localSheetId="2" hidden="1">DSR_Register!$A$1:$AF$1</definedName>
    <definedName name="_xlnm._FilterDatabase" localSheetId="8" hidden="1">ICO_Retail_2024_25!$A$1:$K$1</definedName>
    <definedName name="_xlnm._FilterDatabase" localSheetId="3" hidden="1">Incident_Log!$A$1:$X$1</definedName>
    <definedName name="AckDays">Lists!$B$4</definedName>
    <definedName name="AmberDays">Lists!$B$6</definedName>
    <definedName name="HighScore">Lists!$B$9</definedName>
    <definedName name="Holidays">tblHolidays[Holiday_Date]</definedName>
    <definedName name="IDPromptDays">Lists!$B$5</definedName>
    <definedName name="InternalDays">Lists!$B$3</definedName>
    <definedName name="L_ActionStatus">Lists!$U$2:$U$4</definedName>
    <definedName name="L_Approver">Lists!$AF$2:$AF$4</definedName>
    <definedName name="L_Area">Lists!$N$2:$N$7</definedName>
    <definedName name="L_Channel">Lists!$L$2:$L$6</definedName>
    <definedName name="L_Consult">Lists!$AE$2:$AE$5</definedName>
    <definedName name="L_DSRStatus">Lists!$O$2:$O$6</definedName>
    <definedName name="L_IncCat">Lists!$S$2:$S$3</definedName>
    <definedName name="L_IncStatus">Lists!$AG$2:$AG$3</definedName>
    <definedName name="L_IncType">Lists!$X$2:$X$15</definedName>
    <definedName name="L_Owner">Lists!$P$2:$P$7</definedName>
    <definedName name="L_ReqType">Lists!$H$2:$H$10</definedName>
    <definedName name="L_Requester">Lists!$M$2:$M$6</definedName>
    <definedName name="L_Risk">Lists!$R$2:$R$5</definedName>
    <definedName name="L_Score">Lists!$V$2:$V$6</definedName>
    <definedName name="L_SubjType">Lists!$T$2:$T$3</definedName>
    <definedName name="L_YesNo">Lists!$Q$2:$Q$3</definedName>
    <definedName name="MediumScore">Lists!$B$10</definedName>
    <definedName name="NotifyHours">Lists!$B$8</definedName>
    <definedName name="RedDays">Lists!$B$7</definedName>
    <definedName name="ReportDate">Lists!$B$2</definedName>
    <definedName name="ReqTypes">Lists!$H$2:$J$10</definedName>
    <definedName name="ReviewMonths">Lists!$B$11</definedName>
    <definedName name="SubjectBands">Lists!$Z$2:$AA$7</definedName>
    <definedName name="TimeBands">Lists!$AB$2:$AC$5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5" i="8" l="1"/>
  <c r="C55" i="8" s="1"/>
  <c r="B54" i="8"/>
  <c r="C54" i="8" s="1"/>
  <c r="B53" i="8"/>
  <c r="C53" i="8" s="1"/>
  <c r="B52" i="8"/>
  <c r="C52" i="8" s="1"/>
  <c r="B47" i="8"/>
  <c r="C47" i="8" s="1"/>
  <c r="B46" i="8"/>
  <c r="C46" i="8" s="1"/>
  <c r="C45" i="8"/>
  <c r="B45" i="8"/>
  <c r="B44" i="8"/>
  <c r="C44" i="8" s="1"/>
  <c r="B43" i="8"/>
  <c r="C43" i="8" s="1"/>
  <c r="B42" i="8"/>
  <c r="C42" i="8" s="1"/>
  <c r="B41" i="8"/>
  <c r="B48" i="8" s="1"/>
  <c r="D36" i="8"/>
  <c r="E36" i="8" s="1"/>
  <c r="B36" i="8"/>
  <c r="C36" i="8" s="1"/>
  <c r="D35" i="8"/>
  <c r="E35" i="8" s="1"/>
  <c r="B35" i="8"/>
  <c r="C35" i="8" s="1"/>
  <c r="D34" i="8"/>
  <c r="E34" i="8" s="1"/>
  <c r="B34" i="8"/>
  <c r="C34" i="8" s="1"/>
  <c r="D33" i="8"/>
  <c r="E33" i="8" s="1"/>
  <c r="B33" i="8"/>
  <c r="C33" i="8" s="1"/>
  <c r="D32" i="8"/>
  <c r="E32" i="8" s="1"/>
  <c r="B32" i="8"/>
  <c r="C32" i="8" s="1"/>
  <c r="D31" i="8"/>
  <c r="E31" i="8" s="1"/>
  <c r="B31" i="8"/>
  <c r="C31" i="8" s="1"/>
  <c r="D30" i="8"/>
  <c r="E30" i="8" s="1"/>
  <c r="B30" i="8"/>
  <c r="C30" i="8" s="1"/>
  <c r="D29" i="8"/>
  <c r="E29" i="8" s="1"/>
  <c r="B29" i="8"/>
  <c r="C29" i="8" s="1"/>
  <c r="D28" i="8"/>
  <c r="E28" i="8" s="1"/>
  <c r="B28" i="8"/>
  <c r="C28" i="8" s="1"/>
  <c r="D27" i="8"/>
  <c r="E27" i="8" s="1"/>
  <c r="B27" i="8"/>
  <c r="C27" i="8" s="1"/>
  <c r="D26" i="8"/>
  <c r="E26" i="8" s="1"/>
  <c r="B26" i="8"/>
  <c r="C26" i="8" s="1"/>
  <c r="E25" i="8"/>
  <c r="D25" i="8"/>
  <c r="B25" i="8"/>
  <c r="C25" i="8" s="1"/>
  <c r="D24" i="8"/>
  <c r="E24" i="8" s="1"/>
  <c r="B24" i="8"/>
  <c r="C24" i="8" s="1"/>
  <c r="D23" i="8"/>
  <c r="E23" i="8" s="1"/>
  <c r="B23" i="8"/>
  <c r="C23" i="8" s="1"/>
  <c r="D22" i="8"/>
  <c r="E22" i="8" s="1"/>
  <c r="B22" i="8"/>
  <c r="C22" i="8" s="1"/>
  <c r="E21" i="8"/>
  <c r="D21" i="8"/>
  <c r="B21" i="8"/>
  <c r="C21" i="8" s="1"/>
  <c r="D20" i="8"/>
  <c r="E20" i="8" s="1"/>
  <c r="B20" i="8"/>
  <c r="C20" i="8" s="1"/>
  <c r="D19" i="8"/>
  <c r="E19" i="8" s="1"/>
  <c r="B19" i="8"/>
  <c r="C19" i="8" s="1"/>
  <c r="D18" i="8"/>
  <c r="E18" i="8" s="1"/>
  <c r="B18" i="8"/>
  <c r="C18" i="8" s="1"/>
  <c r="E17" i="8"/>
  <c r="D17" i="8"/>
  <c r="B17" i="8"/>
  <c r="C17" i="8" s="1"/>
  <c r="D16" i="8"/>
  <c r="B16" i="8"/>
  <c r="D9" i="8"/>
  <c r="D8" i="8"/>
  <c r="D7" i="8"/>
  <c r="D6" i="8"/>
  <c r="F28" i="7"/>
  <c r="E28" i="7"/>
  <c r="D28" i="7"/>
  <c r="E27" i="7"/>
  <c r="D27" i="7"/>
  <c r="F27" i="7" s="1"/>
  <c r="D26" i="7"/>
  <c r="F26" i="7" s="1"/>
  <c r="E25" i="7"/>
  <c r="D25" i="7"/>
  <c r="F25" i="7" s="1"/>
  <c r="F24" i="7"/>
  <c r="D24" i="7"/>
  <c r="E23" i="7"/>
  <c r="D23" i="7"/>
  <c r="F23" i="7" s="1"/>
  <c r="F17" i="7"/>
  <c r="F16" i="7"/>
  <c r="E16" i="7"/>
  <c r="F15" i="7"/>
  <c r="F13" i="7"/>
  <c r="F12" i="7"/>
  <c r="F11" i="7"/>
  <c r="F10" i="7"/>
  <c r="F9" i="7"/>
  <c r="B38" i="7"/>
  <c r="B35" i="7"/>
  <c r="B32" i="7"/>
  <c r="B20" i="7"/>
  <c r="B14" i="7"/>
  <c r="B8" i="7"/>
  <c r="B5" i="7"/>
  <c r="B4" i="7"/>
  <c r="F14" i="7" s="1"/>
  <c r="H56" i="6"/>
  <c r="H58" i="6"/>
  <c r="H60" i="6"/>
  <c r="H62" i="6"/>
  <c r="G57" i="6"/>
  <c r="G58" i="6"/>
  <c r="G61" i="6"/>
  <c r="F53" i="6"/>
  <c r="F61" i="6"/>
  <c r="E54" i="6"/>
  <c r="E57" i="6"/>
  <c r="E59" i="6"/>
  <c r="D53" i="6"/>
  <c r="D57" i="6"/>
  <c r="D60" i="6"/>
  <c r="D61" i="6"/>
  <c r="C57" i="6"/>
  <c r="B53" i="6"/>
  <c r="B56" i="6"/>
  <c r="B57" i="6"/>
  <c r="B61" i="6"/>
  <c r="A53" i="6"/>
  <c r="A57" i="6"/>
  <c r="A59" i="6"/>
  <c r="A61" i="6"/>
  <c r="A62" i="6"/>
  <c r="J53" i="6"/>
  <c r="C53" i="6" s="1"/>
  <c r="J54" i="6"/>
  <c r="C54" i="6" s="1"/>
  <c r="J55" i="6"/>
  <c r="B55" i="6" s="1"/>
  <c r="J56" i="6"/>
  <c r="E56" i="6" s="1"/>
  <c r="J57" i="6"/>
  <c r="H57" i="6" s="1"/>
  <c r="J58" i="6"/>
  <c r="B58" i="6" s="1"/>
  <c r="J59" i="6"/>
  <c r="F59" i="6" s="1"/>
  <c r="J60" i="6"/>
  <c r="G60" i="6" s="1"/>
  <c r="J61" i="6"/>
  <c r="H61" i="6" s="1"/>
  <c r="J62" i="6"/>
  <c r="D62" i="6" s="1"/>
  <c r="B2" i="6"/>
  <c r="AC8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5" i="5"/>
  <c r="AC36" i="5"/>
  <c r="AC37" i="5"/>
  <c r="AC38" i="5"/>
  <c r="AC39" i="5"/>
  <c r="AC40" i="5"/>
  <c r="AC41" i="5"/>
  <c r="AC42" i="5"/>
  <c r="AC43" i="5"/>
  <c r="AC44" i="5"/>
  <c r="AC45" i="5"/>
  <c r="AC46" i="5"/>
  <c r="AC47" i="5"/>
  <c r="AC48" i="5"/>
  <c r="AC49" i="5"/>
  <c r="AC50" i="5"/>
  <c r="AC51" i="5"/>
  <c r="AB2" i="5"/>
  <c r="AB3" i="5"/>
  <c r="AB4" i="5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AB51" i="5"/>
  <c r="V3" i="5"/>
  <c r="AC3" i="5" s="1"/>
  <c r="V9" i="5"/>
  <c r="V12" i="5"/>
  <c r="V14" i="5"/>
  <c r="V19" i="5"/>
  <c r="V20" i="5"/>
  <c r="V22" i="5"/>
  <c r="V25" i="5"/>
  <c r="V30" i="5"/>
  <c r="V32" i="5"/>
  <c r="V35" i="5"/>
  <c r="V41" i="5"/>
  <c r="V48" i="5"/>
  <c r="V50" i="5"/>
  <c r="V51" i="5"/>
  <c r="U3" i="5"/>
  <c r="U4" i="5"/>
  <c r="V4" i="5" s="1"/>
  <c r="U7" i="5"/>
  <c r="V7" i="5" s="1"/>
  <c r="U9" i="5"/>
  <c r="U10" i="5"/>
  <c r="V10" i="5" s="1"/>
  <c r="U12" i="5"/>
  <c r="U13" i="5"/>
  <c r="V13" i="5" s="1"/>
  <c r="U14" i="5"/>
  <c r="U16" i="5"/>
  <c r="V16" i="5" s="1"/>
  <c r="U17" i="5"/>
  <c r="V17" i="5" s="1"/>
  <c r="U18" i="5"/>
  <c r="V18" i="5" s="1"/>
  <c r="U19" i="5"/>
  <c r="U20" i="5"/>
  <c r="U23" i="5"/>
  <c r="V23" i="5" s="1"/>
  <c r="U24" i="5"/>
  <c r="V24" i="5" s="1"/>
  <c r="U25" i="5"/>
  <c r="U29" i="5"/>
  <c r="V29" i="5" s="1"/>
  <c r="U30" i="5"/>
  <c r="U32" i="5"/>
  <c r="U33" i="5"/>
  <c r="V33" i="5" s="1"/>
  <c r="U34" i="5"/>
  <c r="V34" i="5" s="1"/>
  <c r="U35" i="5"/>
  <c r="U39" i="5"/>
  <c r="V39" i="5" s="1"/>
  <c r="U41" i="5"/>
  <c r="U44" i="5"/>
  <c r="V44" i="5" s="1"/>
  <c r="U45" i="5"/>
  <c r="V45" i="5" s="1"/>
  <c r="U49" i="5"/>
  <c r="V49" i="5" s="1"/>
  <c r="U50" i="5"/>
  <c r="U51" i="5"/>
  <c r="T2" i="5"/>
  <c r="U2" i="5" s="1"/>
  <c r="V2" i="5" s="1"/>
  <c r="T3" i="5"/>
  <c r="T4" i="5"/>
  <c r="T5" i="5"/>
  <c r="T6" i="5"/>
  <c r="T7" i="5"/>
  <c r="AC7" i="5" s="1"/>
  <c r="T8" i="5"/>
  <c r="U8" i="5" s="1"/>
  <c r="V8" i="5" s="1"/>
  <c r="T9" i="5"/>
  <c r="T10" i="5"/>
  <c r="T11" i="5"/>
  <c r="U11" i="5" s="1"/>
  <c r="V11" i="5" s="1"/>
  <c r="T12" i="5"/>
  <c r="T13" i="5"/>
  <c r="T14" i="5"/>
  <c r="T15" i="5"/>
  <c r="U15" i="5" s="1"/>
  <c r="V15" i="5" s="1"/>
  <c r="T16" i="5"/>
  <c r="T17" i="5"/>
  <c r="T18" i="5"/>
  <c r="T19" i="5"/>
  <c r="T20" i="5"/>
  <c r="T21" i="5"/>
  <c r="U21" i="5" s="1"/>
  <c r="V21" i="5" s="1"/>
  <c r="T22" i="5"/>
  <c r="U22" i="5" s="1"/>
  <c r="T23" i="5"/>
  <c r="T24" i="5"/>
  <c r="T25" i="5"/>
  <c r="T26" i="5"/>
  <c r="U26" i="5" s="1"/>
  <c r="V26" i="5" s="1"/>
  <c r="T27" i="5"/>
  <c r="U27" i="5" s="1"/>
  <c r="V27" i="5" s="1"/>
  <c r="T28" i="5"/>
  <c r="U28" i="5" s="1"/>
  <c r="V28" i="5" s="1"/>
  <c r="T29" i="5"/>
  <c r="T30" i="5"/>
  <c r="T31" i="5"/>
  <c r="U31" i="5" s="1"/>
  <c r="V31" i="5" s="1"/>
  <c r="T32" i="5"/>
  <c r="T33" i="5"/>
  <c r="T34" i="5"/>
  <c r="T35" i="5"/>
  <c r="T36" i="5"/>
  <c r="U36" i="5" s="1"/>
  <c r="V36" i="5" s="1"/>
  <c r="T37" i="5"/>
  <c r="U37" i="5" s="1"/>
  <c r="V37" i="5" s="1"/>
  <c r="T38" i="5"/>
  <c r="U38" i="5" s="1"/>
  <c r="V38" i="5" s="1"/>
  <c r="T39" i="5"/>
  <c r="T40" i="5"/>
  <c r="U40" i="5" s="1"/>
  <c r="V40" i="5" s="1"/>
  <c r="T41" i="5"/>
  <c r="T42" i="5"/>
  <c r="U42" i="5" s="1"/>
  <c r="V42" i="5" s="1"/>
  <c r="T43" i="5"/>
  <c r="U43" i="5" s="1"/>
  <c r="V43" i="5" s="1"/>
  <c r="T44" i="5"/>
  <c r="T45" i="5"/>
  <c r="T46" i="5"/>
  <c r="U46" i="5" s="1"/>
  <c r="V46" i="5" s="1"/>
  <c r="T47" i="5"/>
  <c r="U47" i="5" s="1"/>
  <c r="V47" i="5" s="1"/>
  <c r="T48" i="5"/>
  <c r="U48" i="5" s="1"/>
  <c r="T49" i="5"/>
  <c r="T50" i="5"/>
  <c r="T51" i="5"/>
  <c r="Q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L3" i="5"/>
  <c r="L4" i="5"/>
  <c r="L7" i="5"/>
  <c r="L8" i="5"/>
  <c r="L11" i="5"/>
  <c r="L12" i="5"/>
  <c r="L13" i="5"/>
  <c r="L14" i="5"/>
  <c r="L16" i="5"/>
  <c r="L17" i="5"/>
  <c r="L19" i="5"/>
  <c r="L20" i="5"/>
  <c r="L22" i="5"/>
  <c r="L23" i="5"/>
  <c r="L24" i="5"/>
  <c r="L27" i="5"/>
  <c r="L28" i="5"/>
  <c r="L29" i="5"/>
  <c r="L32" i="5"/>
  <c r="L33" i="5"/>
  <c r="L35" i="5"/>
  <c r="L39" i="5"/>
  <c r="L40" i="5"/>
  <c r="L43" i="5"/>
  <c r="L44" i="5"/>
  <c r="L45" i="5"/>
  <c r="L48" i="5"/>
  <c r="L49" i="5"/>
  <c r="L51" i="5"/>
  <c r="K2" i="5"/>
  <c r="L2" i="5" s="1"/>
  <c r="K3" i="5"/>
  <c r="K4" i="5"/>
  <c r="K5" i="5"/>
  <c r="L5" i="5" s="1"/>
  <c r="K6" i="5"/>
  <c r="L6" i="5" s="1"/>
  <c r="K7" i="5"/>
  <c r="K8" i="5"/>
  <c r="K9" i="5"/>
  <c r="L9" i="5" s="1"/>
  <c r="K10" i="5"/>
  <c r="L10" i="5" s="1"/>
  <c r="K11" i="5"/>
  <c r="K12" i="5"/>
  <c r="K13" i="5"/>
  <c r="K14" i="5"/>
  <c r="K15" i="5"/>
  <c r="L15" i="5" s="1"/>
  <c r="K16" i="5"/>
  <c r="K17" i="5"/>
  <c r="K18" i="5"/>
  <c r="L18" i="5" s="1"/>
  <c r="K19" i="5"/>
  <c r="K20" i="5"/>
  <c r="K21" i="5"/>
  <c r="L21" i="5" s="1"/>
  <c r="K22" i="5"/>
  <c r="K23" i="5"/>
  <c r="K24" i="5"/>
  <c r="K25" i="5"/>
  <c r="L25" i="5" s="1"/>
  <c r="K26" i="5"/>
  <c r="L26" i="5" s="1"/>
  <c r="K27" i="5"/>
  <c r="K28" i="5"/>
  <c r="K29" i="5"/>
  <c r="K30" i="5"/>
  <c r="L30" i="5" s="1"/>
  <c r="K31" i="5"/>
  <c r="L31" i="5" s="1"/>
  <c r="K32" i="5"/>
  <c r="K33" i="5"/>
  <c r="K34" i="5"/>
  <c r="L34" i="5" s="1"/>
  <c r="K35" i="5"/>
  <c r="K36" i="5"/>
  <c r="L36" i="5" s="1"/>
  <c r="K37" i="5"/>
  <c r="L37" i="5" s="1"/>
  <c r="K38" i="5"/>
  <c r="L38" i="5" s="1"/>
  <c r="K39" i="5"/>
  <c r="K40" i="5"/>
  <c r="K41" i="5"/>
  <c r="L41" i="5" s="1"/>
  <c r="K42" i="5"/>
  <c r="L42" i="5" s="1"/>
  <c r="K43" i="5"/>
  <c r="K44" i="5"/>
  <c r="K45" i="5"/>
  <c r="K46" i="5"/>
  <c r="L46" i="5" s="1"/>
  <c r="K47" i="5"/>
  <c r="L47" i="5" s="1"/>
  <c r="K48" i="5"/>
  <c r="K49" i="5"/>
  <c r="K50" i="5"/>
  <c r="L50" i="5" s="1"/>
  <c r="K51" i="5"/>
  <c r="W3" i="4"/>
  <c r="W4" i="4"/>
  <c r="W8" i="4"/>
  <c r="W10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R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Q4" i="4"/>
  <c r="Q12" i="4"/>
  <c r="Q14" i="4"/>
  <c r="Q20" i="4"/>
  <c r="Q21" i="4"/>
  <c r="Q28" i="4"/>
  <c r="Q30" i="4"/>
  <c r="Q32" i="4"/>
  <c r="Q36" i="4"/>
  <c r="Q40" i="4"/>
  <c r="Q48" i="4"/>
  <c r="Q50" i="4"/>
  <c r="Q52" i="4"/>
  <c r="Q56" i="4"/>
  <c r="Q58" i="4"/>
  <c r="Q60" i="4"/>
  <c r="Q62" i="4"/>
  <c r="Q64" i="4"/>
  <c r="Q69" i="4"/>
  <c r="Q76" i="4"/>
  <c r="Q78" i="4"/>
  <c r="Q80" i="4"/>
  <c r="Q84" i="4"/>
  <c r="Q88" i="4"/>
  <c r="Q90" i="4"/>
  <c r="Q92" i="4"/>
  <c r="Q100" i="4"/>
  <c r="P2" i="4"/>
  <c r="P3" i="4"/>
  <c r="P6" i="4"/>
  <c r="P9" i="4"/>
  <c r="P11" i="4"/>
  <c r="P12" i="4"/>
  <c r="P14" i="4"/>
  <c r="P17" i="4"/>
  <c r="P18" i="4"/>
  <c r="P19" i="4"/>
  <c r="P20" i="4"/>
  <c r="P25" i="4"/>
  <c r="P26" i="4"/>
  <c r="P27" i="4"/>
  <c r="P33" i="4"/>
  <c r="P34" i="4"/>
  <c r="P35" i="4"/>
  <c r="P41" i="4"/>
  <c r="P43" i="4"/>
  <c r="P49" i="4"/>
  <c r="P50" i="4"/>
  <c r="P51" i="4"/>
  <c r="P54" i="4"/>
  <c r="P56" i="4"/>
  <c r="P57" i="4"/>
  <c r="P59" i="4"/>
  <c r="P62" i="4"/>
  <c r="P64" i="4"/>
  <c r="P65" i="4"/>
  <c r="P66" i="4"/>
  <c r="P67" i="4"/>
  <c r="P70" i="4"/>
  <c r="P73" i="4"/>
  <c r="P74" i="4"/>
  <c r="P75" i="4"/>
  <c r="P76" i="4"/>
  <c r="P78" i="4"/>
  <c r="P80" i="4"/>
  <c r="P81" i="4"/>
  <c r="P82" i="4"/>
  <c r="P83" i="4"/>
  <c r="P89" i="4"/>
  <c r="P91" i="4"/>
  <c r="P96" i="4"/>
  <c r="P97" i="4"/>
  <c r="P98" i="4"/>
  <c r="P99" i="4"/>
  <c r="O2" i="4"/>
  <c r="O3" i="4"/>
  <c r="O4" i="4"/>
  <c r="P4" i="4" s="1"/>
  <c r="O5" i="4"/>
  <c r="P5" i="4" s="1"/>
  <c r="O6" i="4"/>
  <c r="O7" i="4"/>
  <c r="P7" i="4" s="1"/>
  <c r="O8" i="4"/>
  <c r="P8" i="4" s="1"/>
  <c r="O9" i="4"/>
  <c r="O10" i="4"/>
  <c r="P10" i="4" s="1"/>
  <c r="O11" i="4"/>
  <c r="O12" i="4"/>
  <c r="O13" i="4"/>
  <c r="P13" i="4" s="1"/>
  <c r="O14" i="4"/>
  <c r="O15" i="4"/>
  <c r="P15" i="4" s="1"/>
  <c r="O16" i="4"/>
  <c r="P16" i="4" s="1"/>
  <c r="O17" i="4"/>
  <c r="O18" i="4"/>
  <c r="O19" i="4"/>
  <c r="O20" i="4"/>
  <c r="O21" i="4"/>
  <c r="P21" i="4" s="1"/>
  <c r="O22" i="4"/>
  <c r="P22" i="4" s="1"/>
  <c r="O23" i="4"/>
  <c r="P23" i="4" s="1"/>
  <c r="O24" i="4"/>
  <c r="P24" i="4" s="1"/>
  <c r="O25" i="4"/>
  <c r="O26" i="4"/>
  <c r="O27" i="4"/>
  <c r="O28" i="4"/>
  <c r="P28" i="4" s="1"/>
  <c r="O29" i="4"/>
  <c r="P29" i="4" s="1"/>
  <c r="O30" i="4"/>
  <c r="P30" i="4" s="1"/>
  <c r="O31" i="4"/>
  <c r="P31" i="4" s="1"/>
  <c r="O32" i="4"/>
  <c r="P32" i="4" s="1"/>
  <c r="O33" i="4"/>
  <c r="O34" i="4"/>
  <c r="O35" i="4"/>
  <c r="O36" i="4"/>
  <c r="P36" i="4" s="1"/>
  <c r="O37" i="4"/>
  <c r="P37" i="4" s="1"/>
  <c r="O38" i="4"/>
  <c r="P38" i="4" s="1"/>
  <c r="O39" i="4"/>
  <c r="P39" i="4" s="1"/>
  <c r="O40" i="4"/>
  <c r="P40" i="4" s="1"/>
  <c r="O41" i="4"/>
  <c r="O42" i="4"/>
  <c r="P42" i="4" s="1"/>
  <c r="O43" i="4"/>
  <c r="O44" i="4"/>
  <c r="P44" i="4" s="1"/>
  <c r="O45" i="4"/>
  <c r="P45" i="4" s="1"/>
  <c r="O46" i="4"/>
  <c r="P46" i="4" s="1"/>
  <c r="O47" i="4"/>
  <c r="P47" i="4" s="1"/>
  <c r="O48" i="4"/>
  <c r="P48" i="4" s="1"/>
  <c r="O49" i="4"/>
  <c r="O50" i="4"/>
  <c r="O51" i="4"/>
  <c r="O52" i="4"/>
  <c r="P52" i="4" s="1"/>
  <c r="O53" i="4"/>
  <c r="P53" i="4" s="1"/>
  <c r="O54" i="4"/>
  <c r="O55" i="4"/>
  <c r="P55" i="4" s="1"/>
  <c r="O56" i="4"/>
  <c r="O57" i="4"/>
  <c r="O58" i="4"/>
  <c r="P58" i="4" s="1"/>
  <c r="O59" i="4"/>
  <c r="O60" i="4"/>
  <c r="P60" i="4" s="1"/>
  <c r="O61" i="4"/>
  <c r="P61" i="4" s="1"/>
  <c r="O62" i="4"/>
  <c r="O63" i="4"/>
  <c r="P63" i="4" s="1"/>
  <c r="O64" i="4"/>
  <c r="O65" i="4"/>
  <c r="O66" i="4"/>
  <c r="O67" i="4"/>
  <c r="O68" i="4"/>
  <c r="P68" i="4" s="1"/>
  <c r="O69" i="4"/>
  <c r="P69" i="4" s="1"/>
  <c r="O70" i="4"/>
  <c r="O71" i="4"/>
  <c r="P71" i="4" s="1"/>
  <c r="O72" i="4"/>
  <c r="P72" i="4" s="1"/>
  <c r="O73" i="4"/>
  <c r="O74" i="4"/>
  <c r="O75" i="4"/>
  <c r="O76" i="4"/>
  <c r="O77" i="4"/>
  <c r="P77" i="4" s="1"/>
  <c r="O78" i="4"/>
  <c r="O79" i="4"/>
  <c r="P79" i="4" s="1"/>
  <c r="O80" i="4"/>
  <c r="O81" i="4"/>
  <c r="O82" i="4"/>
  <c r="O83" i="4"/>
  <c r="O84" i="4"/>
  <c r="P84" i="4" s="1"/>
  <c r="O85" i="4"/>
  <c r="P85" i="4" s="1"/>
  <c r="O86" i="4"/>
  <c r="P86" i="4" s="1"/>
  <c r="O87" i="4"/>
  <c r="P87" i="4" s="1"/>
  <c r="O88" i="4"/>
  <c r="P88" i="4" s="1"/>
  <c r="O89" i="4"/>
  <c r="O90" i="4"/>
  <c r="P90" i="4" s="1"/>
  <c r="O91" i="4"/>
  <c r="O92" i="4"/>
  <c r="P92" i="4" s="1"/>
  <c r="O93" i="4"/>
  <c r="P93" i="4" s="1"/>
  <c r="O94" i="4"/>
  <c r="P94" i="4" s="1"/>
  <c r="O95" i="4"/>
  <c r="P95" i="4" s="1"/>
  <c r="O96" i="4"/>
  <c r="O97" i="4"/>
  <c r="O98" i="4"/>
  <c r="O99" i="4"/>
  <c r="O100" i="4"/>
  <c r="P100" i="4" s="1"/>
  <c r="O101" i="4"/>
  <c r="P101" i="4" s="1"/>
  <c r="M3" i="4"/>
  <c r="M4" i="4"/>
  <c r="M8" i="4"/>
  <c r="M9" i="4"/>
  <c r="M11" i="4"/>
  <c r="M12" i="4"/>
  <c r="M14" i="4"/>
  <c r="M17" i="4"/>
  <c r="M19" i="4"/>
  <c r="M20" i="4"/>
  <c r="M22" i="4"/>
  <c r="M25" i="4"/>
  <c r="M26" i="4"/>
  <c r="M27" i="4"/>
  <c r="M28" i="4"/>
  <c r="M33" i="4"/>
  <c r="M35" i="4"/>
  <c r="M36" i="4"/>
  <c r="M41" i="4"/>
  <c r="M42" i="4"/>
  <c r="M43" i="4"/>
  <c r="M48" i="4"/>
  <c r="M49" i="4"/>
  <c r="M50" i="4"/>
  <c r="M51" i="4"/>
  <c r="M52" i="4"/>
  <c r="M56" i="4"/>
  <c r="M57" i="4"/>
  <c r="M59" i="4"/>
  <c r="M64" i="4"/>
  <c r="M65" i="4"/>
  <c r="M67" i="4"/>
  <c r="M68" i="4"/>
  <c r="M72" i="4"/>
  <c r="M73" i="4"/>
  <c r="M75" i="4"/>
  <c r="M76" i="4"/>
  <c r="M78" i="4"/>
  <c r="M80" i="4"/>
  <c r="M81" i="4"/>
  <c r="M83" i="4"/>
  <c r="M84" i="4"/>
  <c r="M89" i="4"/>
  <c r="M90" i="4"/>
  <c r="M91" i="4"/>
  <c r="M92" i="4"/>
  <c r="M97" i="4"/>
  <c r="M98" i="4"/>
  <c r="M99" i="4"/>
  <c r="M100" i="4"/>
  <c r="L2" i="4"/>
  <c r="L3" i="4"/>
  <c r="Q3" i="4" s="1"/>
  <c r="L4" i="4"/>
  <c r="L5" i="4"/>
  <c r="L6" i="4"/>
  <c r="L7" i="4"/>
  <c r="L8" i="4"/>
  <c r="L9" i="4"/>
  <c r="Q9" i="4" s="1"/>
  <c r="L10" i="4"/>
  <c r="L11" i="4"/>
  <c r="Q11" i="4" s="1"/>
  <c r="L12" i="4"/>
  <c r="L13" i="4"/>
  <c r="M13" i="4" s="1"/>
  <c r="L14" i="4"/>
  <c r="L15" i="4"/>
  <c r="M15" i="4" s="1"/>
  <c r="L16" i="4"/>
  <c r="Q16" i="4" s="1"/>
  <c r="L17" i="4"/>
  <c r="Q17" i="4" s="1"/>
  <c r="L18" i="4"/>
  <c r="L19" i="4"/>
  <c r="Q19" i="4" s="1"/>
  <c r="L20" i="4"/>
  <c r="L21" i="4"/>
  <c r="M21" i="4" s="1"/>
  <c r="L22" i="4"/>
  <c r="Q22" i="4" s="1"/>
  <c r="L23" i="4"/>
  <c r="Q23" i="4" s="1"/>
  <c r="L24" i="4"/>
  <c r="M24" i="4" s="1"/>
  <c r="L25" i="4"/>
  <c r="Q25" i="4" s="1"/>
  <c r="L26" i="4"/>
  <c r="Q26" i="4" s="1"/>
  <c r="L27" i="4"/>
  <c r="Q27" i="4" s="1"/>
  <c r="L28" i="4"/>
  <c r="L29" i="4"/>
  <c r="M29" i="4" s="1"/>
  <c r="L30" i="4"/>
  <c r="M30" i="4" s="1"/>
  <c r="L31" i="4"/>
  <c r="M31" i="4" s="1"/>
  <c r="L32" i="4"/>
  <c r="M32" i="4" s="1"/>
  <c r="L33" i="4"/>
  <c r="Q33" i="4" s="1"/>
  <c r="L34" i="4"/>
  <c r="M34" i="4" s="1"/>
  <c r="L35" i="4"/>
  <c r="Q35" i="4" s="1"/>
  <c r="L36" i="4"/>
  <c r="L37" i="4"/>
  <c r="L38" i="4"/>
  <c r="Q38" i="4" s="1"/>
  <c r="L39" i="4"/>
  <c r="Q39" i="4" s="1"/>
  <c r="L40" i="4"/>
  <c r="M40" i="4" s="1"/>
  <c r="L41" i="4"/>
  <c r="Q41" i="4" s="1"/>
  <c r="L42" i="4"/>
  <c r="Q42" i="4" s="1"/>
  <c r="L43" i="4"/>
  <c r="Q43" i="4" s="1"/>
  <c r="L44" i="4"/>
  <c r="Q44" i="4" s="1"/>
  <c r="L45" i="4"/>
  <c r="M45" i="4" s="1"/>
  <c r="L46" i="4"/>
  <c r="L47" i="4"/>
  <c r="M47" i="4" s="1"/>
  <c r="L48" i="4"/>
  <c r="L49" i="4"/>
  <c r="Q49" i="4" s="1"/>
  <c r="L50" i="4"/>
  <c r="L51" i="4"/>
  <c r="Q51" i="4" s="1"/>
  <c r="L52" i="4"/>
  <c r="L53" i="4"/>
  <c r="L54" i="4"/>
  <c r="Q54" i="4" s="1"/>
  <c r="L55" i="4"/>
  <c r="Q55" i="4" s="1"/>
  <c r="L56" i="4"/>
  <c r="L57" i="4"/>
  <c r="Q57" i="4" s="1"/>
  <c r="L58" i="4"/>
  <c r="M58" i="4" s="1"/>
  <c r="L59" i="4"/>
  <c r="Q59" i="4" s="1"/>
  <c r="L60" i="4"/>
  <c r="M60" i="4" s="1"/>
  <c r="L61" i="4"/>
  <c r="M61" i="4" s="1"/>
  <c r="L62" i="4"/>
  <c r="M62" i="4" s="1"/>
  <c r="L63" i="4"/>
  <c r="M63" i="4" s="1"/>
  <c r="L64" i="4"/>
  <c r="L65" i="4"/>
  <c r="Q65" i="4" s="1"/>
  <c r="L66" i="4"/>
  <c r="L67" i="4"/>
  <c r="Q67" i="4" s="1"/>
  <c r="L68" i="4"/>
  <c r="Q68" i="4" s="1"/>
  <c r="L69" i="4"/>
  <c r="M69" i="4" s="1"/>
  <c r="L70" i="4"/>
  <c r="Q70" i="4" s="1"/>
  <c r="L71" i="4"/>
  <c r="Q71" i="4" s="1"/>
  <c r="L72" i="4"/>
  <c r="Q72" i="4" s="1"/>
  <c r="L73" i="4"/>
  <c r="Q73" i="4" s="1"/>
  <c r="L74" i="4"/>
  <c r="L75" i="4"/>
  <c r="Q75" i="4" s="1"/>
  <c r="L76" i="4"/>
  <c r="L77" i="4"/>
  <c r="M77" i="4" s="1"/>
  <c r="L78" i="4"/>
  <c r="L79" i="4"/>
  <c r="M79" i="4" s="1"/>
  <c r="L80" i="4"/>
  <c r="L81" i="4"/>
  <c r="Q81" i="4" s="1"/>
  <c r="L82" i="4"/>
  <c r="L83" i="4"/>
  <c r="Q83" i="4" s="1"/>
  <c r="L84" i="4"/>
  <c r="L85" i="4"/>
  <c r="M85" i="4" s="1"/>
  <c r="L86" i="4"/>
  <c r="M86" i="4" s="1"/>
  <c r="L87" i="4"/>
  <c r="Q87" i="4" s="1"/>
  <c r="L88" i="4"/>
  <c r="M88" i="4" s="1"/>
  <c r="L89" i="4"/>
  <c r="Q89" i="4" s="1"/>
  <c r="L90" i="4"/>
  <c r="L91" i="4"/>
  <c r="Q91" i="4" s="1"/>
  <c r="L92" i="4"/>
  <c r="L93" i="4"/>
  <c r="M93" i="4" s="1"/>
  <c r="L94" i="4"/>
  <c r="L95" i="4"/>
  <c r="M95" i="4" s="1"/>
  <c r="L96" i="4"/>
  <c r="L97" i="4"/>
  <c r="Q97" i="4" s="1"/>
  <c r="L98" i="4"/>
  <c r="Q98" i="4" s="1"/>
  <c r="L99" i="4"/>
  <c r="Q99" i="4" s="1"/>
  <c r="L100" i="4"/>
  <c r="L101" i="4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AF2" i="3"/>
  <c r="AF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66" i="3"/>
  <c r="AF67" i="3"/>
  <c r="AF68" i="3"/>
  <c r="AF69" i="3"/>
  <c r="AF70" i="3"/>
  <c r="AF71" i="3"/>
  <c r="AF72" i="3"/>
  <c r="AF73" i="3"/>
  <c r="AF74" i="3"/>
  <c r="AF75" i="3"/>
  <c r="AF76" i="3"/>
  <c r="AF77" i="3"/>
  <c r="AF78" i="3"/>
  <c r="AF79" i="3"/>
  <c r="AF80" i="3"/>
  <c r="AF81" i="3"/>
  <c r="AF82" i="3"/>
  <c r="AF83" i="3"/>
  <c r="AF84" i="3"/>
  <c r="AF85" i="3"/>
  <c r="AF86" i="3"/>
  <c r="AF87" i="3"/>
  <c r="AF88" i="3"/>
  <c r="AF89" i="3"/>
  <c r="AF90" i="3"/>
  <c r="AF91" i="3"/>
  <c r="AF92" i="3"/>
  <c r="AF93" i="3"/>
  <c r="AF94" i="3"/>
  <c r="AF95" i="3"/>
  <c r="AF96" i="3"/>
  <c r="AF97" i="3"/>
  <c r="AF98" i="3"/>
  <c r="AF99" i="3"/>
  <c r="AF100" i="3"/>
  <c r="AF101" i="3"/>
  <c r="AF102" i="3"/>
  <c r="AF103" i="3"/>
  <c r="AF104" i="3"/>
  <c r="AF105" i="3"/>
  <c r="AF106" i="3"/>
  <c r="AF107" i="3"/>
  <c r="AF108" i="3"/>
  <c r="AF109" i="3"/>
  <c r="AF110" i="3"/>
  <c r="AF111" i="3"/>
  <c r="AF112" i="3"/>
  <c r="AF113" i="3"/>
  <c r="AF114" i="3"/>
  <c r="AF115" i="3"/>
  <c r="AF116" i="3"/>
  <c r="AF117" i="3"/>
  <c r="AF118" i="3"/>
  <c r="AF119" i="3"/>
  <c r="AF120" i="3"/>
  <c r="AF121" i="3"/>
  <c r="AF122" i="3"/>
  <c r="AF123" i="3"/>
  <c r="AF124" i="3"/>
  <c r="AF125" i="3"/>
  <c r="AF126" i="3"/>
  <c r="AF127" i="3"/>
  <c r="AF128" i="3"/>
  <c r="AF129" i="3"/>
  <c r="AF130" i="3"/>
  <c r="AF131" i="3"/>
  <c r="AF132" i="3"/>
  <c r="AF133" i="3"/>
  <c r="AF134" i="3"/>
  <c r="AF135" i="3"/>
  <c r="AF136" i="3"/>
  <c r="AF137" i="3"/>
  <c r="AF138" i="3"/>
  <c r="AF139" i="3"/>
  <c r="AF140" i="3"/>
  <c r="AF141" i="3"/>
  <c r="AF142" i="3"/>
  <c r="AF143" i="3"/>
  <c r="AF144" i="3"/>
  <c r="AF145" i="3"/>
  <c r="AF146" i="3"/>
  <c r="AF147" i="3"/>
  <c r="AF148" i="3"/>
  <c r="AF149" i="3"/>
  <c r="AF150" i="3"/>
  <c r="AF151" i="3"/>
  <c r="AF152" i="3"/>
  <c r="AF153" i="3"/>
  <c r="AF154" i="3"/>
  <c r="AF155" i="3"/>
  <c r="AF156" i="3"/>
  <c r="AF157" i="3"/>
  <c r="AF158" i="3"/>
  <c r="AF159" i="3"/>
  <c r="AF160" i="3"/>
  <c r="AF161" i="3"/>
  <c r="AF162" i="3"/>
  <c r="AF163" i="3"/>
  <c r="AF164" i="3"/>
  <c r="AF165" i="3"/>
  <c r="AF166" i="3"/>
  <c r="AF167" i="3"/>
  <c r="AF168" i="3"/>
  <c r="AF169" i="3"/>
  <c r="AF170" i="3"/>
  <c r="AF171" i="3"/>
  <c r="AF172" i="3"/>
  <c r="AF173" i="3"/>
  <c r="AF174" i="3"/>
  <c r="AF175" i="3"/>
  <c r="AF176" i="3"/>
  <c r="AF177" i="3"/>
  <c r="AF178" i="3"/>
  <c r="AF179" i="3"/>
  <c r="AF180" i="3"/>
  <c r="AF181" i="3"/>
  <c r="AF182" i="3"/>
  <c r="AF183" i="3"/>
  <c r="AF184" i="3"/>
  <c r="AF185" i="3"/>
  <c r="AF186" i="3"/>
  <c r="AF187" i="3"/>
  <c r="AF188" i="3"/>
  <c r="AF189" i="3"/>
  <c r="AF190" i="3"/>
  <c r="AF191" i="3"/>
  <c r="AF192" i="3"/>
  <c r="AF193" i="3"/>
  <c r="AF194" i="3"/>
  <c r="AF195" i="3"/>
  <c r="AF196" i="3"/>
  <c r="AF197" i="3"/>
  <c r="AF198" i="3"/>
  <c r="AF199" i="3"/>
  <c r="AF200" i="3"/>
  <c r="AF201" i="3"/>
  <c r="AC31" i="3"/>
  <c r="AC33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C159" i="3"/>
  <c r="AC160" i="3"/>
  <c r="AC161" i="3"/>
  <c r="AC162" i="3"/>
  <c r="AC163" i="3"/>
  <c r="AC164" i="3"/>
  <c r="AC165" i="3"/>
  <c r="AC166" i="3"/>
  <c r="AC167" i="3"/>
  <c r="AC168" i="3"/>
  <c r="AC169" i="3"/>
  <c r="AC170" i="3"/>
  <c r="AC171" i="3"/>
  <c r="AC172" i="3"/>
  <c r="AC173" i="3"/>
  <c r="AC174" i="3"/>
  <c r="AC175" i="3"/>
  <c r="AC176" i="3"/>
  <c r="AC177" i="3"/>
  <c r="AC178" i="3"/>
  <c r="AC179" i="3"/>
  <c r="AC180" i="3"/>
  <c r="AC181" i="3"/>
  <c r="AC182" i="3"/>
  <c r="AC183" i="3"/>
  <c r="AC184" i="3"/>
  <c r="AC185" i="3"/>
  <c r="AC186" i="3"/>
  <c r="AC187" i="3"/>
  <c r="AC188" i="3"/>
  <c r="AC189" i="3"/>
  <c r="AC190" i="3"/>
  <c r="AC191" i="3"/>
  <c r="AC192" i="3"/>
  <c r="AC193" i="3"/>
  <c r="AC194" i="3"/>
  <c r="AC195" i="3"/>
  <c r="AC196" i="3"/>
  <c r="AC197" i="3"/>
  <c r="AC198" i="3"/>
  <c r="AC199" i="3"/>
  <c r="AC200" i="3"/>
  <c r="AC201" i="3"/>
  <c r="AB39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11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1" i="3"/>
  <c r="AB132" i="3"/>
  <c r="AB133" i="3"/>
  <c r="AB134" i="3"/>
  <c r="AB135" i="3"/>
  <c r="AB136" i="3"/>
  <c r="AB137" i="3"/>
  <c r="AB138" i="3"/>
  <c r="AB139" i="3"/>
  <c r="AB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B159" i="3"/>
  <c r="AB160" i="3"/>
  <c r="AB161" i="3"/>
  <c r="AB162" i="3"/>
  <c r="AB163" i="3"/>
  <c r="AB164" i="3"/>
  <c r="AB165" i="3"/>
  <c r="AB166" i="3"/>
  <c r="AB167" i="3"/>
  <c r="AB168" i="3"/>
  <c r="AB169" i="3"/>
  <c r="AB170" i="3"/>
  <c r="AB171" i="3"/>
  <c r="AB172" i="3"/>
  <c r="AB173" i="3"/>
  <c r="AB174" i="3"/>
  <c r="AB175" i="3"/>
  <c r="AB176" i="3"/>
  <c r="AB177" i="3"/>
  <c r="AB178" i="3"/>
  <c r="AB179" i="3"/>
  <c r="AB180" i="3"/>
  <c r="AB181" i="3"/>
  <c r="AB182" i="3"/>
  <c r="AB183" i="3"/>
  <c r="AB184" i="3"/>
  <c r="AB185" i="3"/>
  <c r="AB186" i="3"/>
  <c r="AB187" i="3"/>
  <c r="AB188" i="3"/>
  <c r="AB189" i="3"/>
  <c r="AB190" i="3"/>
  <c r="AB191" i="3"/>
  <c r="AB192" i="3"/>
  <c r="AB193" i="3"/>
  <c r="AB194" i="3"/>
  <c r="AB195" i="3"/>
  <c r="AB196" i="3"/>
  <c r="AB197" i="3"/>
  <c r="AB198" i="3"/>
  <c r="AB199" i="3"/>
  <c r="AB200" i="3"/>
  <c r="AB201" i="3"/>
  <c r="AA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2" i="3"/>
  <c r="AA34" i="3"/>
  <c r="AA37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Z2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U8" i="3"/>
  <c r="U21" i="3"/>
  <c r="AB21" i="3" s="1"/>
  <c r="U28" i="3"/>
  <c r="AC28" i="3" s="1"/>
  <c r="U37" i="3"/>
  <c r="AB37" i="3" s="1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T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7" i="3"/>
  <c r="T18" i="3"/>
  <c r="T19" i="3"/>
  <c r="T20" i="3"/>
  <c r="U20" i="3" s="1"/>
  <c r="T21" i="3"/>
  <c r="T22" i="3"/>
  <c r="T23" i="3"/>
  <c r="T24" i="3"/>
  <c r="T25" i="3"/>
  <c r="T27" i="3"/>
  <c r="T28" i="3"/>
  <c r="T29" i="3"/>
  <c r="T30" i="3"/>
  <c r="T31" i="3"/>
  <c r="T32" i="3"/>
  <c r="T33" i="3"/>
  <c r="T34" i="3"/>
  <c r="U34" i="3" s="1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Q5" i="3"/>
  <c r="Q6" i="3"/>
  <c r="Q7" i="3"/>
  <c r="Q12" i="3"/>
  <c r="Q14" i="3"/>
  <c r="Q16" i="3"/>
  <c r="Q23" i="3"/>
  <c r="Q28" i="3"/>
  <c r="Q30" i="3"/>
  <c r="Q32" i="3"/>
  <c r="Q34" i="3"/>
  <c r="Q37" i="3"/>
  <c r="Q38" i="3"/>
  <c r="Q39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P8" i="3"/>
  <c r="P10" i="3"/>
  <c r="U10" i="3" s="1"/>
  <c r="P26" i="3"/>
  <c r="P28" i="3"/>
  <c r="P29" i="3"/>
  <c r="P34" i="3"/>
  <c r="P36" i="3"/>
  <c r="U36" i="3" s="1"/>
  <c r="AA36" i="3" s="1"/>
  <c r="AB36" i="3" s="1"/>
  <c r="P40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O2" i="3"/>
  <c r="Q2" i="3" s="1"/>
  <c r="O3" i="3"/>
  <c r="Q3" i="3" s="1"/>
  <c r="O4" i="3"/>
  <c r="Q4" i="3" s="1"/>
  <c r="O5" i="3"/>
  <c r="O6" i="3"/>
  <c r="O7" i="3"/>
  <c r="O8" i="3"/>
  <c r="Q8" i="3" s="1"/>
  <c r="O9" i="3"/>
  <c r="Q9" i="3" s="1"/>
  <c r="O10" i="3"/>
  <c r="Q10" i="3" s="1"/>
  <c r="O11" i="3"/>
  <c r="Q11" i="3" s="1"/>
  <c r="O12" i="3"/>
  <c r="O13" i="3"/>
  <c r="Q13" i="3" s="1"/>
  <c r="O14" i="3"/>
  <c r="O15" i="3"/>
  <c r="Q15" i="3" s="1"/>
  <c r="O16" i="3"/>
  <c r="O17" i="3"/>
  <c r="Q17" i="3" s="1"/>
  <c r="O18" i="3"/>
  <c r="Q18" i="3" s="1"/>
  <c r="O19" i="3"/>
  <c r="Q19" i="3" s="1"/>
  <c r="O20" i="3"/>
  <c r="P20" i="3" s="1"/>
  <c r="O21" i="3"/>
  <c r="Q21" i="3" s="1"/>
  <c r="O22" i="3"/>
  <c r="Q22" i="3" s="1"/>
  <c r="O23" i="3"/>
  <c r="O24" i="3"/>
  <c r="Q24" i="3" s="1"/>
  <c r="O25" i="3"/>
  <c r="Q25" i="3" s="1"/>
  <c r="O26" i="3"/>
  <c r="Q26" i="3" s="1"/>
  <c r="O27" i="3"/>
  <c r="Q27" i="3" s="1"/>
  <c r="O28" i="3"/>
  <c r="O29" i="3"/>
  <c r="Q29" i="3" s="1"/>
  <c r="O30" i="3"/>
  <c r="P30" i="3" s="1"/>
  <c r="O31" i="3"/>
  <c r="Q31" i="3" s="1"/>
  <c r="O32" i="3"/>
  <c r="O33" i="3"/>
  <c r="Q33" i="3" s="1"/>
  <c r="O34" i="3"/>
  <c r="O35" i="3"/>
  <c r="Q35" i="3" s="1"/>
  <c r="O36" i="3"/>
  <c r="Q36" i="3" s="1"/>
  <c r="O37" i="3"/>
  <c r="O38" i="3"/>
  <c r="O39" i="3"/>
  <c r="O40" i="3"/>
  <c r="Q40" i="3" s="1"/>
  <c r="U40" i="3" s="1"/>
  <c r="AA40" i="3" s="1"/>
  <c r="AB40" i="3" s="1"/>
  <c r="O41" i="3"/>
  <c r="Q41" i="3" s="1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F2" i="3"/>
  <c r="F3" i="3"/>
  <c r="P3" i="3" s="1"/>
  <c r="F4" i="3"/>
  <c r="F5" i="3"/>
  <c r="P5" i="3" s="1"/>
  <c r="U5" i="3" s="1"/>
  <c r="F6" i="3"/>
  <c r="F7" i="3"/>
  <c r="P7" i="3" s="1"/>
  <c r="U7" i="3" s="1"/>
  <c r="F8" i="3"/>
  <c r="F9" i="3"/>
  <c r="F10" i="3"/>
  <c r="F11" i="3"/>
  <c r="F12" i="3"/>
  <c r="P12" i="3" s="1"/>
  <c r="F13" i="3"/>
  <c r="F14" i="3"/>
  <c r="F15" i="3"/>
  <c r="F16" i="3"/>
  <c r="F17" i="3"/>
  <c r="P17" i="3" s="1"/>
  <c r="F18" i="3"/>
  <c r="P18" i="3" s="1"/>
  <c r="U18" i="3" s="1"/>
  <c r="F19" i="3"/>
  <c r="P19" i="3" s="1"/>
  <c r="F20" i="3"/>
  <c r="F21" i="3"/>
  <c r="P21" i="3" s="1"/>
  <c r="F22" i="3"/>
  <c r="P22" i="3" s="1"/>
  <c r="F23" i="3"/>
  <c r="P23" i="3" s="1"/>
  <c r="U23" i="3" s="1"/>
  <c r="AB23" i="3" s="1"/>
  <c r="F24" i="3"/>
  <c r="F25" i="3"/>
  <c r="F26" i="3"/>
  <c r="F27" i="3"/>
  <c r="F28" i="3"/>
  <c r="F29" i="3"/>
  <c r="F30" i="3"/>
  <c r="F31" i="3"/>
  <c r="F32" i="3"/>
  <c r="F33" i="3"/>
  <c r="P33" i="3" s="1"/>
  <c r="F34" i="3"/>
  <c r="F35" i="3"/>
  <c r="P35" i="3" s="1"/>
  <c r="F36" i="3"/>
  <c r="F37" i="3"/>
  <c r="P37" i="3" s="1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B14" i="2"/>
  <c r="B13" i="2"/>
  <c r="AB7" i="3" l="1"/>
  <c r="AC7" i="3"/>
  <c r="AB10" i="3"/>
  <c r="AC10" i="3"/>
  <c r="AC18" i="3"/>
  <c r="AB18" i="3"/>
  <c r="AC20" i="3"/>
  <c r="AB20" i="3"/>
  <c r="AB34" i="3"/>
  <c r="AC34" i="3"/>
  <c r="B22" i="7"/>
  <c r="P24" i="3"/>
  <c r="U24" i="3" s="1"/>
  <c r="Q86" i="4"/>
  <c r="W6" i="4"/>
  <c r="B45" i="7"/>
  <c r="B68" i="6"/>
  <c r="M82" i="4"/>
  <c r="Q82" i="4"/>
  <c r="Q66" i="4"/>
  <c r="M66" i="4"/>
  <c r="M18" i="4"/>
  <c r="Q18" i="4"/>
  <c r="D10" i="8"/>
  <c r="B31" i="7"/>
  <c r="B27" i="7"/>
  <c r="M2" i="4"/>
  <c r="Q2" i="4"/>
  <c r="AB28" i="3"/>
  <c r="Q96" i="4"/>
  <c r="M96" i="4"/>
  <c r="M16" i="4"/>
  <c r="Q85" i="4"/>
  <c r="A55" i="6"/>
  <c r="E55" i="6"/>
  <c r="AB8" i="3"/>
  <c r="AC8" i="3"/>
  <c r="P32" i="3"/>
  <c r="U32" i="3" s="1"/>
  <c r="P16" i="3"/>
  <c r="T16" i="3" s="1"/>
  <c r="M70" i="4"/>
  <c r="AC2" i="5"/>
  <c r="U15" i="3"/>
  <c r="P15" i="3"/>
  <c r="Q20" i="3"/>
  <c r="Q94" i="4"/>
  <c r="M94" i="4"/>
  <c r="Q46" i="4"/>
  <c r="M46" i="4"/>
  <c r="Q34" i="4"/>
  <c r="W2" i="4"/>
  <c r="P31" i="3"/>
  <c r="U31" i="3" s="1"/>
  <c r="AA31" i="3" s="1"/>
  <c r="AB31" i="3" s="1"/>
  <c r="U30" i="3"/>
  <c r="P14" i="3"/>
  <c r="M38" i="4"/>
  <c r="C16" i="8"/>
  <c r="B37" i="8"/>
  <c r="H59" i="6"/>
  <c r="B59" i="6"/>
  <c r="AC6" i="5"/>
  <c r="P4" i="3"/>
  <c r="U4" i="3" s="1"/>
  <c r="B65" i="6"/>
  <c r="B42" i="7"/>
  <c r="Q74" i="4"/>
  <c r="M74" i="4"/>
  <c r="M10" i="4"/>
  <c r="Q10" i="4" s="1"/>
  <c r="M6" i="4"/>
  <c r="Q6" i="4" s="1"/>
  <c r="U5" i="5"/>
  <c r="V5" i="5" s="1"/>
  <c r="B37" i="7" s="1"/>
  <c r="G59" i="6"/>
  <c r="AB5" i="3"/>
  <c r="AC5" i="3"/>
  <c r="U22" i="3"/>
  <c r="AC23" i="3"/>
  <c r="P2" i="3"/>
  <c r="U2" i="3" s="1"/>
  <c r="C59" i="6"/>
  <c r="F55" i="6"/>
  <c r="C55" i="6"/>
  <c r="D55" i="6"/>
  <c r="B39" i="7"/>
  <c r="U12" i="3"/>
  <c r="T26" i="3"/>
  <c r="U26" i="3" s="1"/>
  <c r="B36" i="7"/>
  <c r="AC4" i="5"/>
  <c r="AC21" i="3"/>
  <c r="Q8" i="4"/>
  <c r="U6" i="5"/>
  <c r="V6" i="5" s="1"/>
  <c r="P39" i="3"/>
  <c r="U39" i="3" s="1"/>
  <c r="AA39" i="3" s="1"/>
  <c r="D45" i="8"/>
  <c r="E45" i="8" s="1"/>
  <c r="D41" i="8"/>
  <c r="D47" i="8"/>
  <c r="E47" i="8" s="1"/>
  <c r="D46" i="8"/>
  <c r="E46" i="8" s="1"/>
  <c r="D44" i="8"/>
  <c r="E44" i="8" s="1"/>
  <c r="D43" i="8"/>
  <c r="E43" i="8" s="1"/>
  <c r="D42" i="8"/>
  <c r="E42" i="8" s="1"/>
  <c r="M54" i="4"/>
  <c r="P38" i="3"/>
  <c r="U38" i="3"/>
  <c r="AA38" i="3" s="1"/>
  <c r="AB38" i="3" s="1"/>
  <c r="P6" i="3"/>
  <c r="U6" i="3"/>
  <c r="M101" i="4"/>
  <c r="Q101" i="4"/>
  <c r="M53" i="4"/>
  <c r="Q53" i="4"/>
  <c r="M37" i="4"/>
  <c r="Q37" i="4"/>
  <c r="W5" i="4"/>
  <c r="M5" i="4"/>
  <c r="Q5" i="4" s="1"/>
  <c r="D59" i="6"/>
  <c r="F18" i="7"/>
  <c r="U14" i="3"/>
  <c r="U29" i="3"/>
  <c r="Q24" i="4"/>
  <c r="E61" i="6"/>
  <c r="B26" i="7"/>
  <c r="D55" i="8"/>
  <c r="D54" i="8"/>
  <c r="D53" i="8"/>
  <c r="D52" i="8"/>
  <c r="P13" i="3"/>
  <c r="U13" i="3" s="1"/>
  <c r="M44" i="4"/>
  <c r="C61" i="6"/>
  <c r="E53" i="6"/>
  <c r="E15" i="7"/>
  <c r="E14" i="7"/>
  <c r="E13" i="7"/>
  <c r="E12" i="7"/>
  <c r="E11" i="7"/>
  <c r="B13" i="7"/>
  <c r="E10" i="7"/>
  <c r="E17" i="7"/>
  <c r="E9" i="7"/>
  <c r="E18" i="7" s="1"/>
  <c r="B9" i="7"/>
  <c r="F57" i="6"/>
  <c r="B12" i="7"/>
  <c r="E24" i="7"/>
  <c r="D37" i="8"/>
  <c r="E16" i="8"/>
  <c r="C41" i="8"/>
  <c r="E26" i="7"/>
  <c r="P27" i="3"/>
  <c r="U27" i="3" s="1"/>
  <c r="P11" i="3"/>
  <c r="U11" i="3" s="1"/>
  <c r="U35" i="3"/>
  <c r="AA35" i="3" s="1"/>
  <c r="AB35" i="3" s="1"/>
  <c r="U19" i="3"/>
  <c r="U3" i="3"/>
  <c r="M87" i="4"/>
  <c r="M71" i="4"/>
  <c r="M55" i="4"/>
  <c r="M39" i="4"/>
  <c r="M23" i="4"/>
  <c r="M7" i="4"/>
  <c r="Q7" i="4" s="1"/>
  <c r="W11" i="4"/>
  <c r="A60" i="6"/>
  <c r="B54" i="6"/>
  <c r="D58" i="6"/>
  <c r="F62" i="6"/>
  <c r="G56" i="6"/>
  <c r="P41" i="3"/>
  <c r="U41" i="3" s="1"/>
  <c r="AA41" i="3" s="1"/>
  <c r="AB41" i="3" s="1"/>
  <c r="P25" i="3"/>
  <c r="U25" i="3" s="1"/>
  <c r="P9" i="3"/>
  <c r="U9" i="3" s="1"/>
  <c r="U33" i="3"/>
  <c r="AA33" i="3" s="1"/>
  <c r="AB33" i="3" s="1"/>
  <c r="U17" i="3"/>
  <c r="W9" i="4"/>
  <c r="A58" i="6"/>
  <c r="C62" i="6"/>
  <c r="D56" i="6"/>
  <c r="F60" i="6"/>
  <c r="Q95" i="4"/>
  <c r="Q79" i="4"/>
  <c r="Q63" i="4"/>
  <c r="Q47" i="4"/>
  <c r="Q31" i="4"/>
  <c r="Q15" i="4"/>
  <c r="W7" i="4"/>
  <c r="A56" i="6"/>
  <c r="C60" i="6"/>
  <c r="D54" i="6"/>
  <c r="F58" i="6"/>
  <c r="Q93" i="4"/>
  <c r="Q77" i="4"/>
  <c r="Q61" i="4"/>
  <c r="Q45" i="4"/>
  <c r="Q29" i="4"/>
  <c r="Q13" i="4"/>
  <c r="A54" i="6"/>
  <c r="C58" i="6"/>
  <c r="E62" i="6"/>
  <c r="F56" i="6"/>
  <c r="B62" i="6"/>
  <c r="C56" i="6"/>
  <c r="E60" i="6"/>
  <c r="F54" i="6"/>
  <c r="G54" i="6" s="1"/>
  <c r="H54" i="6" s="1"/>
  <c r="B60" i="6"/>
  <c r="E58" i="6"/>
  <c r="G62" i="6"/>
  <c r="B56" i="8"/>
  <c r="G55" i="6"/>
  <c r="H55" i="6" s="1"/>
  <c r="G53" i="6"/>
  <c r="H53" i="6" s="1"/>
  <c r="AC25" i="3" l="1"/>
  <c r="AB25" i="3"/>
  <c r="AB24" i="3"/>
  <c r="AC24" i="3"/>
  <c r="AC4" i="3"/>
  <c r="AB4" i="3"/>
  <c r="AC27" i="3"/>
  <c r="AB27" i="3"/>
  <c r="AC11" i="3"/>
  <c r="AB11" i="3"/>
  <c r="J35" i="6"/>
  <c r="J21" i="6"/>
  <c r="J23" i="6"/>
  <c r="J30" i="6"/>
  <c r="J32" i="6"/>
  <c r="J17" i="6"/>
  <c r="AB2" i="3"/>
  <c r="AC2" i="3"/>
  <c r="U16" i="3"/>
  <c r="J19" i="6" s="1"/>
  <c r="B21" i="7"/>
  <c r="G26" i="7"/>
  <c r="H26" i="7" s="1"/>
  <c r="AC9" i="3"/>
  <c r="AB9" i="3"/>
  <c r="AC13" i="3"/>
  <c r="AB13" i="3"/>
  <c r="AB32" i="3"/>
  <c r="AC32" i="3"/>
  <c r="J48" i="6"/>
  <c r="J40" i="6"/>
  <c r="J42" i="6"/>
  <c r="J44" i="6"/>
  <c r="J43" i="6"/>
  <c r="J45" i="6"/>
  <c r="J46" i="6"/>
  <c r="J41" i="6"/>
  <c r="J47" i="6"/>
  <c r="J49" i="6"/>
  <c r="AC5" i="5"/>
  <c r="B67" i="6" s="1"/>
  <c r="AC26" i="3"/>
  <c r="AB26" i="3"/>
  <c r="AC30" i="3"/>
  <c r="AB30" i="3"/>
  <c r="B29" i="7"/>
  <c r="B30" i="7"/>
  <c r="B28" i="7"/>
  <c r="AC29" i="3"/>
  <c r="AB29" i="3"/>
  <c r="AC12" i="3"/>
  <c r="AB12" i="3"/>
  <c r="AB17" i="3"/>
  <c r="AC17" i="3"/>
  <c r="AB3" i="3"/>
  <c r="AC3" i="3"/>
  <c r="AB14" i="3"/>
  <c r="AC14" i="3"/>
  <c r="B43" i="7"/>
  <c r="B66" i="6"/>
  <c r="AB6" i="3"/>
  <c r="AC6" i="3"/>
  <c r="D56" i="8"/>
  <c r="E52" i="8"/>
  <c r="E53" i="8"/>
  <c r="D48" i="8"/>
  <c r="E41" i="8"/>
  <c r="E54" i="8"/>
  <c r="AB19" i="3"/>
  <c r="AC19" i="3"/>
  <c r="E55" i="8"/>
  <c r="AB22" i="3"/>
  <c r="AC22" i="3"/>
  <c r="AC15" i="3"/>
  <c r="AB15" i="3"/>
  <c r="A19" i="6" l="1"/>
  <c r="B19" i="6"/>
  <c r="C19" i="6"/>
  <c r="D19" i="6"/>
  <c r="E19" i="6"/>
  <c r="F19" i="6"/>
  <c r="H19" i="6"/>
  <c r="G19" i="6"/>
  <c r="G25" i="7"/>
  <c r="H25" i="7" s="1"/>
  <c r="H48" i="6"/>
  <c r="C48" i="6"/>
  <c r="F48" i="6"/>
  <c r="A48" i="6"/>
  <c r="D48" i="6"/>
  <c r="G48" i="6"/>
  <c r="B48" i="6"/>
  <c r="E48" i="6"/>
  <c r="G24" i="7"/>
  <c r="H24" i="7" s="1"/>
  <c r="J9" i="6"/>
  <c r="B10" i="7"/>
  <c r="B11" i="7" s="1"/>
  <c r="G28" i="7"/>
  <c r="H28" i="7" s="1"/>
  <c r="J12" i="6"/>
  <c r="J7" i="6"/>
  <c r="B47" i="6"/>
  <c r="G47" i="6"/>
  <c r="D47" i="6"/>
  <c r="F47" i="6"/>
  <c r="C47" i="6"/>
  <c r="A47" i="6"/>
  <c r="E47" i="6"/>
  <c r="H47" i="6"/>
  <c r="J22" i="6"/>
  <c r="H49" i="6"/>
  <c r="E49" i="6"/>
  <c r="B49" i="6"/>
  <c r="G49" i="6"/>
  <c r="F49" i="6"/>
  <c r="A49" i="6"/>
  <c r="D49" i="6"/>
  <c r="C49" i="6"/>
  <c r="G41" i="6"/>
  <c r="H41" i="6"/>
  <c r="F41" i="6"/>
  <c r="A41" i="6"/>
  <c r="E41" i="6"/>
  <c r="D41" i="6"/>
  <c r="C41" i="6"/>
  <c r="B41" i="6"/>
  <c r="B15" i="2"/>
  <c r="AB16" i="3"/>
  <c r="B19" i="7" s="1"/>
  <c r="AC16" i="3"/>
  <c r="G27" i="7" s="1"/>
  <c r="H27" i="7" s="1"/>
  <c r="C46" i="6"/>
  <c r="F46" i="6"/>
  <c r="A46" i="6"/>
  <c r="D46" i="6"/>
  <c r="G46" i="6"/>
  <c r="B46" i="6"/>
  <c r="E46" i="6"/>
  <c r="H46" i="6"/>
  <c r="G23" i="7"/>
  <c r="H23" i="7" s="1"/>
  <c r="J20" i="6"/>
  <c r="D45" i="6"/>
  <c r="A45" i="6"/>
  <c r="F45" i="6"/>
  <c r="C45" i="6"/>
  <c r="B45" i="6"/>
  <c r="E45" i="6"/>
  <c r="G45" i="6"/>
  <c r="H45" i="6"/>
  <c r="J8" i="6"/>
  <c r="J16" i="6"/>
  <c r="A43" i="6"/>
  <c r="E43" i="6"/>
  <c r="F43" i="6"/>
  <c r="D43" i="6"/>
  <c r="H43" i="6"/>
  <c r="G43" i="6"/>
  <c r="B43" i="6"/>
  <c r="C43" i="6"/>
  <c r="J36" i="6"/>
  <c r="J14" i="6"/>
  <c r="F23" i="6"/>
  <c r="G23" i="6"/>
  <c r="A23" i="6"/>
  <c r="B23" i="6"/>
  <c r="C23" i="6"/>
  <c r="D23" i="6"/>
  <c r="E23" i="6"/>
  <c r="H23" i="6"/>
  <c r="F44" i="6"/>
  <c r="A44" i="6"/>
  <c r="D44" i="6"/>
  <c r="G44" i="6"/>
  <c r="B44" i="6"/>
  <c r="E44" i="6"/>
  <c r="H44" i="6"/>
  <c r="C44" i="6"/>
  <c r="J10" i="6"/>
  <c r="J31" i="6"/>
  <c r="A17" i="6"/>
  <c r="B17" i="6"/>
  <c r="C17" i="6"/>
  <c r="D17" i="6"/>
  <c r="E17" i="6"/>
  <c r="F17" i="6"/>
  <c r="G17" i="6"/>
  <c r="H17" i="6"/>
  <c r="A42" i="6"/>
  <c r="D42" i="6"/>
  <c r="G42" i="6"/>
  <c r="B42" i="6"/>
  <c r="E42" i="6"/>
  <c r="H42" i="6"/>
  <c r="C42" i="6"/>
  <c r="F42" i="6"/>
  <c r="J33" i="6"/>
  <c r="J15" i="6"/>
  <c r="H30" i="6"/>
  <c r="F30" i="6"/>
  <c r="E30" i="6"/>
  <c r="G30" i="6"/>
  <c r="B30" i="6"/>
  <c r="D30" i="6"/>
  <c r="C30" i="6"/>
  <c r="A30" i="6"/>
  <c r="J28" i="6"/>
  <c r="J29" i="6"/>
  <c r="G21" i="6"/>
  <c r="A21" i="6"/>
  <c r="B21" i="6"/>
  <c r="C21" i="6"/>
  <c r="D21" i="6"/>
  <c r="E21" i="6"/>
  <c r="H21" i="6"/>
  <c r="F21" i="6"/>
  <c r="B44" i="7"/>
  <c r="J18" i="6"/>
  <c r="J13" i="6"/>
  <c r="A35" i="6"/>
  <c r="B35" i="6"/>
  <c r="C35" i="6"/>
  <c r="D35" i="6"/>
  <c r="E35" i="6"/>
  <c r="F35" i="6"/>
  <c r="H35" i="6"/>
  <c r="G35" i="6"/>
  <c r="J34" i="6"/>
  <c r="J27" i="6"/>
  <c r="H32" i="6"/>
  <c r="G32" i="6"/>
  <c r="F32" i="6"/>
  <c r="B32" i="6"/>
  <c r="A32" i="6"/>
  <c r="D32" i="6"/>
  <c r="E32" i="6"/>
  <c r="C32" i="6"/>
  <c r="J26" i="6"/>
  <c r="J11" i="6"/>
  <c r="D40" i="6"/>
  <c r="B40" i="6"/>
  <c r="E40" i="6"/>
  <c r="C40" i="6"/>
  <c r="F40" i="6"/>
  <c r="G40" i="6" s="1"/>
  <c r="H40" i="6" s="1"/>
  <c r="A40" i="6"/>
  <c r="J24" i="6"/>
  <c r="J25" i="6"/>
  <c r="H24" i="6" l="1"/>
  <c r="G24" i="6"/>
  <c r="F24" i="6"/>
  <c r="B24" i="6"/>
  <c r="A24" i="6"/>
  <c r="E24" i="6"/>
  <c r="C24" i="6"/>
  <c r="D24" i="6"/>
  <c r="A33" i="6"/>
  <c r="B33" i="6"/>
  <c r="C33" i="6"/>
  <c r="D33" i="6"/>
  <c r="E33" i="6"/>
  <c r="F33" i="6"/>
  <c r="G33" i="6"/>
  <c r="H33" i="6"/>
  <c r="H18" i="6"/>
  <c r="C18" i="6"/>
  <c r="B18" i="6"/>
  <c r="E18" i="6"/>
  <c r="F18" i="6"/>
  <c r="A18" i="6"/>
  <c r="G18" i="6"/>
  <c r="D18" i="6"/>
  <c r="B15" i="6"/>
  <c r="C15" i="6"/>
  <c r="D15" i="6"/>
  <c r="E15" i="6"/>
  <c r="F15" i="6"/>
  <c r="G15" i="6"/>
  <c r="A15" i="6"/>
  <c r="H15" i="6"/>
  <c r="H34" i="6"/>
  <c r="G34" i="6"/>
  <c r="C34" i="6"/>
  <c r="B34" i="6"/>
  <c r="A34" i="6"/>
  <c r="D34" i="6"/>
  <c r="E34" i="6"/>
  <c r="F34" i="6"/>
  <c r="C13" i="6"/>
  <c r="D13" i="6"/>
  <c r="H13" i="6" s="1"/>
  <c r="E13" i="6"/>
  <c r="F13" i="6"/>
  <c r="A13" i="6"/>
  <c r="B13" i="6"/>
  <c r="H16" i="6"/>
  <c r="B16" i="6"/>
  <c r="A16" i="6"/>
  <c r="G16" i="6"/>
  <c r="E16" i="6"/>
  <c r="F16" i="6"/>
  <c r="C16" i="6"/>
  <c r="D16" i="6"/>
  <c r="F7" i="6"/>
  <c r="A7" i="6"/>
  <c r="B7" i="6"/>
  <c r="C7" i="6"/>
  <c r="D7" i="6"/>
  <c r="G7" i="6" s="1"/>
  <c r="H7" i="6" s="1"/>
  <c r="E7" i="6"/>
  <c r="E8" i="6"/>
  <c r="D8" i="6"/>
  <c r="C8" i="6"/>
  <c r="B8" i="6"/>
  <c r="A8" i="6"/>
  <c r="F8" i="6"/>
  <c r="G8" i="6" s="1"/>
  <c r="H8" i="6" s="1"/>
  <c r="F12" i="6"/>
  <c r="E12" i="6"/>
  <c r="C12" i="6"/>
  <c r="A12" i="6"/>
  <c r="D12" i="6"/>
  <c r="G12" i="6" s="1"/>
  <c r="H12" i="6" s="1"/>
  <c r="B12" i="6"/>
  <c r="B31" i="6"/>
  <c r="C31" i="6"/>
  <c r="D31" i="6"/>
  <c r="E31" i="6"/>
  <c r="F31" i="6"/>
  <c r="G31" i="6"/>
  <c r="A31" i="6"/>
  <c r="H31" i="6"/>
  <c r="F10" i="6"/>
  <c r="E10" i="6"/>
  <c r="D10" i="6"/>
  <c r="C10" i="6"/>
  <c r="A10" i="6"/>
  <c r="B10" i="6"/>
  <c r="G10" i="6"/>
  <c r="H10" i="6" s="1"/>
  <c r="B16" i="7"/>
  <c r="E9" i="6"/>
  <c r="F9" i="6"/>
  <c r="A9" i="6"/>
  <c r="B9" i="6"/>
  <c r="C9" i="6"/>
  <c r="D9" i="6"/>
  <c r="G9" i="6" s="1"/>
  <c r="H9" i="6" s="1"/>
  <c r="F14" i="6"/>
  <c r="E14" i="6"/>
  <c r="A14" i="6"/>
  <c r="C14" i="6"/>
  <c r="D14" i="6"/>
  <c r="B14" i="6"/>
  <c r="G14" i="6"/>
  <c r="H14" i="6" s="1"/>
  <c r="B69" i="6"/>
  <c r="B46" i="7"/>
  <c r="B18" i="7"/>
  <c r="H22" i="6"/>
  <c r="F22" i="6"/>
  <c r="E22" i="6"/>
  <c r="D22" i="6"/>
  <c r="A22" i="6"/>
  <c r="B22" i="6"/>
  <c r="G22" i="6"/>
  <c r="C22" i="6"/>
  <c r="B23" i="7"/>
  <c r="D27" i="6"/>
  <c r="E27" i="6"/>
  <c r="F27" i="6"/>
  <c r="G27" i="6"/>
  <c r="A27" i="6"/>
  <c r="B27" i="6"/>
  <c r="H27" i="6"/>
  <c r="C27" i="6"/>
  <c r="H36" i="6"/>
  <c r="D36" i="6"/>
  <c r="C36" i="6"/>
  <c r="B36" i="6"/>
  <c r="G36" i="6"/>
  <c r="E36" i="6"/>
  <c r="F36" i="6"/>
  <c r="A36" i="6"/>
  <c r="C29" i="6"/>
  <c r="D29" i="6"/>
  <c r="E29" i="6"/>
  <c r="F29" i="6"/>
  <c r="G29" i="6"/>
  <c r="A29" i="6"/>
  <c r="B29" i="6"/>
  <c r="H29" i="6"/>
  <c r="B15" i="7"/>
  <c r="E25" i="6"/>
  <c r="F25" i="6"/>
  <c r="G25" i="6"/>
  <c r="A25" i="6"/>
  <c r="B25" i="6"/>
  <c r="C25" i="6"/>
  <c r="H25" i="6"/>
  <c r="D25" i="6"/>
  <c r="D11" i="6"/>
  <c r="G11" i="6" s="1"/>
  <c r="H11" i="6" s="1"/>
  <c r="E11" i="6"/>
  <c r="F11" i="6"/>
  <c r="A11" i="6"/>
  <c r="B11" i="6"/>
  <c r="C11" i="6"/>
  <c r="H28" i="6"/>
  <c r="E28" i="6"/>
  <c r="D28" i="6"/>
  <c r="B28" i="6"/>
  <c r="C28" i="6"/>
  <c r="G28" i="6"/>
  <c r="A28" i="6"/>
  <c r="F28" i="6"/>
  <c r="B17" i="7"/>
  <c r="G26" i="6"/>
  <c r="H26" i="6"/>
  <c r="D26" i="6"/>
  <c r="C26" i="6"/>
  <c r="B26" i="6"/>
  <c r="E26" i="6"/>
  <c r="A26" i="6"/>
  <c r="F26" i="6"/>
  <c r="H20" i="6"/>
  <c r="D20" i="6"/>
  <c r="C20" i="6"/>
  <c r="G20" i="6"/>
  <c r="E20" i="6"/>
  <c r="B20" i="6"/>
  <c r="F20" i="6"/>
  <c r="A20" i="6"/>
  <c r="G13" i="6" l="1"/>
</calcChain>
</file>

<file path=xl/sharedStrings.xml><?xml version="1.0" encoding="utf-8"?>
<sst xmlns="http://schemas.openxmlformats.org/spreadsheetml/2006/main" count="29453" uniqueCount="3538">
  <si>
    <t>Parameter</t>
  </si>
  <si>
    <t>Value</t>
  </si>
  <si>
    <t>Note</t>
  </si>
  <si>
    <t>Report_Date</t>
  </si>
  <si>
    <t>SNAPSHOT date: register RAG/days columns and Monthly_Report are a historical snapshot as of this date (reproducible). Live_Alerts uses TODAY() instead.</t>
  </si>
  <si>
    <t>Internal_Target_Days</t>
  </si>
  <si>
    <t>DPC recommends policies aimed at responding within 15 days (internal target)</t>
  </si>
  <si>
    <t>Ack_Target_Working_Days</t>
  </si>
  <si>
    <t>Internal policy: acknowledge within 2 working days</t>
  </si>
  <si>
    <t>ID_Request_Prompt_Days</t>
  </si>
  <si>
    <t>Internal policy: ask for ID within 3 days so the pause is defensible (EDPB 01/2022 para 159)</t>
  </si>
  <si>
    <t>Amber_Days</t>
  </si>
  <si>
    <t>RAG: amber when 14 days or fewer remain</t>
  </si>
  <si>
    <t>Red_Days</t>
  </si>
  <si>
    <t>RAG: red when 7 days or fewer remain</t>
  </si>
  <si>
    <t>Breach_Notify_Hours</t>
  </si>
  <si>
    <t>GDPR Art 33(1): notify the DPC within 72 hours of becoming aware</t>
  </si>
  <si>
    <t>High_Score</t>
  </si>
  <si>
    <t>DPIA: likelihood x impact of 15-25 = High</t>
  </si>
  <si>
    <t>Medium_Score</t>
  </si>
  <si>
    <t>DPIA: 8-14 = Medium, below 8 = Low</t>
  </si>
  <si>
    <t>DPIA_Review_Months</t>
  </si>
  <si>
    <t>Internal policy: review approved DPIAs every 12 months</t>
  </si>
  <si>
    <t>Holiday_Date</t>
  </si>
  <si>
    <t>Holiday</t>
  </si>
  <si>
    <t>New Year's Day</t>
  </si>
  <si>
    <t>St Brigid's Day</t>
  </si>
  <si>
    <t>St Patrick's Day</t>
  </si>
  <si>
    <t>Easter Monday</t>
  </si>
  <si>
    <t>May Bank Holiday</t>
  </si>
  <si>
    <t>June Bank Holiday</t>
  </si>
  <si>
    <t>August Bank Holiday</t>
  </si>
  <si>
    <t>October Bank Holiday</t>
  </si>
  <si>
    <t>Christmas Day</t>
  </si>
  <si>
    <t>St Stephen's Day (Saturday)</t>
  </si>
  <si>
    <t>Christmas Day (Saturday)</t>
  </si>
  <si>
    <t>St Stephen's Day (Sunday)</t>
  </si>
  <si>
    <t>Request_Type</t>
  </si>
  <si>
    <t>Article</t>
  </si>
  <si>
    <t>Statutory</t>
  </si>
  <si>
    <t>Access</t>
  </si>
  <si>
    <t>Art 15</t>
  </si>
  <si>
    <t>Y</t>
  </si>
  <si>
    <t>Rectification</t>
  </si>
  <si>
    <t>Art 16</t>
  </si>
  <si>
    <t>Erasure</t>
  </si>
  <si>
    <t>Art 17</t>
  </si>
  <si>
    <t>Restriction</t>
  </si>
  <si>
    <t>Art 18</t>
  </si>
  <si>
    <t>Portability</t>
  </si>
  <si>
    <t>Art 20</t>
  </si>
  <si>
    <t>Objection - direct marketing</t>
  </si>
  <si>
    <t>Art 21(2)</t>
  </si>
  <si>
    <t>Objection - other</t>
  </si>
  <si>
    <t>Art 21(1)</t>
  </si>
  <si>
    <t>Complaint</t>
  </si>
  <si>
    <t>n/a</t>
  </si>
  <si>
    <t>N</t>
  </si>
  <si>
    <t>General query</t>
  </si>
  <si>
    <t>Channel</t>
  </si>
  <si>
    <t>Requester_Type</t>
  </si>
  <si>
    <t>Business_Area</t>
  </si>
  <si>
    <t>DSR_Status</t>
  </si>
  <si>
    <t>Owner</t>
  </si>
  <si>
    <t>Yes_No</t>
  </si>
  <si>
    <t>Risk_Level</t>
  </si>
  <si>
    <t>Incident_Category</t>
  </si>
  <si>
    <t>Data_Subject_Type</t>
  </si>
  <si>
    <t>Action_Status</t>
  </si>
  <si>
    <t>Score</t>
  </si>
  <si>
    <t>Privacy mailbox</t>
  </si>
  <si>
    <t>Customer</t>
  </si>
  <si>
    <t>Online</t>
  </si>
  <si>
    <t>Logged</t>
  </si>
  <si>
    <t>Privacy Analyst</t>
  </si>
  <si>
    <t>No risk</t>
  </si>
  <si>
    <t>Non Cyber</t>
  </si>
  <si>
    <t>Customers or prospective customers</t>
  </si>
  <si>
    <t>Open</t>
  </si>
  <si>
    <t>Web form</t>
  </si>
  <si>
    <t>Employee</t>
  </si>
  <si>
    <t>Stores</t>
  </si>
  <si>
    <t>Awaiting ID</t>
  </si>
  <si>
    <t>Privacy Manager</t>
  </si>
  <si>
    <t>Low</t>
  </si>
  <si>
    <t>Cyber</t>
  </si>
  <si>
    <t>Employees</t>
  </si>
  <si>
    <t>In progress</t>
  </si>
  <si>
    <t>Post</t>
  </si>
  <si>
    <t>Former employee</t>
  </si>
  <si>
    <t>Loyalty &amp; Marketing</t>
  </si>
  <si>
    <t>HR</t>
  </si>
  <si>
    <t>Medium</t>
  </si>
  <si>
    <t>Done</t>
  </si>
  <si>
    <t>In-store</t>
  </si>
  <si>
    <t>Job applicant</t>
  </si>
  <si>
    <t>Escalated</t>
  </si>
  <si>
    <t>IT</t>
  </si>
  <si>
    <t>High</t>
  </si>
  <si>
    <t>Customer service</t>
  </si>
  <si>
    <t>Third party (authorised)</t>
  </si>
  <si>
    <t>CCTV &amp; Security</t>
  </si>
  <si>
    <t>Closed</t>
  </si>
  <si>
    <t>Marketing</t>
  </si>
  <si>
    <t>Customer Service</t>
  </si>
  <si>
    <t>Store Operations</t>
  </si>
  <si>
    <t>Incident_Type</t>
  </si>
  <si>
    <t>Data emailed to incorrect recipient</t>
  </si>
  <si>
    <t>Data posted or faxed to incorrect recipient</t>
  </si>
  <si>
    <t>Failure to use bcc</t>
  </si>
  <si>
    <t>Failure to redact</t>
  </si>
  <si>
    <t>Verbal disclosure of personal data</t>
  </si>
  <si>
    <t>Loss/theft of device containing personal data</t>
  </si>
  <si>
    <t>Loss/theft of paperwork or data left in insecure location</t>
  </si>
  <si>
    <t>Data of wrong data subject shown in client portal</t>
  </si>
  <si>
    <t>Unauthorised access</t>
  </si>
  <si>
    <t>Phishing</t>
  </si>
  <si>
    <t>Ransomware</t>
  </si>
  <si>
    <t>Hardware/software misconfiguration</t>
  </si>
  <si>
    <t>Other non-cyber incident</t>
  </si>
  <si>
    <t>Other cyber incident</t>
  </si>
  <si>
    <t>Subjects_Min</t>
  </si>
  <si>
    <t>Subjects_Band</t>
  </si>
  <si>
    <t>Hours_Min</t>
  </si>
  <si>
    <t>Time_Band</t>
  </si>
  <si>
    <t>1 to 9</t>
  </si>
  <si>
    <t>Less than 24 hours</t>
  </si>
  <si>
    <t>10 to 99</t>
  </si>
  <si>
    <t>24 hours to 72 hours</t>
  </si>
  <si>
    <t>100 to 1k</t>
  </si>
  <si>
    <t>72 hours to 1 week</t>
  </si>
  <si>
    <t>1k to 10k</t>
  </si>
  <si>
    <t>More than 1 week</t>
  </si>
  <si>
    <t>10k to 100k</t>
  </si>
  <si>
    <t>100k and above</t>
  </si>
  <si>
    <t>Consultation_Status</t>
  </si>
  <si>
    <t>Approver</t>
  </si>
  <si>
    <t>Incident_Status</t>
  </si>
  <si>
    <t>Not started</t>
  </si>
  <si>
    <t>Data Privacy Manager</t>
  </si>
  <si>
    <t>Submitted to DPC</t>
  </si>
  <si>
    <t>Head of Legal</t>
  </si>
  <si>
    <t>DPC advice received</t>
  </si>
  <si>
    <t>Business Owner</t>
  </si>
  <si>
    <t>Not required</t>
  </si>
  <si>
    <t>Holiday_List_Check</t>
  </si>
  <si>
    <t>Every holiday row must hold a real date</t>
  </si>
  <si>
    <t>Holidays_Covered_To</t>
  </si>
  <si>
    <t>Last holiday in the list</t>
  </si>
  <si>
    <t>Holiday_Coverage_Check</t>
  </si>
  <si>
    <t>Warns when a deadline falls after the last listed holiday: add the next year</t>
  </si>
  <si>
    <t>Request_ID</t>
  </si>
  <si>
    <t>Received_Date</t>
  </si>
  <si>
    <t>Acknowledged_Date</t>
  </si>
  <si>
    <t>Ack_On_Time</t>
  </si>
  <si>
    <t>ID_Check_Needed</t>
  </si>
  <si>
    <t>ID_Requested_Date</t>
  </si>
  <si>
    <t>ID_Received_Date</t>
  </si>
  <si>
    <t>ID_Request_Prompt</t>
  </si>
  <si>
    <t>Paused_Days</t>
  </si>
  <si>
    <t>Statutory_Deadline</t>
  </si>
  <si>
    <t>Internal_Target</t>
  </si>
  <si>
    <t>Extended</t>
  </si>
  <si>
    <t>Extension_Notice_Date</t>
  </si>
  <si>
    <t>Extension_Notice_OK</t>
  </si>
  <si>
    <t>Final_Deadline</t>
  </si>
  <si>
    <t>Status</t>
  </si>
  <si>
    <t>Response_Date</t>
  </si>
  <si>
    <t>Days_Open</t>
  </si>
  <si>
    <t>Days_Remaining_Snapshot</t>
  </si>
  <si>
    <t>RAG_Snapshot</t>
  </si>
  <si>
    <t>On_Time</t>
  </si>
  <si>
    <t>Exemption_Applied</t>
  </si>
  <si>
    <t>Notes</t>
  </si>
  <si>
    <t>Data_Check</t>
  </si>
  <si>
    <t>DSR-2026-001</t>
  </si>
  <si>
    <t>DSR-2026-002</t>
  </si>
  <si>
    <t>DSR-2026-003</t>
  </si>
  <si>
    <t>Received on a Saturday</t>
  </si>
  <si>
    <t>DSR-2026-004</t>
  </si>
  <si>
    <t>ID requested by letter; clock paused until reply</t>
  </si>
  <si>
    <t>DSR-2026-005</t>
  </si>
  <si>
    <t>CCTV footage: 2 other shoppers blurred. Redaction schedule RS-005 (Art 15(4))</t>
  </si>
  <si>
    <t>DSR-2026-006</t>
  </si>
  <si>
    <t>DSR-2026-007</t>
  </si>
  <si>
    <t>Not a statutory request: internal target only</t>
  </si>
  <si>
    <t>DSR-2026-008</t>
  </si>
  <si>
    <t>DSR-2026-009</t>
  </si>
  <si>
    <t>DSR-2026-010</t>
  </si>
  <si>
    <t>Acknowledgement missed the internal 2-working-day target</t>
  </si>
  <si>
    <t>DSR-2026-011</t>
  </si>
  <si>
    <t>ID requested 6 days after receipt: pause may not be defensible. Reviewed by Privacy Manager</t>
  </si>
  <si>
    <t>DSR-2026-012</t>
  </si>
  <si>
    <t>DSR-2026-013</t>
  </si>
  <si>
    <t>DSR-2026-014</t>
  </si>
  <si>
    <t>Complaint about marketing frequency; not a statutory request</t>
  </si>
  <si>
    <t>DSR-2026-015</t>
  </si>
  <si>
    <t>Complex: 4 years of emails. Extension notified with reasons. Legal privilege withheld, schedule RS-015</t>
  </si>
  <si>
    <t>DSR-2026-016</t>
  </si>
  <si>
    <t>DSR-2026-017</t>
  </si>
  <si>
    <t>DSR-2026-018</t>
  </si>
  <si>
    <t>DSR-2026-019</t>
  </si>
  <si>
    <t>DSR-2026-020</t>
  </si>
  <si>
    <t>Closed late: records held in two HR systems. Root cause logged</t>
  </si>
  <si>
    <t>DSR-2026-021</t>
  </si>
  <si>
    <t>DSR-2026-022</t>
  </si>
  <si>
    <t>Acknowledged after the August bank holiday weekend</t>
  </si>
  <si>
    <t>DSR-2026-023</t>
  </si>
  <si>
    <t>CCTV: other shoppers pixelated. Redaction schedule RS-023</t>
  </si>
  <si>
    <t>DSR-2026-024</t>
  </si>
  <si>
    <t>DSR-2026-025</t>
  </si>
  <si>
    <t>Extension notice sent after the first month: process gap raised</t>
  </si>
  <si>
    <t>DSR-2026-026</t>
  </si>
  <si>
    <t>DSR-2026-027</t>
  </si>
  <si>
    <t>DSR-2026-028</t>
  </si>
  <si>
    <t>DSR-2026-029</t>
  </si>
  <si>
    <t>DSR-2026-030</t>
  </si>
  <si>
    <t>Escalated to Privacy Manager: HR system export delayed</t>
  </si>
  <si>
    <t>DSR-2026-031</t>
  </si>
  <si>
    <t>DSR-2026-032</t>
  </si>
  <si>
    <t>DSR-2026-033</t>
  </si>
  <si>
    <t>DSR-2026-034</t>
  </si>
  <si>
    <t>DSR-2026-035</t>
  </si>
  <si>
    <t>DSR-2026-036</t>
  </si>
  <si>
    <t>DSR-2026-037</t>
  </si>
  <si>
    <t>DSR-2026-038</t>
  </si>
  <si>
    <t>Awaiting proof of identity: clock paused</t>
  </si>
  <si>
    <t>DSR-2026-039</t>
  </si>
  <si>
    <t>Email received on the October bank holiday</t>
  </si>
  <si>
    <t>DSR-2026-040</t>
  </si>
  <si>
    <t>Incident_ID</t>
  </si>
  <si>
    <t>Date_Occurred</t>
  </si>
  <si>
    <t>Aware_DateTime</t>
  </si>
  <si>
    <t>Subjects_Affected</t>
  </si>
  <si>
    <t>Special_Category_Data</t>
  </si>
  <si>
    <t>Notify_DPC</t>
  </si>
  <si>
    <t>DPC_Deadline</t>
  </si>
  <si>
    <t>DPC_Notified_DateTime</t>
  </si>
  <si>
    <t>Hours_To_Notify</t>
  </si>
  <si>
    <t>Time_To_Report_Band</t>
  </si>
  <si>
    <t>Notified_Within_72h</t>
  </si>
  <si>
    <t>Notify_Individuals</t>
  </si>
  <si>
    <t>Containment_Action</t>
  </si>
  <si>
    <t>Closed_Date</t>
  </si>
  <si>
    <t>ICO_Template_Ref</t>
  </si>
  <si>
    <t>INC-2026-001</t>
  </si>
  <si>
    <t>Recipient confirmed deletion; email template fixed</t>
  </si>
  <si>
    <t>BI80857</t>
  </si>
  <si>
    <t>INC-2026-002</t>
  </si>
  <si>
    <t>Compromised accounts reset; MFA enforced; affected people warned</t>
  </si>
  <si>
    <t>BI56100</t>
  </si>
  <si>
    <t>INC-2026-003</t>
  </si>
  <si>
    <t>Configuration corrected; exposure window confirmed in logs</t>
  </si>
  <si>
    <t>BI53010</t>
  </si>
  <si>
    <t>INC-2026-004</t>
  </si>
  <si>
    <t>Suspicious activity blocked; credentials rotated; logs reviewed</t>
  </si>
  <si>
    <t>BI68479</t>
  </si>
  <si>
    <t>INC-2026-005</t>
  </si>
  <si>
    <t>Affected servers isolated and restored from backup; forensic review</t>
  </si>
  <si>
    <t>BI65221</t>
  </si>
  <si>
    <t>INC-2026-006</t>
  </si>
  <si>
    <t>BI78434</t>
  </si>
  <si>
    <t>INC-2026-007</t>
  </si>
  <si>
    <t>BI58729</t>
  </si>
  <si>
    <t>INC-2026-008</t>
  </si>
  <si>
    <t>Access revoked; access log review; HR process opened</t>
  </si>
  <si>
    <t>BI76929</t>
  </si>
  <si>
    <t>INC-2026-009</t>
  </si>
  <si>
    <t>BI70235</t>
  </si>
  <si>
    <t>INC-2026-010</t>
  </si>
  <si>
    <t>BI79113</t>
  </si>
  <si>
    <t>INC-2026-011</t>
  </si>
  <si>
    <t>Records secured; store procedure updated</t>
  </si>
  <si>
    <t>BI61351</t>
  </si>
  <si>
    <t>INC-2026-012</t>
  </si>
  <si>
    <t>Recall attempted; apology sent; bcc rule added to the mail tool</t>
  </si>
  <si>
    <t>BI75709</t>
  </si>
  <si>
    <t>BI_Reference</t>
  </si>
  <si>
    <t>Year</t>
  </si>
  <si>
    <t>Quarter</t>
  </si>
  <si>
    <t>ICO_Decision</t>
  </si>
  <si>
    <t>Data_Subject_Types</t>
  </si>
  <si>
    <t>Data_Types</t>
  </si>
  <si>
    <t>BI52049</t>
  </si>
  <si>
    <t>Qtr 1</t>
  </si>
  <si>
    <t>Informal Action Taken</t>
  </si>
  <si>
    <t>Basic personal identifiers</t>
  </si>
  <si>
    <t>BI52058</t>
  </si>
  <si>
    <t>Unknown</t>
  </si>
  <si>
    <t>Customers or prospective customers; Employees</t>
  </si>
  <si>
    <t>BI52067</t>
  </si>
  <si>
    <t>BI52071</t>
  </si>
  <si>
    <t>Children; Customers or prospective customers; Employees; Subscribers; Users</t>
  </si>
  <si>
    <t>Basic personal identifiers; Data revealing racial or ethnic origin; Economic and financial data; Health data; Identification data; Location data; Official documents</t>
  </si>
  <si>
    <t>BI52081</t>
  </si>
  <si>
    <t>Basic personal identifiers; Economic and financial data; Identification data</t>
  </si>
  <si>
    <t>BI52145</t>
  </si>
  <si>
    <t>Investigation Pursued</t>
  </si>
  <si>
    <t>BI52150</t>
  </si>
  <si>
    <t>BI52202</t>
  </si>
  <si>
    <t>BI52204</t>
  </si>
  <si>
    <t>BI52209</t>
  </si>
  <si>
    <t>BI52210</t>
  </si>
  <si>
    <t>BI52222</t>
  </si>
  <si>
    <t>BI52226</t>
  </si>
  <si>
    <t>No Further Action</t>
  </si>
  <si>
    <t>Basic personal identifiers; Economic and financial data; Location data</t>
  </si>
  <si>
    <t>BI52239</t>
  </si>
  <si>
    <t>Basic personal identifiers; Health data</t>
  </si>
  <si>
    <t>BI52254</t>
  </si>
  <si>
    <t>BI52255</t>
  </si>
  <si>
    <t>BI52273</t>
  </si>
  <si>
    <t>Health data</t>
  </si>
  <si>
    <t>BI52283</t>
  </si>
  <si>
    <t>BI52296</t>
  </si>
  <si>
    <t>BI52318</t>
  </si>
  <si>
    <t>BI52320</t>
  </si>
  <si>
    <t>Basic personal identifiers; Economic and financial data</t>
  </si>
  <si>
    <t>BI52336</t>
  </si>
  <si>
    <t>Children; Employees</t>
  </si>
  <si>
    <t>Basic personal identifiers; Economic and financial data; Health data; Location data; Official documents</t>
  </si>
  <si>
    <t>BI52337</t>
  </si>
  <si>
    <t>BI52342</t>
  </si>
  <si>
    <t>BI52345</t>
  </si>
  <si>
    <t>BI52355</t>
  </si>
  <si>
    <t>BI52359</t>
  </si>
  <si>
    <t>Basic personal identifiers; Identification data</t>
  </si>
  <si>
    <t>BI52362</t>
  </si>
  <si>
    <t>BI52383</t>
  </si>
  <si>
    <t>BI52384</t>
  </si>
  <si>
    <t>BI52399</t>
  </si>
  <si>
    <t>Basic personal identifiers; Economic and financial data; Health data</t>
  </si>
  <si>
    <t>BI52402</t>
  </si>
  <si>
    <t>Users</t>
  </si>
  <si>
    <t>BI52410</t>
  </si>
  <si>
    <t>BI52411</t>
  </si>
  <si>
    <t>BI52418</t>
  </si>
  <si>
    <t>Customers or prospective customers; Employees; Users</t>
  </si>
  <si>
    <t>BI52422</t>
  </si>
  <si>
    <t>BI52441</t>
  </si>
  <si>
    <t>BI52444</t>
  </si>
  <si>
    <t>BI52464</t>
  </si>
  <si>
    <t>BI52469</t>
  </si>
  <si>
    <t>BI52485</t>
  </si>
  <si>
    <t>Brute Force</t>
  </si>
  <si>
    <t>BI52494</t>
  </si>
  <si>
    <t>BI52499</t>
  </si>
  <si>
    <t>Basic personal identifiers; Economic and financial data; Official documents</t>
  </si>
  <si>
    <t>BI52503</t>
  </si>
  <si>
    <t>BI52506</t>
  </si>
  <si>
    <t>BI52507</t>
  </si>
  <si>
    <t>Customers or prospective customers; Employees; Subscribers; Users</t>
  </si>
  <si>
    <t>BI52517</t>
  </si>
  <si>
    <t>BI52537</t>
  </si>
  <si>
    <t>BI52551</t>
  </si>
  <si>
    <t>BI52560</t>
  </si>
  <si>
    <t>BI52569</t>
  </si>
  <si>
    <t>Not Yet Assigned</t>
  </si>
  <si>
    <t>BI52571</t>
  </si>
  <si>
    <t>BI52594</t>
  </si>
  <si>
    <t>Not Provided</t>
  </si>
  <si>
    <t>Identification data</t>
  </si>
  <si>
    <t>BI52601</t>
  </si>
  <si>
    <t>BI52604</t>
  </si>
  <si>
    <t>BI52605</t>
  </si>
  <si>
    <t>Basic personal identifiers; Data revealing racial or ethnic origin</t>
  </si>
  <si>
    <t>BI52614</t>
  </si>
  <si>
    <t>Basic personal identifiers; Data revealing racial or ethnic origin; Economic and financial data; Health data; Official documents</t>
  </si>
  <si>
    <t>BI52646</t>
  </si>
  <si>
    <t>BI52651</t>
  </si>
  <si>
    <t>BI52655</t>
  </si>
  <si>
    <t>BI52674</t>
  </si>
  <si>
    <t>BI52681</t>
  </si>
  <si>
    <t>BI52689</t>
  </si>
  <si>
    <t>BI52709</t>
  </si>
  <si>
    <t>BI52727</t>
  </si>
  <si>
    <t>BI52732</t>
  </si>
  <si>
    <t>Malware</t>
  </si>
  <si>
    <t>BI52737</t>
  </si>
  <si>
    <t>BI52753</t>
  </si>
  <si>
    <t>BI52759</t>
  </si>
  <si>
    <t>BI52766</t>
  </si>
  <si>
    <t>Basic personal identifiers; Economic and financial data; Identification data; Sexual orientation data</t>
  </si>
  <si>
    <t>BI52776</t>
  </si>
  <si>
    <t>Economic and financial data; Identification data; Official documents</t>
  </si>
  <si>
    <t>BI52780</t>
  </si>
  <si>
    <t>BI52791</t>
  </si>
  <si>
    <t>BI52799</t>
  </si>
  <si>
    <t>BI52800</t>
  </si>
  <si>
    <t>Criminal convictions or offences; Economic and financial data; Health data</t>
  </si>
  <si>
    <t>BI52805</t>
  </si>
  <si>
    <t>BI52815</t>
  </si>
  <si>
    <t>BI52822</t>
  </si>
  <si>
    <t>BI52825</t>
  </si>
  <si>
    <t>BI52827</t>
  </si>
  <si>
    <t>BI52831</t>
  </si>
  <si>
    <t>BI52834</t>
  </si>
  <si>
    <t>BI52835</t>
  </si>
  <si>
    <t>BI52836</t>
  </si>
  <si>
    <t>BI52851</t>
  </si>
  <si>
    <t>BI52855</t>
  </si>
  <si>
    <t>BI52867</t>
  </si>
  <si>
    <t>BI52872</t>
  </si>
  <si>
    <t>Basic personal identifiers; Economic and financial data; Identification data; Official documents</t>
  </si>
  <si>
    <t>BI52875</t>
  </si>
  <si>
    <t>Basic personal identifiers; Official documents</t>
  </si>
  <si>
    <t>BI52876</t>
  </si>
  <si>
    <t>Customers or prospective customers; Users</t>
  </si>
  <si>
    <t>BI52893</t>
  </si>
  <si>
    <t>Economic and financial data</t>
  </si>
  <si>
    <t>BI52902</t>
  </si>
  <si>
    <t>BI52907</t>
  </si>
  <si>
    <t>Basic personal identifiers; Identification data; Official documents</t>
  </si>
  <si>
    <t>BI52910</t>
  </si>
  <si>
    <t>BI52911</t>
  </si>
  <si>
    <t>BI52925</t>
  </si>
  <si>
    <t>BI52957</t>
  </si>
  <si>
    <t>Basic personal identifiers; Data revealing racial or ethnic origin; Economic and financial data; Health data; Identification data; Official documents</t>
  </si>
  <si>
    <t>BI52963</t>
  </si>
  <si>
    <t>BI52967</t>
  </si>
  <si>
    <t>BI52974</t>
  </si>
  <si>
    <t>BI52990</t>
  </si>
  <si>
    <t>BI52991</t>
  </si>
  <si>
    <t>BI53000</t>
  </si>
  <si>
    <t>Basic personal identifiers; Health data; Identification data; Official documents</t>
  </si>
  <si>
    <t>BI53006</t>
  </si>
  <si>
    <t>Employees; Users</t>
  </si>
  <si>
    <t>BI53007</t>
  </si>
  <si>
    <t>Patients</t>
  </si>
  <si>
    <t>BI53009</t>
  </si>
  <si>
    <t>BI53013</t>
  </si>
  <si>
    <t>BI53020</t>
  </si>
  <si>
    <t>BI53021</t>
  </si>
  <si>
    <t>Customers or prospective customers; Subscribers</t>
  </si>
  <si>
    <t>BI53023</t>
  </si>
  <si>
    <t>BI53026</t>
  </si>
  <si>
    <t>BI53030</t>
  </si>
  <si>
    <t>BI53042</t>
  </si>
  <si>
    <t>BI53089</t>
  </si>
  <si>
    <t>BI53093</t>
  </si>
  <si>
    <t>BI53100</t>
  </si>
  <si>
    <t>BI53114</t>
  </si>
  <si>
    <t>BI53116</t>
  </si>
  <si>
    <t>BI53139</t>
  </si>
  <si>
    <t>BI53152</t>
  </si>
  <si>
    <t>BI53156</t>
  </si>
  <si>
    <t>BI53167</t>
  </si>
  <si>
    <t>Basic personal identifiers; Location data</t>
  </si>
  <si>
    <t>BI53187</t>
  </si>
  <si>
    <t>BI53189</t>
  </si>
  <si>
    <t>BI53192</t>
  </si>
  <si>
    <t>BI53196</t>
  </si>
  <si>
    <t>BI53197</t>
  </si>
  <si>
    <t>BI53202</t>
  </si>
  <si>
    <t>BI53211</t>
  </si>
  <si>
    <t>BI53217</t>
  </si>
  <si>
    <t>BI53255</t>
  </si>
  <si>
    <t>BI53262</t>
  </si>
  <si>
    <t>BI53264</t>
  </si>
  <si>
    <t>BI53265</t>
  </si>
  <si>
    <t>BI53266</t>
  </si>
  <si>
    <t>Children; Customers or prospective customers</t>
  </si>
  <si>
    <t>Basic personal identifiers; Criminal convictions or offences; Data revealing racial or ethnic origin</t>
  </si>
  <si>
    <t>BI53267</t>
  </si>
  <si>
    <t>Basic personal identifiers; Economic and financial data; Health data; Identification data; Official documents</t>
  </si>
  <si>
    <t>BI53280</t>
  </si>
  <si>
    <t>BI53281</t>
  </si>
  <si>
    <t>Basic personal identifiers; Economic and financial data; Identification data; Location data; Official documents</t>
  </si>
  <si>
    <t>BI53289</t>
  </si>
  <si>
    <t>BI53320</t>
  </si>
  <si>
    <t>BI53337</t>
  </si>
  <si>
    <t>BI53343</t>
  </si>
  <si>
    <t>BI53344</t>
  </si>
  <si>
    <t>BI53354</t>
  </si>
  <si>
    <t>BI53356</t>
  </si>
  <si>
    <t>BI53361</t>
  </si>
  <si>
    <t>BI53363</t>
  </si>
  <si>
    <t>BI53366</t>
  </si>
  <si>
    <t>BI53379</t>
  </si>
  <si>
    <t>BI53383</t>
  </si>
  <si>
    <t>BI53396</t>
  </si>
  <si>
    <t>Basic personal identifiers; Data revealing racial or ethnic origin; Economic and financial data; Health data; Location data; Official documents</t>
  </si>
  <si>
    <t>BI53409</t>
  </si>
  <si>
    <t>BI53414</t>
  </si>
  <si>
    <t>Basic personal identifiers; Data revealing racial or ethnic origin; Economic and financial data; Identification data; Political opinions</t>
  </si>
  <si>
    <t>BI53415</t>
  </si>
  <si>
    <t>BI53430</t>
  </si>
  <si>
    <t>BI53431</t>
  </si>
  <si>
    <t>BI53446</t>
  </si>
  <si>
    <t>BI53447</t>
  </si>
  <si>
    <t>BI53468</t>
  </si>
  <si>
    <t>BI53481</t>
  </si>
  <si>
    <t>Economic and financial data; Identification data; Location data; Official documents</t>
  </si>
  <si>
    <t>BI53492</t>
  </si>
  <si>
    <t>BI53510</t>
  </si>
  <si>
    <t>BI53514</t>
  </si>
  <si>
    <t>BI53527</t>
  </si>
  <si>
    <t>BI53541</t>
  </si>
  <si>
    <t>BI53610</t>
  </si>
  <si>
    <t>Customers or prospective customers; Vulnerable adults</t>
  </si>
  <si>
    <t>BI53611</t>
  </si>
  <si>
    <t>BI53620</t>
  </si>
  <si>
    <t>BI53629</t>
  </si>
  <si>
    <t>Basic personal identifiers; Economic and financial data; Health data; Identification data</t>
  </si>
  <si>
    <t>BI53646</t>
  </si>
  <si>
    <t>BI53652</t>
  </si>
  <si>
    <t>BI53664</t>
  </si>
  <si>
    <t>BI53682</t>
  </si>
  <si>
    <t>BI53688</t>
  </si>
  <si>
    <t>Basic personal identifiers; Health data; Location data</t>
  </si>
  <si>
    <t>BI53690</t>
  </si>
  <si>
    <t>BI53706</t>
  </si>
  <si>
    <t>BI53708</t>
  </si>
  <si>
    <t>BI53721</t>
  </si>
  <si>
    <t>BI53725</t>
  </si>
  <si>
    <t>Basic personal identifiers; Identification data; Location data</t>
  </si>
  <si>
    <t>BI53734</t>
  </si>
  <si>
    <t>BI53739</t>
  </si>
  <si>
    <t>BI53764</t>
  </si>
  <si>
    <t>BI53770</t>
  </si>
  <si>
    <t>Basic personal identifiers; Gender Reassignment Data; Sex life data; Sexual orientation data</t>
  </si>
  <si>
    <t>BI53781</t>
  </si>
  <si>
    <t>BI53784</t>
  </si>
  <si>
    <t>BI53790</t>
  </si>
  <si>
    <t>BI53799</t>
  </si>
  <si>
    <t>BI53801</t>
  </si>
  <si>
    <t>BI53814</t>
  </si>
  <si>
    <t>BI53820</t>
  </si>
  <si>
    <t>BI53822</t>
  </si>
  <si>
    <t>BI53838</t>
  </si>
  <si>
    <t>BI53881</t>
  </si>
  <si>
    <t>BI53895</t>
  </si>
  <si>
    <t>Basic personal identifiers; Criminal convictions or offences; Economic and financial data; Official documents</t>
  </si>
  <si>
    <t>BI53906</t>
  </si>
  <si>
    <t>BI53909</t>
  </si>
  <si>
    <t>Subscribers</t>
  </si>
  <si>
    <t>BI53911</t>
  </si>
  <si>
    <t>Basic personal identifiers; Criminal convictions or offences; Data revealing racial or ethnic origin; Economic and financial data; Health data; Identification data; Location data; Official documents; Sexual orientation data</t>
  </si>
  <si>
    <t>BI53915</t>
  </si>
  <si>
    <t>BI53927</t>
  </si>
  <si>
    <t>BI53949</t>
  </si>
  <si>
    <t>BI53957</t>
  </si>
  <si>
    <t>BI53959</t>
  </si>
  <si>
    <t>BI53966</t>
  </si>
  <si>
    <t>Basic personal identifiers; Identification data; Location data; Official documents</t>
  </si>
  <si>
    <t>BI53967</t>
  </si>
  <si>
    <t>BI53968</t>
  </si>
  <si>
    <t>BI53981</t>
  </si>
  <si>
    <t>BI53992</t>
  </si>
  <si>
    <t>BI54009</t>
  </si>
  <si>
    <t>BI54023</t>
  </si>
  <si>
    <t>Basic personal identifiers; Sexual orientation data</t>
  </si>
  <si>
    <t>BI54027</t>
  </si>
  <si>
    <t>BI54032</t>
  </si>
  <si>
    <t>BI54035</t>
  </si>
  <si>
    <t>BI54084</t>
  </si>
  <si>
    <t>Basic personal identifiers; Economic and financial data; Official documents; Sexual orientation data; Trade union membership</t>
  </si>
  <si>
    <t>BI54094</t>
  </si>
  <si>
    <t>BI54105</t>
  </si>
  <si>
    <t>Customers or prospective customers; Employees; Users; Vulnerable adults</t>
  </si>
  <si>
    <t>Basic personal identifiers; Data revealing racial or ethnic origin; Economic and financial data; Identification data; Official documents; Trade union membership</t>
  </si>
  <si>
    <t>BI54107</t>
  </si>
  <si>
    <t>BI54110</t>
  </si>
  <si>
    <t>BI54112</t>
  </si>
  <si>
    <t>BI54115</t>
  </si>
  <si>
    <t>Children; Customers or prospective customers; Students; Subscribers</t>
  </si>
  <si>
    <t>Basic personal identifiers; Economic and financial data; Health data; Official documents</t>
  </si>
  <si>
    <t>BI54122</t>
  </si>
  <si>
    <t>BI54132</t>
  </si>
  <si>
    <t>BI54136</t>
  </si>
  <si>
    <t>BI54144</t>
  </si>
  <si>
    <t>Basic personal identifiers; Data revealing racial or ethnic origin; Economic and financial data; Official documents</t>
  </si>
  <si>
    <t>BI54146</t>
  </si>
  <si>
    <t>BI54153</t>
  </si>
  <si>
    <t>BI54161</t>
  </si>
  <si>
    <t>BI54184</t>
  </si>
  <si>
    <t>BI54198</t>
  </si>
  <si>
    <t>BI54265</t>
  </si>
  <si>
    <t>BI54272</t>
  </si>
  <si>
    <t>BI54274</t>
  </si>
  <si>
    <t>BI54275</t>
  </si>
  <si>
    <t>BI54291</t>
  </si>
  <si>
    <t>BI54301</t>
  </si>
  <si>
    <t>BI54303</t>
  </si>
  <si>
    <t>BI54317</t>
  </si>
  <si>
    <t>Basic personal identifiers; Genetic or biometric data; Political opinions; Sex life data; Sexual orientation data</t>
  </si>
  <si>
    <t>BI54321</t>
  </si>
  <si>
    <t>BI54325</t>
  </si>
  <si>
    <t>BI54328</t>
  </si>
  <si>
    <t>BI54334</t>
  </si>
  <si>
    <t>Customers or prospective customers; Employees; Students; Users; Vulnerable adults</t>
  </si>
  <si>
    <t>Basic personal identifiers; Data revealing racial or ethnic origin; Identification data; Location data; Official documents; Religious or philosophical beliefs</t>
  </si>
  <si>
    <t>BI54357</t>
  </si>
  <si>
    <t>BI54359</t>
  </si>
  <si>
    <t>BI54361</t>
  </si>
  <si>
    <t>BI54362</t>
  </si>
  <si>
    <t>BI54365</t>
  </si>
  <si>
    <t>BI54367</t>
  </si>
  <si>
    <t>BI54379</t>
  </si>
  <si>
    <t>Incorrect disposal of paperwork</t>
  </si>
  <si>
    <t>BI54392</t>
  </si>
  <si>
    <t>BI54400</t>
  </si>
  <si>
    <t>BI54409</t>
  </si>
  <si>
    <t>BI54420</t>
  </si>
  <si>
    <t>BI54436</t>
  </si>
  <si>
    <t>BI54454</t>
  </si>
  <si>
    <t>BI54491</t>
  </si>
  <si>
    <t>BI54506</t>
  </si>
  <si>
    <t>BI54508</t>
  </si>
  <si>
    <t>BI54511</t>
  </si>
  <si>
    <t>BI54519</t>
  </si>
  <si>
    <t>BI54521</t>
  </si>
  <si>
    <t>Basic personal identifiers; Data revealing racial or ethnic origin; Economic and financial data; Location data; Official documents</t>
  </si>
  <si>
    <t>BI54544</t>
  </si>
  <si>
    <t>BI54546</t>
  </si>
  <si>
    <t>BI54547</t>
  </si>
  <si>
    <t>Basic personal identifiers; Criminal convictions or offences; Economic and financial data; Genetic or biometric data; Health data; Identification data; Location data; Official documents; Sexual orientation data</t>
  </si>
  <si>
    <t>BI54549</t>
  </si>
  <si>
    <t>BI54551</t>
  </si>
  <si>
    <t>Basic personal identifiers; Criminal convictions or offences; Economic and financial data; Genetic or biometric data; Health data; Identification data; Location data; Official documents</t>
  </si>
  <si>
    <t>BI54552</t>
  </si>
  <si>
    <t>BI54559</t>
  </si>
  <si>
    <t>BI54566</t>
  </si>
  <si>
    <t>BI54570</t>
  </si>
  <si>
    <t>BI54616</t>
  </si>
  <si>
    <t>BI54620</t>
  </si>
  <si>
    <t>BI54621</t>
  </si>
  <si>
    <t>BI54646</t>
  </si>
  <si>
    <t>BI54652</t>
  </si>
  <si>
    <t>BI54666</t>
  </si>
  <si>
    <t>Basic personal identifiers; Data revealing racial or ethnic origin; Health data; Official documents; Sexual orientation data</t>
  </si>
  <si>
    <t>BI54670</t>
  </si>
  <si>
    <t>Students</t>
  </si>
  <si>
    <t>BI54672</t>
  </si>
  <si>
    <t>BI54680</t>
  </si>
  <si>
    <t>BI54685</t>
  </si>
  <si>
    <t>BI54694</t>
  </si>
  <si>
    <t>BI54712</t>
  </si>
  <si>
    <t>Children</t>
  </si>
  <si>
    <t>BI54720</t>
  </si>
  <si>
    <t>BI54725</t>
  </si>
  <si>
    <t>BI54732</t>
  </si>
  <si>
    <t>BI54737</t>
  </si>
  <si>
    <t>BI54753</t>
  </si>
  <si>
    <t>Basic personal identifiers; Data revealing racial or ethnic origin; Economic and financial data</t>
  </si>
  <si>
    <t>BI54754</t>
  </si>
  <si>
    <t>BI54760</t>
  </si>
  <si>
    <t>BI54772</t>
  </si>
  <si>
    <t>BI54774</t>
  </si>
  <si>
    <t>BI54775</t>
  </si>
  <si>
    <t>BI54787</t>
  </si>
  <si>
    <t>BI54790</t>
  </si>
  <si>
    <t>BI54813</t>
  </si>
  <si>
    <t>BI54816</t>
  </si>
  <si>
    <t>BI54823</t>
  </si>
  <si>
    <t>BI54824</t>
  </si>
  <si>
    <t>BI54832</t>
  </si>
  <si>
    <t>BI54835</t>
  </si>
  <si>
    <t>BI54859</t>
  </si>
  <si>
    <t>BI54860</t>
  </si>
  <si>
    <t>BI54869</t>
  </si>
  <si>
    <t>BI54905</t>
  </si>
  <si>
    <t>BI54914</t>
  </si>
  <si>
    <t>BI54926</t>
  </si>
  <si>
    <t>BI54931</t>
  </si>
  <si>
    <t>BI54968</t>
  </si>
  <si>
    <t>BI54981</t>
  </si>
  <si>
    <t>BI54984</t>
  </si>
  <si>
    <t>BI54991</t>
  </si>
  <si>
    <t>BI54995</t>
  </si>
  <si>
    <t>BI54999</t>
  </si>
  <si>
    <t>BI55005</t>
  </si>
  <si>
    <t>BI55012</t>
  </si>
  <si>
    <t>BI55013</t>
  </si>
  <si>
    <t>BI55021</t>
  </si>
  <si>
    <t>BI55022</t>
  </si>
  <si>
    <t>Basic personal identifiers; Data revealing racial or ethnic origin; Economic and financial data; Health data; Political opinions; Religious or philosophical beliefs; Sexual orientation data; Trade union membership</t>
  </si>
  <si>
    <t>BI55048</t>
  </si>
  <si>
    <t>Qtr 2</t>
  </si>
  <si>
    <t>BI55049</t>
  </si>
  <si>
    <t>BI55058</t>
  </si>
  <si>
    <t>BI55070</t>
  </si>
  <si>
    <t>BI55072</t>
  </si>
  <si>
    <t>BI55078</t>
  </si>
  <si>
    <t>BI55083</t>
  </si>
  <si>
    <t>BI55086</t>
  </si>
  <si>
    <t>Basic personal identifiers; Economic and financial data; Location data; Official documents</t>
  </si>
  <si>
    <t>BI55087</t>
  </si>
  <si>
    <t>BI55088</t>
  </si>
  <si>
    <t>Children; Employees; Subscribers; Users</t>
  </si>
  <si>
    <t>Basic personal identifiers; Data revealing racial or ethnic origin; Health data; Religious or philosophical beliefs; Sexual orientation data</t>
  </si>
  <si>
    <t>BI55092</t>
  </si>
  <si>
    <t>BI55100</t>
  </si>
  <si>
    <t>BI55102</t>
  </si>
  <si>
    <t>BI55112</t>
  </si>
  <si>
    <t>Patients; Vulnerable adults</t>
  </si>
  <si>
    <t>BI55115</t>
  </si>
  <si>
    <t>BI55116</t>
  </si>
  <si>
    <t>BI55117</t>
  </si>
  <si>
    <t>BI55124</t>
  </si>
  <si>
    <t>BI55133</t>
  </si>
  <si>
    <t>BI55144</t>
  </si>
  <si>
    <t>BI55152</t>
  </si>
  <si>
    <t>BI55154</t>
  </si>
  <si>
    <t>BI55163</t>
  </si>
  <si>
    <t>Basic personal identifiers; Data revealing racial or ethnic origin; Economic and financial data; Health data; Official documents; Trade union membership</t>
  </si>
  <si>
    <t>BI55167</t>
  </si>
  <si>
    <t>BI55181</t>
  </si>
  <si>
    <t>BI55184</t>
  </si>
  <si>
    <t>BI55199</t>
  </si>
  <si>
    <t>BI55200</t>
  </si>
  <si>
    <t>BI55201</t>
  </si>
  <si>
    <t>BI55203</t>
  </si>
  <si>
    <t>BI55211</t>
  </si>
  <si>
    <t>BI55222</t>
  </si>
  <si>
    <t>BI55227</t>
  </si>
  <si>
    <t>BI55233</t>
  </si>
  <si>
    <t>BI55236</t>
  </si>
  <si>
    <t>BI55244</t>
  </si>
  <si>
    <t>BI55246</t>
  </si>
  <si>
    <t>BI55249</t>
  </si>
  <si>
    <t>BI55250</t>
  </si>
  <si>
    <t>BI55284</t>
  </si>
  <si>
    <t>BI55291</t>
  </si>
  <si>
    <t>BI55307</t>
  </si>
  <si>
    <t>BI55309</t>
  </si>
  <si>
    <t>BI55323</t>
  </si>
  <si>
    <t>BI55331</t>
  </si>
  <si>
    <t>BI55347</t>
  </si>
  <si>
    <t>BI55348</t>
  </si>
  <si>
    <t>BI55354</t>
  </si>
  <si>
    <t>Customers or prospective customers; Employees; Subscribers</t>
  </si>
  <si>
    <t>Basic personal identifiers; Identification data; Location data; Official documents; Religious or philosophical beliefs; Sexual orientation data</t>
  </si>
  <si>
    <t>BI55361</t>
  </si>
  <si>
    <t>BI55383</t>
  </si>
  <si>
    <t>BI55404</t>
  </si>
  <si>
    <t>BI55406</t>
  </si>
  <si>
    <t>Criminal convictions or offences</t>
  </si>
  <si>
    <t>BI55414</t>
  </si>
  <si>
    <t>BI55417</t>
  </si>
  <si>
    <t>BI55421</t>
  </si>
  <si>
    <t>BI55429</t>
  </si>
  <si>
    <t>Basic personal identifiers; Criminal convictions or offences; Economic and financial data; Identification data; Location data; Official documents</t>
  </si>
  <si>
    <t>BI55442</t>
  </si>
  <si>
    <t>BI55450</t>
  </si>
  <si>
    <t>BI55462</t>
  </si>
  <si>
    <t>BI55463</t>
  </si>
  <si>
    <t>BI55464</t>
  </si>
  <si>
    <t>BI55492</t>
  </si>
  <si>
    <t>BI55493</t>
  </si>
  <si>
    <t>BI55495</t>
  </si>
  <si>
    <t>BI55506</t>
  </si>
  <si>
    <t>BI55515</t>
  </si>
  <si>
    <t>Basic personal identifiers; Economic and financial data; Genetic or biometric data; Health data; Identification data; Location data; Official documents</t>
  </si>
  <si>
    <t>BI55517</t>
  </si>
  <si>
    <t>BI55523</t>
  </si>
  <si>
    <t>Customers or prospective customers; Subscribers; Users</t>
  </si>
  <si>
    <t>BI55538</t>
  </si>
  <si>
    <t>BI55546</t>
  </si>
  <si>
    <t>Regulatory action taken</t>
  </si>
  <si>
    <t>Basic personal identifiers; Criminal convictions or offences; Official documents</t>
  </si>
  <si>
    <t>BI55548</t>
  </si>
  <si>
    <t>BI55555</t>
  </si>
  <si>
    <t>BI55560</t>
  </si>
  <si>
    <t>BI55577</t>
  </si>
  <si>
    <t>BI55616</t>
  </si>
  <si>
    <t>BI55656</t>
  </si>
  <si>
    <t>BI55668</t>
  </si>
  <si>
    <t>BI55670</t>
  </si>
  <si>
    <t>BI55678</t>
  </si>
  <si>
    <t>BI55721</t>
  </si>
  <si>
    <t>BI55732</t>
  </si>
  <si>
    <t>BI55754</t>
  </si>
  <si>
    <t>BI55765</t>
  </si>
  <si>
    <t>BI55777</t>
  </si>
  <si>
    <t>Basic personal identifiers; Data revealing racial or ethnic origin; Official documents</t>
  </si>
  <si>
    <t>BI55780</t>
  </si>
  <si>
    <t>BI55787</t>
  </si>
  <si>
    <t>BI55790</t>
  </si>
  <si>
    <t>BI55793</t>
  </si>
  <si>
    <t>BI55800</t>
  </si>
  <si>
    <t>BI55802</t>
  </si>
  <si>
    <t>BI55808</t>
  </si>
  <si>
    <t>BI55818</t>
  </si>
  <si>
    <t>BI55848</t>
  </si>
  <si>
    <t>BI55854</t>
  </si>
  <si>
    <t>BI55856</t>
  </si>
  <si>
    <t>BI55857</t>
  </si>
  <si>
    <t>BI55898</t>
  </si>
  <si>
    <t>BI55907</t>
  </si>
  <si>
    <t>Health data; Identification data</t>
  </si>
  <si>
    <t>BI55959</t>
  </si>
  <si>
    <t>BI55963</t>
  </si>
  <si>
    <t>BI55992</t>
  </si>
  <si>
    <t>Basic personal identifiers; Data revealing racial or ethnic origin; Health data</t>
  </si>
  <si>
    <t>BI55999</t>
  </si>
  <si>
    <t>BI56016</t>
  </si>
  <si>
    <t>BI56019</t>
  </si>
  <si>
    <t>BI56023</t>
  </si>
  <si>
    <t>BI56025</t>
  </si>
  <si>
    <t>BI56026</t>
  </si>
  <si>
    <t>BI56027</t>
  </si>
  <si>
    <t>BI56045</t>
  </si>
  <si>
    <t>BI56046</t>
  </si>
  <si>
    <t>BI56048</t>
  </si>
  <si>
    <t>BI56049</t>
  </si>
  <si>
    <t>BI56051</t>
  </si>
  <si>
    <t>BI56071</t>
  </si>
  <si>
    <t>BI56091</t>
  </si>
  <si>
    <t>BI56102</t>
  </si>
  <si>
    <t>BI56106</t>
  </si>
  <si>
    <t>BI56124</t>
  </si>
  <si>
    <t>BI56130</t>
  </si>
  <si>
    <t>BI56137</t>
  </si>
  <si>
    <t>BI56138</t>
  </si>
  <si>
    <t>BI56140</t>
  </si>
  <si>
    <t>BI56142</t>
  </si>
  <si>
    <t>BI56151</t>
  </si>
  <si>
    <t>BI56153</t>
  </si>
  <si>
    <t>BI56154</t>
  </si>
  <si>
    <t>BI56158</t>
  </si>
  <si>
    <t>BI56161</t>
  </si>
  <si>
    <t>BI56175</t>
  </si>
  <si>
    <t>BI56198</t>
  </si>
  <si>
    <t>BI56199</t>
  </si>
  <si>
    <t>BI56200</t>
  </si>
  <si>
    <t>BI56204</t>
  </si>
  <si>
    <t>BI56217</t>
  </si>
  <si>
    <t>BI56221</t>
  </si>
  <si>
    <t>BI56222</t>
  </si>
  <si>
    <t>BI56225</t>
  </si>
  <si>
    <t>BI56228</t>
  </si>
  <si>
    <t>BI56236</t>
  </si>
  <si>
    <t>Customers or prospective customers; Employees; Students</t>
  </si>
  <si>
    <t>BI56237</t>
  </si>
  <si>
    <t>BI56238</t>
  </si>
  <si>
    <t>BI56239</t>
  </si>
  <si>
    <t>BI56241</t>
  </si>
  <si>
    <t>BI56244</t>
  </si>
  <si>
    <t>BI56250</t>
  </si>
  <si>
    <t>BI56252</t>
  </si>
  <si>
    <t>BI56263</t>
  </si>
  <si>
    <t>BI56285</t>
  </si>
  <si>
    <t>BI56303</t>
  </si>
  <si>
    <t>BI56309</t>
  </si>
  <si>
    <t>BI56319</t>
  </si>
  <si>
    <t>BI56330</t>
  </si>
  <si>
    <t>BI56340</t>
  </si>
  <si>
    <t>BI56349</t>
  </si>
  <si>
    <t>Basic personal identifiers; Data revealing racial or ethnic origin; Location data</t>
  </si>
  <si>
    <t>BI56352</t>
  </si>
  <si>
    <t>BI56353</t>
  </si>
  <si>
    <t>BI56355</t>
  </si>
  <si>
    <t>BI56358</t>
  </si>
  <si>
    <t>Economic and financial data; Identification data</t>
  </si>
  <si>
    <t>BI56369</t>
  </si>
  <si>
    <t>BI56372</t>
  </si>
  <si>
    <t>BI56374</t>
  </si>
  <si>
    <t>BI56389</t>
  </si>
  <si>
    <t>BI56395</t>
  </si>
  <si>
    <t>BI56405</t>
  </si>
  <si>
    <t>Basic personal identifiers; Criminal convictions or offences; Economic and financial data; Genetic or biometric data; Identification data; Official documents</t>
  </si>
  <si>
    <t>BI56419</t>
  </si>
  <si>
    <t>BI56437</t>
  </si>
  <si>
    <t>BI56446</t>
  </si>
  <si>
    <t>Basic personal identifiers; Gender Reassignment Data; Health data</t>
  </si>
  <si>
    <t>BI56447</t>
  </si>
  <si>
    <t>BI56451</t>
  </si>
  <si>
    <t>BI56455</t>
  </si>
  <si>
    <t>BI56479</t>
  </si>
  <si>
    <t>BI56487</t>
  </si>
  <si>
    <t>BI56511</t>
  </si>
  <si>
    <t>BI56526</t>
  </si>
  <si>
    <t>BI56529</t>
  </si>
  <si>
    <t>BI56567</t>
  </si>
  <si>
    <t>BI56568</t>
  </si>
  <si>
    <t>BI56574</t>
  </si>
  <si>
    <t>Customers or prospective customers; Patients; Students; Users</t>
  </si>
  <si>
    <t>Basic personal identifiers; Health data; Sex life data</t>
  </si>
  <si>
    <t>BI56586</t>
  </si>
  <si>
    <t>Basic personal identifiers; Criminal convictions or offences; Data revealing racial or ethnic origin; Economic and financial data; Genetic or biometric data; Health data; Official documents</t>
  </si>
  <si>
    <t>BI56587</t>
  </si>
  <si>
    <t>BI56588</t>
  </si>
  <si>
    <t>BI56590</t>
  </si>
  <si>
    <t>BI56591</t>
  </si>
  <si>
    <t>BI56622</t>
  </si>
  <si>
    <t>BI56630</t>
  </si>
  <si>
    <t>BI56640</t>
  </si>
  <si>
    <t>BI56641</t>
  </si>
  <si>
    <t>Basic personal identifiers; Criminal convictions or offences; Data revealing racial or ethnic origin; Economic and financial data; Location data; Official documents</t>
  </si>
  <si>
    <t>BI56647</t>
  </si>
  <si>
    <t>Children; Customers or prospective customers; Employees; Students; Subscribers; Users</t>
  </si>
  <si>
    <t>Basic personal identifiers; Data revealing racial or ethnic origin; Health data; Identification data; Official documents; Sexual orientation data</t>
  </si>
  <si>
    <t>BI56660</t>
  </si>
  <si>
    <t>BI56682</t>
  </si>
  <si>
    <t>Basic personal identifiers; Health data; Official documents</t>
  </si>
  <si>
    <t>BI56706</t>
  </si>
  <si>
    <t>BI56709</t>
  </si>
  <si>
    <t>Basic personal identifiers; Data revealing racial or ethnic origin; Economic and financial data; Identification data; Official documents</t>
  </si>
  <si>
    <t>BI56712</t>
  </si>
  <si>
    <t>BI56713</t>
  </si>
  <si>
    <t>BI56730</t>
  </si>
  <si>
    <t>BI56738</t>
  </si>
  <si>
    <t>BI56763</t>
  </si>
  <si>
    <t>BI56780</t>
  </si>
  <si>
    <t>BI56797</t>
  </si>
  <si>
    <t>Children; Patients</t>
  </si>
  <si>
    <t>BI56816</t>
  </si>
  <si>
    <t>BI56853</t>
  </si>
  <si>
    <t>BI56860</t>
  </si>
  <si>
    <t>BI56864</t>
  </si>
  <si>
    <t>BI56895</t>
  </si>
  <si>
    <t>BI56899</t>
  </si>
  <si>
    <t>BI56905</t>
  </si>
  <si>
    <t>BI56908</t>
  </si>
  <si>
    <t>BI56923</t>
  </si>
  <si>
    <t>BI56928</t>
  </si>
  <si>
    <t>BI56943</t>
  </si>
  <si>
    <t>BI56957</t>
  </si>
  <si>
    <t>BI56970</t>
  </si>
  <si>
    <t>BI56978</t>
  </si>
  <si>
    <t>BI56980</t>
  </si>
  <si>
    <t>BI56989</t>
  </si>
  <si>
    <t>BI56997</t>
  </si>
  <si>
    <t>BI57004</t>
  </si>
  <si>
    <t>BI57012</t>
  </si>
  <si>
    <t>BI57029</t>
  </si>
  <si>
    <t>BI57031</t>
  </si>
  <si>
    <t>BI57034</t>
  </si>
  <si>
    <t>BI57040</t>
  </si>
  <si>
    <t>BI57049</t>
  </si>
  <si>
    <t>BI57085</t>
  </si>
  <si>
    <t>BI57095</t>
  </si>
  <si>
    <t>BI57100</t>
  </si>
  <si>
    <t>BI57109</t>
  </si>
  <si>
    <t>BI57116</t>
  </si>
  <si>
    <t>BI57117</t>
  </si>
  <si>
    <t>BI57128</t>
  </si>
  <si>
    <t>BI57139</t>
  </si>
  <si>
    <t>BI57147</t>
  </si>
  <si>
    <t>BI57149</t>
  </si>
  <si>
    <t>BI57153</t>
  </si>
  <si>
    <t>BI57154</t>
  </si>
  <si>
    <t>BI57160</t>
  </si>
  <si>
    <t>BI57171</t>
  </si>
  <si>
    <t>BI57176</t>
  </si>
  <si>
    <t>BI57198</t>
  </si>
  <si>
    <t>Basic personal identifiers; Economic and financial data; Identification data; Location data</t>
  </si>
  <si>
    <t>BI57212</t>
  </si>
  <si>
    <t>BI57217</t>
  </si>
  <si>
    <t>BI57235</t>
  </si>
  <si>
    <t>BI57253</t>
  </si>
  <si>
    <t>BI57255</t>
  </si>
  <si>
    <t>BI57282</t>
  </si>
  <si>
    <t>BI57285</t>
  </si>
  <si>
    <t>BI57299</t>
  </si>
  <si>
    <t>BI57309</t>
  </si>
  <si>
    <t>BI57310</t>
  </si>
  <si>
    <t>BI57311</t>
  </si>
  <si>
    <t>BI57314</t>
  </si>
  <si>
    <t>BI57324</t>
  </si>
  <si>
    <t>BI57325</t>
  </si>
  <si>
    <t>Basic personal identifiers; Data revealing racial or ethnic origin; Economic and financial data; Religious or philosophical beliefs</t>
  </si>
  <si>
    <t>BI57327</t>
  </si>
  <si>
    <t>BI57337</t>
  </si>
  <si>
    <t>BI57346</t>
  </si>
  <si>
    <t>BI57357</t>
  </si>
  <si>
    <t>BI57371</t>
  </si>
  <si>
    <t>BI57377</t>
  </si>
  <si>
    <t>BI57382</t>
  </si>
  <si>
    <t>BI57384</t>
  </si>
  <si>
    <t>BI57385</t>
  </si>
  <si>
    <t>BI57387</t>
  </si>
  <si>
    <t>BI57389</t>
  </si>
  <si>
    <t>BI57393</t>
  </si>
  <si>
    <t>BI57406</t>
  </si>
  <si>
    <t>BI57424</t>
  </si>
  <si>
    <t>BI57440</t>
  </si>
  <si>
    <t>BI57453</t>
  </si>
  <si>
    <t>BI57454</t>
  </si>
  <si>
    <t>BI57463</t>
  </si>
  <si>
    <t>Basic personal identifiers; Economic and financial data; Genetic or biometric data; Health data</t>
  </si>
  <si>
    <t>BI57471</t>
  </si>
  <si>
    <t>BI57488</t>
  </si>
  <si>
    <t>BI57489</t>
  </si>
  <si>
    <t>BI57496</t>
  </si>
  <si>
    <t>BI57508</t>
  </si>
  <si>
    <t>BI57509</t>
  </si>
  <si>
    <t>BI57512</t>
  </si>
  <si>
    <t>BI57524</t>
  </si>
  <si>
    <t>BI57525</t>
  </si>
  <si>
    <t>BI57533</t>
  </si>
  <si>
    <t>BI57552</t>
  </si>
  <si>
    <t>BI57579</t>
  </si>
  <si>
    <t>BI57580</t>
  </si>
  <si>
    <t>BI57600</t>
  </si>
  <si>
    <t>BI57602</t>
  </si>
  <si>
    <t>BI57609</t>
  </si>
  <si>
    <t>BI57611</t>
  </si>
  <si>
    <t>BI57632</t>
  </si>
  <si>
    <t>BI57641</t>
  </si>
  <si>
    <t>BI57662</t>
  </si>
  <si>
    <t>BI57667</t>
  </si>
  <si>
    <t>BI57691</t>
  </si>
  <si>
    <t>BI57693</t>
  </si>
  <si>
    <t>BI57701</t>
  </si>
  <si>
    <t>BI57710</t>
  </si>
  <si>
    <t>BI57711</t>
  </si>
  <si>
    <t>BI57718</t>
  </si>
  <si>
    <t>BI57734</t>
  </si>
  <si>
    <t>BI57748</t>
  </si>
  <si>
    <t>BI57750</t>
  </si>
  <si>
    <t>BI57753</t>
  </si>
  <si>
    <t>BI57763</t>
  </si>
  <si>
    <t>BI57775</t>
  </si>
  <si>
    <t>BI57776</t>
  </si>
  <si>
    <t>BI57780</t>
  </si>
  <si>
    <t>BI57786</t>
  </si>
  <si>
    <t>BI57812</t>
  </si>
  <si>
    <t>BI57837</t>
  </si>
  <si>
    <t>BI57850</t>
  </si>
  <si>
    <t>BI57854</t>
  </si>
  <si>
    <t>BI57882</t>
  </si>
  <si>
    <t>BI57886</t>
  </si>
  <si>
    <t>BI57891</t>
  </si>
  <si>
    <t>BI57917</t>
  </si>
  <si>
    <t>Basic personal identifiers; Criminal convictions or offences; Data revealing racial or ethnic origin; Economic and financial data; Genetic or biometric data; Health data; Official documents; Sex life data; Sexual orientation data</t>
  </si>
  <si>
    <t>BI57930</t>
  </si>
  <si>
    <t>BI57967</t>
  </si>
  <si>
    <t>BI57977</t>
  </si>
  <si>
    <t>BI57978</t>
  </si>
  <si>
    <t>BI57979</t>
  </si>
  <si>
    <t>BI57980</t>
  </si>
  <si>
    <t>BI57981</t>
  </si>
  <si>
    <t>BI57982</t>
  </si>
  <si>
    <t>BI57984</t>
  </si>
  <si>
    <t>BI57985</t>
  </si>
  <si>
    <t>BI57986</t>
  </si>
  <si>
    <t>BI57990</t>
  </si>
  <si>
    <t>BI58009</t>
  </si>
  <si>
    <t>BI58028</t>
  </si>
  <si>
    <t>BI58029</t>
  </si>
  <si>
    <t>BI58045</t>
  </si>
  <si>
    <t>BI58059</t>
  </si>
  <si>
    <t>BI58080</t>
  </si>
  <si>
    <t>BI58083</t>
  </si>
  <si>
    <t>BI58084</t>
  </si>
  <si>
    <t>BI58089</t>
  </si>
  <si>
    <t>BI58107</t>
  </si>
  <si>
    <t>BI58114</t>
  </si>
  <si>
    <t>BI58124</t>
  </si>
  <si>
    <t>Qtr 3</t>
  </si>
  <si>
    <t>BI58129</t>
  </si>
  <si>
    <t>BI58132</t>
  </si>
  <si>
    <t>BI58133</t>
  </si>
  <si>
    <t>BI58143</t>
  </si>
  <si>
    <t>BI58144</t>
  </si>
  <si>
    <t>BI58145</t>
  </si>
  <si>
    <t>BI58147</t>
  </si>
  <si>
    <t>BI58148</t>
  </si>
  <si>
    <t>BI58171</t>
  </si>
  <si>
    <t>Basic personal identifiers; Criminal convictions or offences; Data revealing racial or ethnic origin; Economic and financial data; Health data</t>
  </si>
  <si>
    <t>BI58179</t>
  </si>
  <si>
    <t>BI58181</t>
  </si>
  <si>
    <t>BI58184</t>
  </si>
  <si>
    <t>BI58201</t>
  </si>
  <si>
    <t>BI58203</t>
  </si>
  <si>
    <t>BI58283</t>
  </si>
  <si>
    <t>Basic personal identifiers; Criminal convictions or offences; Economic and financial data; Health data; Identification data; Official documents; Trade union membership</t>
  </si>
  <si>
    <t>BI58296</t>
  </si>
  <si>
    <t>BI58301</t>
  </si>
  <si>
    <t>BI58321</t>
  </si>
  <si>
    <t>BI58335</t>
  </si>
  <si>
    <t>BI58339</t>
  </si>
  <si>
    <t>BI58342</t>
  </si>
  <si>
    <t>BI58343</t>
  </si>
  <si>
    <t>BI58349</t>
  </si>
  <si>
    <t>Subscribers; Users</t>
  </si>
  <si>
    <t>BI58350</t>
  </si>
  <si>
    <t>BI58351</t>
  </si>
  <si>
    <t>BI58366</t>
  </si>
  <si>
    <t>Basic personal identifiers; Data revealing racial or ethnic origin; Economic and financial data; Health data</t>
  </si>
  <si>
    <t>BI58372</t>
  </si>
  <si>
    <t>BI58392</t>
  </si>
  <si>
    <t>BI58403</t>
  </si>
  <si>
    <t>BI58405</t>
  </si>
  <si>
    <t>BI58407</t>
  </si>
  <si>
    <t>BI58422</t>
  </si>
  <si>
    <t>BI58433</t>
  </si>
  <si>
    <t>BI58445</t>
  </si>
  <si>
    <t>BI58453</t>
  </si>
  <si>
    <t>BI58461</t>
  </si>
  <si>
    <t>BI58465</t>
  </si>
  <si>
    <t>BI58470</t>
  </si>
  <si>
    <t>Basic personal identifiers; Data revealing racial or ethnic origin; Health data; Official documents</t>
  </si>
  <si>
    <t>BI58471</t>
  </si>
  <si>
    <t>BI58483</t>
  </si>
  <si>
    <t>BI58484</t>
  </si>
  <si>
    <t>BI58494</t>
  </si>
  <si>
    <t>BI58502</t>
  </si>
  <si>
    <t>BI58510</t>
  </si>
  <si>
    <t>BI58513</t>
  </si>
  <si>
    <t>BI58519</t>
  </si>
  <si>
    <t>BI58520</t>
  </si>
  <si>
    <t>BI58524</t>
  </si>
  <si>
    <t>BI58539</t>
  </si>
  <si>
    <t>BI58546</t>
  </si>
  <si>
    <t>BI58557</t>
  </si>
  <si>
    <t>BI58568</t>
  </si>
  <si>
    <t>BI58597</t>
  </si>
  <si>
    <t>Employees; Subscribers; Users</t>
  </si>
  <si>
    <t>BI58616</t>
  </si>
  <si>
    <t>BI58632</t>
  </si>
  <si>
    <t>BI58638</t>
  </si>
  <si>
    <t>BI58655</t>
  </si>
  <si>
    <t>BI58657</t>
  </si>
  <si>
    <t>BI58670</t>
  </si>
  <si>
    <t>BI58685</t>
  </si>
  <si>
    <t>BI58690</t>
  </si>
  <si>
    <t>BI58708</t>
  </si>
  <si>
    <t>BI58716</t>
  </si>
  <si>
    <t>BI58724</t>
  </si>
  <si>
    <t>BI58732</t>
  </si>
  <si>
    <t>BI58733</t>
  </si>
  <si>
    <t>Children; Customers or prospective customers; Vulnerable adults</t>
  </si>
  <si>
    <t>BI58746</t>
  </si>
  <si>
    <t>BI58791</t>
  </si>
  <si>
    <t>BI58805</t>
  </si>
  <si>
    <t>BI58813</t>
  </si>
  <si>
    <t>BI58820</t>
  </si>
  <si>
    <t>BI58832</t>
  </si>
  <si>
    <t>BI58833</t>
  </si>
  <si>
    <t>BI58840</t>
  </si>
  <si>
    <t>Basic personal identifiers; Data revealing racial or ethnic origin; Economic and financial data; Genetic or biometric data; Official documents</t>
  </si>
  <si>
    <t>BI58848</t>
  </si>
  <si>
    <t>BI58865</t>
  </si>
  <si>
    <t>BI58867</t>
  </si>
  <si>
    <t>BI58874</t>
  </si>
  <si>
    <t>BI58998</t>
  </si>
  <si>
    <t>BI59000</t>
  </si>
  <si>
    <t>BI59035</t>
  </si>
  <si>
    <t>BI59036</t>
  </si>
  <si>
    <t>BI59043</t>
  </si>
  <si>
    <t>BI59056</t>
  </si>
  <si>
    <t>BI59070</t>
  </si>
  <si>
    <t>BI59091</t>
  </si>
  <si>
    <t>BI59109</t>
  </si>
  <si>
    <t>Basic personal identifiers; Data revealing racial or ethnic origin; Health data; Official documents; Religious or philosophical beliefs; Sexual orientation data</t>
  </si>
  <si>
    <t>BI59118</t>
  </si>
  <si>
    <t>Children; Customers or prospective customers; Employees; Users; Vulnerable adults</t>
  </si>
  <si>
    <t>Basic personal identifiers; Criminal convictions or offences; Data revealing racial or ethnic origin; Economic and financial data; Health data; Identification data; Location data; Official documents</t>
  </si>
  <si>
    <t>BI59129</t>
  </si>
  <si>
    <t>BI59130</t>
  </si>
  <si>
    <t>Customers or prospective customers; Subscribers; Users; Vulnerable adults</t>
  </si>
  <si>
    <t>BI59156</t>
  </si>
  <si>
    <t>BI59176</t>
  </si>
  <si>
    <t>BI59189</t>
  </si>
  <si>
    <t>BI59194</t>
  </si>
  <si>
    <t>BI59202</t>
  </si>
  <si>
    <t>BI59216</t>
  </si>
  <si>
    <t>BI59222</t>
  </si>
  <si>
    <t>BI59230</t>
  </si>
  <si>
    <t>BI59243</t>
  </si>
  <si>
    <t>BI59256</t>
  </si>
  <si>
    <t>BI59263</t>
  </si>
  <si>
    <t>BI59266</t>
  </si>
  <si>
    <t>Basic personal identifiers; Economic and financial data; Genetic or biometric data; Health data; Identification data; Location data; Official documents; Trade union membership</t>
  </si>
  <si>
    <t>BI59269</t>
  </si>
  <si>
    <t>BI59270</t>
  </si>
  <si>
    <t>BI59275</t>
  </si>
  <si>
    <t>Health data; Identification data; Location data; Official documents; Sex life data; Sexual orientation data</t>
  </si>
  <si>
    <t>BI59288</t>
  </si>
  <si>
    <t>BI59293</t>
  </si>
  <si>
    <t>BI59315</t>
  </si>
  <si>
    <t>BI59326</t>
  </si>
  <si>
    <t>BI59332</t>
  </si>
  <si>
    <t>BI59353</t>
  </si>
  <si>
    <t>BI59372</t>
  </si>
  <si>
    <t>BI59383</t>
  </si>
  <si>
    <t>BI59403</t>
  </si>
  <si>
    <t>BI59421</t>
  </si>
  <si>
    <t>BI59426</t>
  </si>
  <si>
    <t>BI59427</t>
  </si>
  <si>
    <t>BI59431</t>
  </si>
  <si>
    <t>BI59446</t>
  </si>
  <si>
    <t>BI59461</t>
  </si>
  <si>
    <t>BI59463</t>
  </si>
  <si>
    <t>Basic personal identifiers; Economic and financial data; Gender Reassignment Data; Health data; Official documents; Trade union membership</t>
  </si>
  <si>
    <t>BI59484</t>
  </si>
  <si>
    <t>BI59489</t>
  </si>
  <si>
    <t>Official documents</t>
  </si>
  <si>
    <t>BI59505</t>
  </si>
  <si>
    <t>BI59511</t>
  </si>
  <si>
    <t>BI59517</t>
  </si>
  <si>
    <t>BI59518</t>
  </si>
  <si>
    <t>BI59521</t>
  </si>
  <si>
    <t>BI59526</t>
  </si>
  <si>
    <t>BI59537</t>
  </si>
  <si>
    <t>BI59553</t>
  </si>
  <si>
    <t>BI59557</t>
  </si>
  <si>
    <t>BI59564</t>
  </si>
  <si>
    <t>BI59565</t>
  </si>
  <si>
    <t>BI59569</t>
  </si>
  <si>
    <t>BI59580</t>
  </si>
  <si>
    <t>BI59584</t>
  </si>
  <si>
    <t>BI59622</t>
  </si>
  <si>
    <t>BI59627</t>
  </si>
  <si>
    <t>BI59642</t>
  </si>
  <si>
    <t>BI59643</t>
  </si>
  <si>
    <t>BI59661</t>
  </si>
  <si>
    <t>BI59662</t>
  </si>
  <si>
    <t>BI59663</t>
  </si>
  <si>
    <t>BI59675</t>
  </si>
  <si>
    <t>BI59676</t>
  </si>
  <si>
    <t>BI59687</t>
  </si>
  <si>
    <t>BI59690</t>
  </si>
  <si>
    <t>BI59698</t>
  </si>
  <si>
    <t>BI59699</t>
  </si>
  <si>
    <t>BI59706</t>
  </si>
  <si>
    <t>BI59725</t>
  </si>
  <si>
    <t>BI59729</t>
  </si>
  <si>
    <t>Basic personal identifiers; Criminal convictions or offences; Data revealing racial or ethnic origin; Economic and financial data; Gender Reassignment Data; Health data; Identification data; Location data; Official documents</t>
  </si>
  <si>
    <t>BI59734</t>
  </si>
  <si>
    <t>BI59738</t>
  </si>
  <si>
    <t>BI59740</t>
  </si>
  <si>
    <t>BI59741</t>
  </si>
  <si>
    <t>BI59747</t>
  </si>
  <si>
    <t>BI59749</t>
  </si>
  <si>
    <t>BI59771</t>
  </si>
  <si>
    <t>BI59772</t>
  </si>
  <si>
    <t>BI59783</t>
  </si>
  <si>
    <t>BI59784</t>
  </si>
  <si>
    <t>BI59787</t>
  </si>
  <si>
    <t>BI59790</t>
  </si>
  <si>
    <t>BI59799</t>
  </si>
  <si>
    <t>BI59818</t>
  </si>
  <si>
    <t>BI59833</t>
  </si>
  <si>
    <t>BI59839</t>
  </si>
  <si>
    <t>BI59850</t>
  </si>
  <si>
    <t>BI59875</t>
  </si>
  <si>
    <t>BI59882</t>
  </si>
  <si>
    <t>Customers or prospective customers; Employees; Students; Users</t>
  </si>
  <si>
    <t>BI59883</t>
  </si>
  <si>
    <t>BI59884</t>
  </si>
  <si>
    <t>BI59885</t>
  </si>
  <si>
    <t>BI59895</t>
  </si>
  <si>
    <t>BI59903</t>
  </si>
  <si>
    <t>BI59916</t>
  </si>
  <si>
    <t>BI59924</t>
  </si>
  <si>
    <t>Data revealing racial or ethnic origin; Genetic or biometric data; Religious or philosophical beliefs</t>
  </si>
  <si>
    <t>BI59926</t>
  </si>
  <si>
    <t>BI59932</t>
  </si>
  <si>
    <t>BI59937</t>
  </si>
  <si>
    <t>BI59962</t>
  </si>
  <si>
    <t>BI59968</t>
  </si>
  <si>
    <t>BI59974</t>
  </si>
  <si>
    <t>BI59982</t>
  </si>
  <si>
    <t>Location data</t>
  </si>
  <si>
    <t>BI59984</t>
  </si>
  <si>
    <t>BI59990</t>
  </si>
  <si>
    <t>BI59993</t>
  </si>
  <si>
    <t>BI59996</t>
  </si>
  <si>
    <t>BI60003</t>
  </si>
  <si>
    <t>BI60004</t>
  </si>
  <si>
    <t>BI60006</t>
  </si>
  <si>
    <t>BI60008</t>
  </si>
  <si>
    <t>BI60009</t>
  </si>
  <si>
    <t>BI60012</t>
  </si>
  <si>
    <t>Basic personal identifiers; Data revealing racial or ethnic origin; Identification data; Location data</t>
  </si>
  <si>
    <t>BI60017</t>
  </si>
  <si>
    <t>BI60029</t>
  </si>
  <si>
    <t>BI60085</t>
  </si>
  <si>
    <t>BI60090</t>
  </si>
  <si>
    <t>BI60108</t>
  </si>
  <si>
    <t>BI60127</t>
  </si>
  <si>
    <t>BI60132</t>
  </si>
  <si>
    <t>BI60147</t>
  </si>
  <si>
    <t>BI60151</t>
  </si>
  <si>
    <t>BI60154</t>
  </si>
  <si>
    <t>BI60164</t>
  </si>
  <si>
    <t>BI60166</t>
  </si>
  <si>
    <t>Basic personal identifiers; Economic and financial data; Health data; Identification data; Official documents; Sexual orientation data; Trade union membership</t>
  </si>
  <si>
    <t>BI60177</t>
  </si>
  <si>
    <t>BI60184</t>
  </si>
  <si>
    <t>BI60192</t>
  </si>
  <si>
    <t>BI60214</t>
  </si>
  <si>
    <t>BI60222</t>
  </si>
  <si>
    <t>BI60232</t>
  </si>
  <si>
    <t>BI60238</t>
  </si>
  <si>
    <t>BI60243</t>
  </si>
  <si>
    <t>BI60275</t>
  </si>
  <si>
    <t>BI60279</t>
  </si>
  <si>
    <t>BI60281</t>
  </si>
  <si>
    <t>BI60287</t>
  </si>
  <si>
    <t>BI60296</t>
  </si>
  <si>
    <t>BI60298</t>
  </si>
  <si>
    <t>BI60310</t>
  </si>
  <si>
    <t>BI60319</t>
  </si>
  <si>
    <t>BI60320</t>
  </si>
  <si>
    <t>BI60328</t>
  </si>
  <si>
    <t>BI60330</t>
  </si>
  <si>
    <t>BI60332</t>
  </si>
  <si>
    <t>BI60338</t>
  </si>
  <si>
    <t>BI60341</t>
  </si>
  <si>
    <t>BI60345</t>
  </si>
  <si>
    <t>BI60353</t>
  </si>
  <si>
    <t>BI60357</t>
  </si>
  <si>
    <t>BI60379</t>
  </si>
  <si>
    <t>BI60381</t>
  </si>
  <si>
    <t>BI60408</t>
  </si>
  <si>
    <t>BI60434</t>
  </si>
  <si>
    <t>BI60435</t>
  </si>
  <si>
    <t>BI60436</t>
  </si>
  <si>
    <t>BI60453</t>
  </si>
  <si>
    <t>BI60457</t>
  </si>
  <si>
    <t>BI60487</t>
  </si>
  <si>
    <t>Basic personal identifiers; Sex life data</t>
  </si>
  <si>
    <t>BI60491</t>
  </si>
  <si>
    <t>BI60498</t>
  </si>
  <si>
    <t>BI60503</t>
  </si>
  <si>
    <t>BI60506</t>
  </si>
  <si>
    <t>BI60521</t>
  </si>
  <si>
    <t>BI60522</t>
  </si>
  <si>
    <t>BI60528</t>
  </si>
  <si>
    <t>BI60535</t>
  </si>
  <si>
    <t>BI60542</t>
  </si>
  <si>
    <t>BI60548</t>
  </si>
  <si>
    <t>BI60553</t>
  </si>
  <si>
    <t>BI60562</t>
  </si>
  <si>
    <t>BI60564</t>
  </si>
  <si>
    <t>BI60573</t>
  </si>
  <si>
    <t>BI60580</t>
  </si>
  <si>
    <t>BI60586</t>
  </si>
  <si>
    <t>BI60600</t>
  </si>
  <si>
    <t>BI60625</t>
  </si>
  <si>
    <t>BI60647</t>
  </si>
  <si>
    <t>BI60671</t>
  </si>
  <si>
    <t>BI60683</t>
  </si>
  <si>
    <t>BI60701</t>
  </si>
  <si>
    <t>BI60702</t>
  </si>
  <si>
    <t>BI60703</t>
  </si>
  <si>
    <t>BI60738</t>
  </si>
  <si>
    <t>BI60745</t>
  </si>
  <si>
    <t>BI60746</t>
  </si>
  <si>
    <t>BI60749</t>
  </si>
  <si>
    <t>BI60750</t>
  </si>
  <si>
    <t>BI60768</t>
  </si>
  <si>
    <t>Basic personal identifiers; Data revealing racial or ethnic origin; Economic and financial data; Health data; Identification data; Official documents; Trade union membership</t>
  </si>
  <si>
    <t>BI60769</t>
  </si>
  <si>
    <t>BI60772</t>
  </si>
  <si>
    <t>BI60776</t>
  </si>
  <si>
    <t>BI60777</t>
  </si>
  <si>
    <t>BI60793</t>
  </si>
  <si>
    <t>BI60804</t>
  </si>
  <si>
    <t>BI60831</t>
  </si>
  <si>
    <t>BI60861</t>
  </si>
  <si>
    <t>BI60862</t>
  </si>
  <si>
    <t>BI60870</t>
  </si>
  <si>
    <t>BI60882</t>
  </si>
  <si>
    <t>BI60883</t>
  </si>
  <si>
    <t>BI60889</t>
  </si>
  <si>
    <t>BI60896</t>
  </si>
  <si>
    <t>BI60904</t>
  </si>
  <si>
    <t>BI60932</t>
  </si>
  <si>
    <t>BI60933</t>
  </si>
  <si>
    <t>BI60939</t>
  </si>
  <si>
    <t>BI60952</t>
  </si>
  <si>
    <t>BI60955</t>
  </si>
  <si>
    <t>BI60964</t>
  </si>
  <si>
    <t>BI60965</t>
  </si>
  <si>
    <t>BI60974</t>
  </si>
  <si>
    <t>BI60979</t>
  </si>
  <si>
    <t>BI60986</t>
  </si>
  <si>
    <t>BI60987</t>
  </si>
  <si>
    <t>BI60990</t>
  </si>
  <si>
    <t>BI60993</t>
  </si>
  <si>
    <t>BI60997</t>
  </si>
  <si>
    <t>BI61000</t>
  </si>
  <si>
    <t>BI61006</t>
  </si>
  <si>
    <t>BI61015</t>
  </si>
  <si>
    <t>BI61016</t>
  </si>
  <si>
    <t>BI61036</t>
  </si>
  <si>
    <t>BI61043</t>
  </si>
  <si>
    <t>BI61058</t>
  </si>
  <si>
    <t>BI61063</t>
  </si>
  <si>
    <t>BI61064</t>
  </si>
  <si>
    <t>BI61087</t>
  </si>
  <si>
    <t>BI61093</t>
  </si>
  <si>
    <t>BI61097</t>
  </si>
  <si>
    <t>BI61104</t>
  </si>
  <si>
    <t>BI61116</t>
  </si>
  <si>
    <t>BI61118</t>
  </si>
  <si>
    <t>BI61125</t>
  </si>
  <si>
    <t>BI61126</t>
  </si>
  <si>
    <t>BI61133</t>
  </si>
  <si>
    <t>BI61134</t>
  </si>
  <si>
    <t>BI61136</t>
  </si>
  <si>
    <t>BI61148</t>
  </si>
  <si>
    <t>Qtr 4</t>
  </si>
  <si>
    <t>BI61168</t>
  </si>
  <si>
    <t>BI61171</t>
  </si>
  <si>
    <t>BI61178</t>
  </si>
  <si>
    <t>BI61199</t>
  </si>
  <si>
    <t>BI61201</t>
  </si>
  <si>
    <t>BI61216</t>
  </si>
  <si>
    <t>BI61221</t>
  </si>
  <si>
    <t>BI61237</t>
  </si>
  <si>
    <t>BI61240</t>
  </si>
  <si>
    <t>BI61244</t>
  </si>
  <si>
    <t>BI61248</t>
  </si>
  <si>
    <t>BI61259</t>
  </si>
  <si>
    <t>BI61263</t>
  </si>
  <si>
    <t>BI61267</t>
  </si>
  <si>
    <t>BI61269</t>
  </si>
  <si>
    <t>BI61273</t>
  </si>
  <si>
    <t>BI61275</t>
  </si>
  <si>
    <t>BI61303</t>
  </si>
  <si>
    <t>BI61306</t>
  </si>
  <si>
    <t>BI61307</t>
  </si>
  <si>
    <t>BI61309</t>
  </si>
  <si>
    <t>Basic personal identifiers; Data revealing racial or ethnic origin; Economic and financial data; Genetic or biometric data; Health data; Identification data; Official documents; Religious or philosophical beliefs; Sexual orientation data</t>
  </si>
  <si>
    <t>BI61334</t>
  </si>
  <si>
    <t>BI61337</t>
  </si>
  <si>
    <t>BI61338</t>
  </si>
  <si>
    <t>BI61343</t>
  </si>
  <si>
    <t>BI61346</t>
  </si>
  <si>
    <t>BI61347</t>
  </si>
  <si>
    <t>BI61348</t>
  </si>
  <si>
    <t>BI61369</t>
  </si>
  <si>
    <t>BI61371</t>
  </si>
  <si>
    <t>BI61373</t>
  </si>
  <si>
    <t>BI61393</t>
  </si>
  <si>
    <t>BI61397</t>
  </si>
  <si>
    <t>BI61398</t>
  </si>
  <si>
    <t>BI61419</t>
  </si>
  <si>
    <t>BI61462</t>
  </si>
  <si>
    <t>Children; Users</t>
  </si>
  <si>
    <t>BI61465</t>
  </si>
  <si>
    <t>BI61485</t>
  </si>
  <si>
    <t>BI61499</t>
  </si>
  <si>
    <t>BI61521</t>
  </si>
  <si>
    <t>BI61535</t>
  </si>
  <si>
    <t>BI61536</t>
  </si>
  <si>
    <t>BI61537</t>
  </si>
  <si>
    <t>Users; Vulnerable adults</t>
  </si>
  <si>
    <t>BI61568</t>
  </si>
  <si>
    <t>BI61587</t>
  </si>
  <si>
    <t>Basic personal identifiers; Economic and financial data; Health data; Location data</t>
  </si>
  <si>
    <t>BI61590</t>
  </si>
  <si>
    <t>BI61591</t>
  </si>
  <si>
    <t>Children; Vulnerable adults</t>
  </si>
  <si>
    <t>BI61607</t>
  </si>
  <si>
    <t>BI61614</t>
  </si>
  <si>
    <t>BI61627</t>
  </si>
  <si>
    <t>BI61630</t>
  </si>
  <si>
    <t>BI61638</t>
  </si>
  <si>
    <t>BI61641</t>
  </si>
  <si>
    <t>BI61647</t>
  </si>
  <si>
    <t>BI61655</t>
  </si>
  <si>
    <t>BI61659</t>
  </si>
  <si>
    <t>BI61661</t>
  </si>
  <si>
    <t>BI61680</t>
  </si>
  <si>
    <t>BI61683</t>
  </si>
  <si>
    <t>BI61687</t>
  </si>
  <si>
    <t>BI61695</t>
  </si>
  <si>
    <t>BI61700</t>
  </si>
  <si>
    <t>BI61703</t>
  </si>
  <si>
    <t>BI61705</t>
  </si>
  <si>
    <t>BI61713</t>
  </si>
  <si>
    <t>BI61736</t>
  </si>
  <si>
    <t>BI61742</t>
  </si>
  <si>
    <t>BI61771</t>
  </si>
  <si>
    <t>BI61778</t>
  </si>
  <si>
    <t>BI61791</t>
  </si>
  <si>
    <t>BI61792</t>
  </si>
  <si>
    <t>BI61796</t>
  </si>
  <si>
    <t>BI61806</t>
  </si>
  <si>
    <t>BI61807</t>
  </si>
  <si>
    <t>BI61813</t>
  </si>
  <si>
    <t>BI61843</t>
  </si>
  <si>
    <t>BI61855</t>
  </si>
  <si>
    <t>BI61859</t>
  </si>
  <si>
    <t>BI61861</t>
  </si>
  <si>
    <t>BI61866</t>
  </si>
  <si>
    <t>BI61877</t>
  </si>
  <si>
    <t>BI61880</t>
  </si>
  <si>
    <t>Denial of service</t>
  </si>
  <si>
    <t>BI61881</t>
  </si>
  <si>
    <t>BI61883</t>
  </si>
  <si>
    <t>BI61884</t>
  </si>
  <si>
    <t>BI61885</t>
  </si>
  <si>
    <t>BI61891</t>
  </si>
  <si>
    <t>BI61898</t>
  </si>
  <si>
    <t>BI61914</t>
  </si>
  <si>
    <t>BI61915</t>
  </si>
  <si>
    <t>BI61981</t>
  </si>
  <si>
    <t>BI61993</t>
  </si>
  <si>
    <t>BI61994</t>
  </si>
  <si>
    <t>BI61999</t>
  </si>
  <si>
    <t>BI62000</t>
  </si>
  <si>
    <t>BI62013</t>
  </si>
  <si>
    <t>BI62024</t>
  </si>
  <si>
    <t>BI62031</t>
  </si>
  <si>
    <t>BI62042</t>
  </si>
  <si>
    <t>BI62043</t>
  </si>
  <si>
    <t>Basic personal identifiers; Trade union membership</t>
  </si>
  <si>
    <t>BI62047</t>
  </si>
  <si>
    <t>BI62048</t>
  </si>
  <si>
    <t>BI62053</t>
  </si>
  <si>
    <t>Basic personal identifiers; Economic and financial data; Political opinions</t>
  </si>
  <si>
    <t>BI62060</t>
  </si>
  <si>
    <t>BI62064</t>
  </si>
  <si>
    <t>BI62079</t>
  </si>
  <si>
    <t>BI62101</t>
  </si>
  <si>
    <t>BI62106</t>
  </si>
  <si>
    <t>BI62110</t>
  </si>
  <si>
    <t>BI62138</t>
  </si>
  <si>
    <t>BI62140</t>
  </si>
  <si>
    <t>Basic personal identifiers; Criminal convictions or offences; Data revealing racial or ethnic origin; Economic and financial data; Official documents</t>
  </si>
  <si>
    <t>BI62141</t>
  </si>
  <si>
    <t>BI62163</t>
  </si>
  <si>
    <t>BI62166</t>
  </si>
  <si>
    <t>BI62170</t>
  </si>
  <si>
    <t>BI62171</t>
  </si>
  <si>
    <t>BI62178</t>
  </si>
  <si>
    <t>BI62179</t>
  </si>
  <si>
    <t>BI62180</t>
  </si>
  <si>
    <t>BI62181</t>
  </si>
  <si>
    <t>BI62182</t>
  </si>
  <si>
    <t>BI62190</t>
  </si>
  <si>
    <t>BI62203</t>
  </si>
  <si>
    <t>BI62230</t>
  </si>
  <si>
    <t>BI62233</t>
  </si>
  <si>
    <t>BI62245</t>
  </si>
  <si>
    <t>BI62248</t>
  </si>
  <si>
    <t>BI62250</t>
  </si>
  <si>
    <t>Employees; Vulnerable adults</t>
  </si>
  <si>
    <t>BI62275</t>
  </si>
  <si>
    <t>BI62276</t>
  </si>
  <si>
    <t>BI62279</t>
  </si>
  <si>
    <t>BI62292</t>
  </si>
  <si>
    <t>BI62294</t>
  </si>
  <si>
    <t>BI62295</t>
  </si>
  <si>
    <t>BI62311</t>
  </si>
  <si>
    <t>BI62317</t>
  </si>
  <si>
    <t>Basic personal identifiers; Data revealing racial or ethnic origin; Economic and financial data; Official documents; Religious or philosophical beliefs</t>
  </si>
  <si>
    <t>BI62323</t>
  </si>
  <si>
    <t>BI62334</t>
  </si>
  <si>
    <t>BI62336</t>
  </si>
  <si>
    <t>BI62338</t>
  </si>
  <si>
    <t>BI62339</t>
  </si>
  <si>
    <t>Health data; Sex life data</t>
  </si>
  <si>
    <t>BI62342</t>
  </si>
  <si>
    <t>BI62373</t>
  </si>
  <si>
    <t>BI62381</t>
  </si>
  <si>
    <t>BI62395</t>
  </si>
  <si>
    <t>BI62404</t>
  </si>
  <si>
    <t>BI62446</t>
  </si>
  <si>
    <t>BI62471</t>
  </si>
  <si>
    <t>BI62479</t>
  </si>
  <si>
    <t>BI62483</t>
  </si>
  <si>
    <t>BI62485</t>
  </si>
  <si>
    <t>BI62493</t>
  </si>
  <si>
    <t>BI62505</t>
  </si>
  <si>
    <t>BI62515</t>
  </si>
  <si>
    <t>BI62530</t>
  </si>
  <si>
    <t>BI62539</t>
  </si>
  <si>
    <t>BI62560</t>
  </si>
  <si>
    <t>Children; Students; Users</t>
  </si>
  <si>
    <t>BI62567</t>
  </si>
  <si>
    <t>BI62572</t>
  </si>
  <si>
    <t>BI62577</t>
  </si>
  <si>
    <t>BI62589</t>
  </si>
  <si>
    <t>BI62591</t>
  </si>
  <si>
    <t>BI62599</t>
  </si>
  <si>
    <t>BI62614</t>
  </si>
  <si>
    <t>BI62617</t>
  </si>
  <si>
    <t>BI62618</t>
  </si>
  <si>
    <t>BI62626</t>
  </si>
  <si>
    <t>BI62635</t>
  </si>
  <si>
    <t>BI62648</t>
  </si>
  <si>
    <t>BI62661</t>
  </si>
  <si>
    <t>BI62674</t>
  </si>
  <si>
    <t>Basic personal identifiers; Economic and financial data; Genetic or biometric data; Health data; Identification data; Official documents</t>
  </si>
  <si>
    <t>BI62683</t>
  </si>
  <si>
    <t>BI62686</t>
  </si>
  <si>
    <t>BI62691</t>
  </si>
  <si>
    <t>BI62695</t>
  </si>
  <si>
    <t>BI62724</t>
  </si>
  <si>
    <t>BI62728</t>
  </si>
  <si>
    <t>BI62758</t>
  </si>
  <si>
    <t>BI62759</t>
  </si>
  <si>
    <t>BI62764</t>
  </si>
  <si>
    <t>BI62773</t>
  </si>
  <si>
    <t>BI62774</t>
  </si>
  <si>
    <t>BI62780</t>
  </si>
  <si>
    <t>BI62784</t>
  </si>
  <si>
    <t>BI62803</t>
  </si>
  <si>
    <t>BI62818</t>
  </si>
  <si>
    <t>BI62819</t>
  </si>
  <si>
    <t>BI62823</t>
  </si>
  <si>
    <t>BI62824</t>
  </si>
  <si>
    <t>BI62836</t>
  </si>
  <si>
    <t>BI62837</t>
  </si>
  <si>
    <t>BI62859</t>
  </si>
  <si>
    <t>BI62898</t>
  </si>
  <si>
    <t>BI62908</t>
  </si>
  <si>
    <t>BI62929</t>
  </si>
  <si>
    <t>BI62953</t>
  </si>
  <si>
    <t>BI62960</t>
  </si>
  <si>
    <t>BI62965</t>
  </si>
  <si>
    <t>BI62968</t>
  </si>
  <si>
    <t>BI62970</t>
  </si>
  <si>
    <t>BI62986</t>
  </si>
  <si>
    <t>Customers or prospective customers; Students</t>
  </si>
  <si>
    <t>BI63009</t>
  </si>
  <si>
    <t>BI63026</t>
  </si>
  <si>
    <t>BI63028</t>
  </si>
  <si>
    <t>BI63031</t>
  </si>
  <si>
    <t>BI63042</t>
  </si>
  <si>
    <t>BI63060</t>
  </si>
  <si>
    <t>BI63093</t>
  </si>
  <si>
    <t>BI63097</t>
  </si>
  <si>
    <t>BI63103</t>
  </si>
  <si>
    <t>BI63114</t>
  </si>
  <si>
    <t>BI63115</t>
  </si>
  <si>
    <t>BI63117</t>
  </si>
  <si>
    <t>Children; Employees; Students</t>
  </si>
  <si>
    <t>BI63118</t>
  </si>
  <si>
    <t>BI63119</t>
  </si>
  <si>
    <t>BI63130</t>
  </si>
  <si>
    <t>BI63147</t>
  </si>
  <si>
    <t>BI63152</t>
  </si>
  <si>
    <t>BI63159</t>
  </si>
  <si>
    <t>BI63163</t>
  </si>
  <si>
    <t>BI63166</t>
  </si>
  <si>
    <t>BI63172</t>
  </si>
  <si>
    <t>BI63173</t>
  </si>
  <si>
    <t>BI63199</t>
  </si>
  <si>
    <t>BI63200</t>
  </si>
  <si>
    <t>BI63204</t>
  </si>
  <si>
    <t>BI63218</t>
  </si>
  <si>
    <t>BI63231</t>
  </si>
  <si>
    <t>BI63268</t>
  </si>
  <si>
    <t>BI63274</t>
  </si>
  <si>
    <t>BI63284</t>
  </si>
  <si>
    <t>BI63287</t>
  </si>
  <si>
    <t>BI63311</t>
  </si>
  <si>
    <t>BI63312</t>
  </si>
  <si>
    <t>BI63313</t>
  </si>
  <si>
    <t>BI63314</t>
  </si>
  <si>
    <t>BI63316</t>
  </si>
  <si>
    <t>BI63317</t>
  </si>
  <si>
    <t>BI63319</t>
  </si>
  <si>
    <t>BI63335</t>
  </si>
  <si>
    <t>BI63341</t>
  </si>
  <si>
    <t>BI63344</t>
  </si>
  <si>
    <t>BI63350</t>
  </si>
  <si>
    <t>BI63356</t>
  </si>
  <si>
    <t>BI63364</t>
  </si>
  <si>
    <t>BI63381</t>
  </si>
  <si>
    <t>BI63383</t>
  </si>
  <si>
    <t>BI63388</t>
  </si>
  <si>
    <t>BI63405</t>
  </si>
  <si>
    <t>BI63409</t>
  </si>
  <si>
    <t>Basic personal identifiers; Data revealing racial or ethnic origin; Economic and financial data; Health data; Identification data; Location data; Official documents; Religious or philosophical beliefs</t>
  </si>
  <si>
    <t>BI63413</t>
  </si>
  <si>
    <t>BI63422</t>
  </si>
  <si>
    <t>BI63424</t>
  </si>
  <si>
    <t>BI63437</t>
  </si>
  <si>
    <t>BI63444</t>
  </si>
  <si>
    <t>BI63449</t>
  </si>
  <si>
    <t>BI63452</t>
  </si>
  <si>
    <t>BI63465</t>
  </si>
  <si>
    <t>BI63472</t>
  </si>
  <si>
    <t>BI63479</t>
  </si>
  <si>
    <t>BI63487</t>
  </si>
  <si>
    <t>BI63489</t>
  </si>
  <si>
    <t>BI63490</t>
  </si>
  <si>
    <t>BI63498</t>
  </si>
  <si>
    <t>BI63500</t>
  </si>
  <si>
    <t>BI63503</t>
  </si>
  <si>
    <t>BI63514</t>
  </si>
  <si>
    <t>BI63523</t>
  </si>
  <si>
    <t>Basic personal identifiers; Criminal convictions or offences; Data revealing racial or ethnic origin; Official documents</t>
  </si>
  <si>
    <t>BI63529</t>
  </si>
  <si>
    <t>BI63531</t>
  </si>
  <si>
    <t>Basic personal identifiers; Economic and financial data; Genetic or biometric data</t>
  </si>
  <si>
    <t>BI63534</t>
  </si>
  <si>
    <t>BI63537</t>
  </si>
  <si>
    <t>BI63542</t>
  </si>
  <si>
    <t>BI63578</t>
  </si>
  <si>
    <t>BI63589</t>
  </si>
  <si>
    <t>BI63590</t>
  </si>
  <si>
    <t>BI63594</t>
  </si>
  <si>
    <t>BI63607</t>
  </si>
  <si>
    <t>BI63611</t>
  </si>
  <si>
    <t>BI63622</t>
  </si>
  <si>
    <t>BI63632</t>
  </si>
  <si>
    <t>BI63638</t>
  </si>
  <si>
    <t>BI63646</t>
  </si>
  <si>
    <t>BI63653</t>
  </si>
  <si>
    <t>BI63670</t>
  </si>
  <si>
    <t>BI63686</t>
  </si>
  <si>
    <t>BI63697</t>
  </si>
  <si>
    <t>BI63728</t>
  </si>
  <si>
    <t>Data revealing racial or ethnic origin</t>
  </si>
  <si>
    <t>BI63748</t>
  </si>
  <si>
    <t>BI63750</t>
  </si>
  <si>
    <t>BI63753</t>
  </si>
  <si>
    <t>BI63759</t>
  </si>
  <si>
    <t>BI63761</t>
  </si>
  <si>
    <t>BI63777</t>
  </si>
  <si>
    <t>BI63805</t>
  </si>
  <si>
    <t>BI63810</t>
  </si>
  <si>
    <t>BI63811</t>
  </si>
  <si>
    <t>BI63820</t>
  </si>
  <si>
    <t>BI63837</t>
  </si>
  <si>
    <t>BI63844</t>
  </si>
  <si>
    <t>BI63849</t>
  </si>
  <si>
    <t>BI63866</t>
  </si>
  <si>
    <t>BI63875</t>
  </si>
  <si>
    <t>BI63879</t>
  </si>
  <si>
    <t>BI63901</t>
  </si>
  <si>
    <t>BI63906</t>
  </si>
  <si>
    <t>BI63909</t>
  </si>
  <si>
    <t>BI63921</t>
  </si>
  <si>
    <t>BI63924</t>
  </si>
  <si>
    <t>BI63925</t>
  </si>
  <si>
    <t>BI63929</t>
  </si>
  <si>
    <t>BI63940</t>
  </si>
  <si>
    <t>BI63942</t>
  </si>
  <si>
    <t>BI63943</t>
  </si>
  <si>
    <t>BI63964</t>
  </si>
  <si>
    <t>BI63975</t>
  </si>
  <si>
    <t>BI63996</t>
  </si>
  <si>
    <t>BI63998</t>
  </si>
  <si>
    <t>BI64001</t>
  </si>
  <si>
    <t>BI64002</t>
  </si>
  <si>
    <t>BI64018</t>
  </si>
  <si>
    <t>BI64039</t>
  </si>
  <si>
    <t>BI64043</t>
  </si>
  <si>
    <t>BI64049</t>
  </si>
  <si>
    <t>BI64057</t>
  </si>
  <si>
    <t>BI64097</t>
  </si>
  <si>
    <t>BI64101</t>
  </si>
  <si>
    <t>BI64102</t>
  </si>
  <si>
    <t>BI64104</t>
  </si>
  <si>
    <t>BI64106</t>
  </si>
  <si>
    <t>BI64118</t>
  </si>
  <si>
    <t>BI64125</t>
  </si>
  <si>
    <t>BI64132</t>
  </si>
  <si>
    <t>BI64165</t>
  </si>
  <si>
    <t>BI64180</t>
  </si>
  <si>
    <t>Sex life data</t>
  </si>
  <si>
    <t>BI64201</t>
  </si>
  <si>
    <t>BI64205</t>
  </si>
  <si>
    <t>BI64213</t>
  </si>
  <si>
    <t>Basic personal identifiers; Economic and financial data; Identification data; Official documents; Sex life data</t>
  </si>
  <si>
    <t>BI64226</t>
  </si>
  <si>
    <t>BI64229</t>
  </si>
  <si>
    <t>BI64231</t>
  </si>
  <si>
    <t>BI64236</t>
  </si>
  <si>
    <t>BI64239</t>
  </si>
  <si>
    <t>BI64242</t>
  </si>
  <si>
    <t>Basic personal identifiers; Criminal convictions or offences; Sex life data</t>
  </si>
  <si>
    <t>BI64258</t>
  </si>
  <si>
    <t>BI64259</t>
  </si>
  <si>
    <t>BI64282</t>
  </si>
  <si>
    <t>BI64286</t>
  </si>
  <si>
    <t>BI64288</t>
  </si>
  <si>
    <t>BI64292</t>
  </si>
  <si>
    <t>BI64304</t>
  </si>
  <si>
    <t>BI64305</t>
  </si>
  <si>
    <t>BI64306</t>
  </si>
  <si>
    <t>Basic personal identifiers; Data revealing racial or ethnic origin; Sexual orientation data</t>
  </si>
  <si>
    <t>BI67434</t>
  </si>
  <si>
    <t>BI67410</t>
  </si>
  <si>
    <t>BI67403</t>
  </si>
  <si>
    <t>BI67401</t>
  </si>
  <si>
    <t>BI67388</t>
  </si>
  <si>
    <t>BI67382</t>
  </si>
  <si>
    <t>BI67380</t>
  </si>
  <si>
    <t>BI67379</t>
  </si>
  <si>
    <t>BI67369</t>
  </si>
  <si>
    <t>BI67362</t>
  </si>
  <si>
    <t>BI67361</t>
  </si>
  <si>
    <t>BI67360</t>
  </si>
  <si>
    <t>BI67358</t>
  </si>
  <si>
    <t>BI67357</t>
  </si>
  <si>
    <t>BI67343</t>
  </si>
  <si>
    <t>BI67339</t>
  </si>
  <si>
    <t>BI67337</t>
  </si>
  <si>
    <t>BI67328</t>
  </si>
  <si>
    <t>BI67308</t>
  </si>
  <si>
    <t>BI67301</t>
  </si>
  <si>
    <t>BI67274</t>
  </si>
  <si>
    <t>BI67264</t>
  </si>
  <si>
    <t>BI67251</t>
  </si>
  <si>
    <t>BI67249</t>
  </si>
  <si>
    <t>BI67245</t>
  </si>
  <si>
    <t>BI67237</t>
  </si>
  <si>
    <t>BI67229</t>
  </si>
  <si>
    <t>BI67228</t>
  </si>
  <si>
    <t>BI67227</t>
  </si>
  <si>
    <t>BI67225</t>
  </si>
  <si>
    <t>Customers or prospective customers; Employees; Patients; Vulnerable adults</t>
  </si>
  <si>
    <t>Basic personal identifiers; Data revealing racial or ethnic origin; Economic and financial data; Health data; Identification data; Official documents; Political opinions; Religious or philosophical beliefs; Sexual orientation data</t>
  </si>
  <si>
    <t>BI67224</t>
  </si>
  <si>
    <t>BI67211</t>
  </si>
  <si>
    <t>BI67205</t>
  </si>
  <si>
    <t>Data revealing racial or ethnic origin; Economic and financial data; Genetic or biometric data; Health data; Location data; Official documents; Sexual orientation data</t>
  </si>
  <si>
    <t>BI67194</t>
  </si>
  <si>
    <t>BI67188</t>
  </si>
  <si>
    <t>BI67176</t>
  </si>
  <si>
    <t>BI67175</t>
  </si>
  <si>
    <t>BI67166</t>
  </si>
  <si>
    <t>BI67162</t>
  </si>
  <si>
    <t>BI67138</t>
  </si>
  <si>
    <t>BI67135</t>
  </si>
  <si>
    <t>BI67134</t>
  </si>
  <si>
    <t>BI67133</t>
  </si>
  <si>
    <t>BI67125</t>
  </si>
  <si>
    <t>BI67122</t>
  </si>
  <si>
    <t>BI67121</t>
  </si>
  <si>
    <t>BI67113</t>
  </si>
  <si>
    <t>BI67095</t>
  </si>
  <si>
    <t>BI67075</t>
  </si>
  <si>
    <t>BI67071</t>
  </si>
  <si>
    <t>BI67066</t>
  </si>
  <si>
    <t>BI67064</t>
  </si>
  <si>
    <t>BI67040</t>
  </si>
  <si>
    <t>BI67035</t>
  </si>
  <si>
    <t>BI67034</t>
  </si>
  <si>
    <t>BI67033</t>
  </si>
  <si>
    <t>BI67007</t>
  </si>
  <si>
    <t>BI66993</t>
  </si>
  <si>
    <t>BI66982</t>
  </si>
  <si>
    <t>BI66979</t>
  </si>
  <si>
    <t>BI66976</t>
  </si>
  <si>
    <t>BI66924</t>
  </si>
  <si>
    <t>Basic personal identifiers; Data revealing racial or ethnic origin; Health data; Identification data; Official documents</t>
  </si>
  <si>
    <t>BI66902</t>
  </si>
  <si>
    <t>BI66901</t>
  </si>
  <si>
    <t>BI66878</t>
  </si>
  <si>
    <t>BI66874</t>
  </si>
  <si>
    <t>BI66868</t>
  </si>
  <si>
    <t>BI66866</t>
  </si>
  <si>
    <t>BI66859</t>
  </si>
  <si>
    <t>BI66855</t>
  </si>
  <si>
    <t>BI66853</t>
  </si>
  <si>
    <t>BI66817</t>
  </si>
  <si>
    <t>BI66815</t>
  </si>
  <si>
    <t>BI66806</t>
  </si>
  <si>
    <t>BI66793</t>
  </si>
  <si>
    <t>BI66782</t>
  </si>
  <si>
    <t>BI66770</t>
  </si>
  <si>
    <t>BI66766</t>
  </si>
  <si>
    <t>BI66759</t>
  </si>
  <si>
    <t>BI66752</t>
  </si>
  <si>
    <t>BI66729</t>
  </si>
  <si>
    <t>BI66706</t>
  </si>
  <si>
    <t>BI66701</t>
  </si>
  <si>
    <t>BI66697</t>
  </si>
  <si>
    <t>BI66691</t>
  </si>
  <si>
    <t>BI66687</t>
  </si>
  <si>
    <t>BI66661</t>
  </si>
  <si>
    <t>BI66650</t>
  </si>
  <si>
    <t>BI66621</t>
  </si>
  <si>
    <t>BI66591</t>
  </si>
  <si>
    <t>BI66588</t>
  </si>
  <si>
    <t>Basic personal identifiers; Economic and financial data; Health data; Identification data; Location data; Official documents</t>
  </si>
  <si>
    <t>BI66587</t>
  </si>
  <si>
    <t>BI66584</t>
  </si>
  <si>
    <t>BI66575</t>
  </si>
  <si>
    <t>BI66556</t>
  </si>
  <si>
    <t>Criminal convictions or offences; Official documents</t>
  </si>
  <si>
    <t>BI66552</t>
  </si>
  <si>
    <t>BI66526</t>
  </si>
  <si>
    <t>BI66517</t>
  </si>
  <si>
    <t>BI66514</t>
  </si>
  <si>
    <t>BI66497</t>
  </si>
  <si>
    <t>BI66477</t>
  </si>
  <si>
    <t>BI66464</t>
  </si>
  <si>
    <t>BI66456</t>
  </si>
  <si>
    <t>BI66448</t>
  </si>
  <si>
    <t>Basic personal identifiers; Economic and financial data; Genetic or biometric data; Identification data; Location data</t>
  </si>
  <si>
    <t>BI66444</t>
  </si>
  <si>
    <t>BI66441</t>
  </si>
  <si>
    <t>BI66437</t>
  </si>
  <si>
    <t>BI66433</t>
  </si>
  <si>
    <t>BI66427</t>
  </si>
  <si>
    <t>BI66422</t>
  </si>
  <si>
    <t>BI66406</t>
  </si>
  <si>
    <t>BI66363</t>
  </si>
  <si>
    <t>Basic personal identifiers; Data revealing racial or ethnic origin; Economic and financial data; Health data; Identification data</t>
  </si>
  <si>
    <t>BI66352</t>
  </si>
  <si>
    <t>BI66344</t>
  </si>
  <si>
    <t>BI66334</t>
  </si>
  <si>
    <t>BI66320</t>
  </si>
  <si>
    <t>BI66319</t>
  </si>
  <si>
    <t>BI66296</t>
  </si>
  <si>
    <t>BI66295</t>
  </si>
  <si>
    <t>BI66292</t>
  </si>
  <si>
    <t>BI66280</t>
  </si>
  <si>
    <t>BI66254</t>
  </si>
  <si>
    <t>BI66245</t>
  </si>
  <si>
    <t>BI66242</t>
  </si>
  <si>
    <t>BI66237</t>
  </si>
  <si>
    <t>BI66236</t>
  </si>
  <si>
    <t>BI66232</t>
  </si>
  <si>
    <t>BI66218</t>
  </si>
  <si>
    <t>BI66213</t>
  </si>
  <si>
    <t>BI66208</t>
  </si>
  <si>
    <t>BI66181</t>
  </si>
  <si>
    <t>Customers or prospective customers; Employees; Patients; Subscribers; Users</t>
  </si>
  <si>
    <t>BI66179</t>
  </si>
  <si>
    <t>BI66175</t>
  </si>
  <si>
    <t>BI66158</t>
  </si>
  <si>
    <t>BI66156</t>
  </si>
  <si>
    <t>BI66147</t>
  </si>
  <si>
    <t>BI66134</t>
  </si>
  <si>
    <t>BI66120</t>
  </si>
  <si>
    <t>BI66119</t>
  </si>
  <si>
    <t>BI66112</t>
  </si>
  <si>
    <t>BI66080</t>
  </si>
  <si>
    <t>BI66071</t>
  </si>
  <si>
    <t>BI66068</t>
  </si>
  <si>
    <t>BI66067</t>
  </si>
  <si>
    <t>BI66057</t>
  </si>
  <si>
    <t>BI66044</t>
  </si>
  <si>
    <t>BI66043</t>
  </si>
  <si>
    <t>BI66039</t>
  </si>
  <si>
    <t>BI66027</t>
  </si>
  <si>
    <t>BI66022</t>
  </si>
  <si>
    <t>BI66007</t>
  </si>
  <si>
    <t>BI66001</t>
  </si>
  <si>
    <t>BI65990</t>
  </si>
  <si>
    <t>BI65974</t>
  </si>
  <si>
    <t>BI65965</t>
  </si>
  <si>
    <t>BI65964</t>
  </si>
  <si>
    <t>BI65954</t>
  </si>
  <si>
    <t>BI65953</t>
  </si>
  <si>
    <t>Children; Customers or prospective customers; Employees</t>
  </si>
  <si>
    <t>BI65952</t>
  </si>
  <si>
    <t>BI65951</t>
  </si>
  <si>
    <t>BI65940</t>
  </si>
  <si>
    <t>BI65936</t>
  </si>
  <si>
    <t>BI65917</t>
  </si>
  <si>
    <t>BI65901</t>
  </si>
  <si>
    <t>BI65896</t>
  </si>
  <si>
    <t>BI65893</t>
  </si>
  <si>
    <t>BI65892</t>
  </si>
  <si>
    <t>BI65877</t>
  </si>
  <si>
    <t>Basic personal identifiers; Identification data; Official documents; Trade union membership</t>
  </si>
  <si>
    <t>BI65837</t>
  </si>
  <si>
    <t>BI65834</t>
  </si>
  <si>
    <t>BI65825</t>
  </si>
  <si>
    <t>BI65822</t>
  </si>
  <si>
    <t>BI65815</t>
  </si>
  <si>
    <t>BI65802</t>
  </si>
  <si>
    <t>Criminal convictions or offences; Genetic or biometric data; Location data</t>
  </si>
  <si>
    <t>BI65799</t>
  </si>
  <si>
    <t>BI65764</t>
  </si>
  <si>
    <t>BI65763</t>
  </si>
  <si>
    <t>Children; Customers or prospective customers; Employees; Users</t>
  </si>
  <si>
    <t>Basic personal identifiers; Criminal convictions or offences; Economic and financial data; Genetic or biometric data; Identification data; Location data; Official documents</t>
  </si>
  <si>
    <t>BI65742</t>
  </si>
  <si>
    <t>BI65737</t>
  </si>
  <si>
    <t>BI65711</t>
  </si>
  <si>
    <t>Basic personal identifiers; Data revealing racial or ethnic origin; Health data; Official documents; Religious or philosophical beliefs</t>
  </si>
  <si>
    <t>BI65703</t>
  </si>
  <si>
    <t>BI65686</t>
  </si>
  <si>
    <t>BI65685</t>
  </si>
  <si>
    <t>BI65683</t>
  </si>
  <si>
    <t>BI65673</t>
  </si>
  <si>
    <t>BI65667</t>
  </si>
  <si>
    <t>BI65647</t>
  </si>
  <si>
    <t>BI65632</t>
  </si>
  <si>
    <t>BI65622</t>
  </si>
  <si>
    <t>BI65611</t>
  </si>
  <si>
    <t>BI65610</t>
  </si>
  <si>
    <t>BI65596</t>
  </si>
  <si>
    <t>BI65579</t>
  </si>
  <si>
    <t>Customers or prospective customers; Patients</t>
  </si>
  <si>
    <t>BI65576</t>
  </si>
  <si>
    <t>Basic personal identifiers; Criminal convictions or offences</t>
  </si>
  <si>
    <t>BI65572</t>
  </si>
  <si>
    <t>BI65544</t>
  </si>
  <si>
    <t>BI65538</t>
  </si>
  <si>
    <t>BI65526</t>
  </si>
  <si>
    <t>BI65519</t>
  </si>
  <si>
    <t>BI65513</t>
  </si>
  <si>
    <t>BI65507</t>
  </si>
  <si>
    <t>BI65504</t>
  </si>
  <si>
    <t>BI65492</t>
  </si>
  <si>
    <t>BI65479</t>
  </si>
  <si>
    <t>Basic personal identifiers; Economic and financial data; Health data; Sex life data; Sexual orientation data</t>
  </si>
  <si>
    <t>BI65471</t>
  </si>
  <si>
    <t>BI65462</t>
  </si>
  <si>
    <t>BI65461</t>
  </si>
  <si>
    <t>BI65456</t>
  </si>
  <si>
    <t>BI65451</t>
  </si>
  <si>
    <t>BI65447</t>
  </si>
  <si>
    <t>BI65439</t>
  </si>
  <si>
    <t>BI65414</t>
  </si>
  <si>
    <t>Basic personal identifiers; Location data; Official documents</t>
  </si>
  <si>
    <t>BI65411</t>
  </si>
  <si>
    <t>BI65400</t>
  </si>
  <si>
    <t>BI65392</t>
  </si>
  <si>
    <t>BI65386</t>
  </si>
  <si>
    <t>BI65377</t>
  </si>
  <si>
    <t>BI65375</t>
  </si>
  <si>
    <t>BI65361</t>
  </si>
  <si>
    <t>BI65359</t>
  </si>
  <si>
    <t>BI65355</t>
  </si>
  <si>
    <t>Basic personal identifiers; Criminal convictions or offences; Data revealing racial or ethnic origin; Economic and financial data; Health data; Official documents; Religious or philosophical beliefs</t>
  </si>
  <si>
    <t>BI65348</t>
  </si>
  <si>
    <t>BI65345</t>
  </si>
  <si>
    <t>BI65327</t>
  </si>
  <si>
    <t>Basic personal identifiers; Economic and financial data; Health data; Identification data; Location data</t>
  </si>
  <si>
    <t>BI65315</t>
  </si>
  <si>
    <t>BI65304</t>
  </si>
  <si>
    <t>BI65299</t>
  </si>
  <si>
    <t>BI65290</t>
  </si>
  <si>
    <t>BI65286</t>
  </si>
  <si>
    <t>BI65275</t>
  </si>
  <si>
    <t>BI65262</t>
  </si>
  <si>
    <t>BI65259</t>
  </si>
  <si>
    <t>BI65258</t>
  </si>
  <si>
    <t>BI65239</t>
  </si>
  <si>
    <t>BI65232</t>
  </si>
  <si>
    <t>BI65212</t>
  </si>
  <si>
    <t>BI65200</t>
  </si>
  <si>
    <t>BI65185</t>
  </si>
  <si>
    <t>BI65179</t>
  </si>
  <si>
    <t>BI65178</t>
  </si>
  <si>
    <t>BI65156</t>
  </si>
  <si>
    <t>BI65151</t>
  </si>
  <si>
    <t>BI65148</t>
  </si>
  <si>
    <t>BI65144</t>
  </si>
  <si>
    <t>BI65132</t>
  </si>
  <si>
    <t>BI65120</t>
  </si>
  <si>
    <t>Basic personal identifiers; Data revealing racial or ethnic origin; Location data; Religious or philosophical beliefs</t>
  </si>
  <si>
    <t>BI65100</t>
  </si>
  <si>
    <t>BI65099</t>
  </si>
  <si>
    <t>BI65092</t>
  </si>
  <si>
    <t>BI65091</t>
  </si>
  <si>
    <t>BI65088</t>
  </si>
  <si>
    <t>Basic personal identifiers; Criminal convictions or offences; Data revealing racial or ethnic origin; Economic and financial data; Health data; Identification data</t>
  </si>
  <si>
    <t>BI65087</t>
  </si>
  <si>
    <t>BI65057</t>
  </si>
  <si>
    <t>BI65044</t>
  </si>
  <si>
    <t>BI65040</t>
  </si>
  <si>
    <t>BI65036</t>
  </si>
  <si>
    <t>BI65031</t>
  </si>
  <si>
    <t>BI65014</t>
  </si>
  <si>
    <t>BI65011</t>
  </si>
  <si>
    <t>BI65009</t>
  </si>
  <si>
    <t>BI64975</t>
  </si>
  <si>
    <t>BI64948</t>
  </si>
  <si>
    <t>BI64944</t>
  </si>
  <si>
    <t>BI64930</t>
  </si>
  <si>
    <t>BI64914</t>
  </si>
  <si>
    <t>BI64901</t>
  </si>
  <si>
    <t>BI64889</t>
  </si>
  <si>
    <t>BI64887</t>
  </si>
  <si>
    <t>BI64883</t>
  </si>
  <si>
    <t>BI64867</t>
  </si>
  <si>
    <t>BI64855</t>
  </si>
  <si>
    <t>BI64846</t>
  </si>
  <si>
    <t>BI64822</t>
  </si>
  <si>
    <t>BI64795</t>
  </si>
  <si>
    <t>BI64772</t>
  </si>
  <si>
    <t>BI64769</t>
  </si>
  <si>
    <t>BI64760</t>
  </si>
  <si>
    <t>BI64749</t>
  </si>
  <si>
    <t>BI64727</t>
  </si>
  <si>
    <t>BI64723</t>
  </si>
  <si>
    <t>BI64718</t>
  </si>
  <si>
    <t>BI64717</t>
  </si>
  <si>
    <t>BI64707</t>
  </si>
  <si>
    <t>Basic personal identifiers; Economic and financial data; Genetic or biometric data; Identification data; Location data; Official documents; Political opinions; Religious or philosophical beliefs; Sex life data; Sexual orientation data</t>
  </si>
  <si>
    <t>BI64688</t>
  </si>
  <si>
    <t>BI64684</t>
  </si>
  <si>
    <t>BI64683</t>
  </si>
  <si>
    <t>BI64672</t>
  </si>
  <si>
    <t>BI64666</t>
  </si>
  <si>
    <t>BI64664</t>
  </si>
  <si>
    <t>BI64654</t>
  </si>
  <si>
    <t>Basic personal identifiers; Data revealing racial or ethnic origin; Economic and financial data; Health data; Location data; Official documents; Religious or philosophical beliefs</t>
  </si>
  <si>
    <t>BI64635</t>
  </si>
  <si>
    <t>BI64627</t>
  </si>
  <si>
    <t>BI64626</t>
  </si>
  <si>
    <t>BI64620</t>
  </si>
  <si>
    <t>BI64614</t>
  </si>
  <si>
    <t>BI64613</t>
  </si>
  <si>
    <t>BI64589</t>
  </si>
  <si>
    <t>BI64582</t>
  </si>
  <si>
    <t>BI64563</t>
  </si>
  <si>
    <t>BI64561</t>
  </si>
  <si>
    <t>BI64554</t>
  </si>
  <si>
    <t>BI64545</t>
  </si>
  <si>
    <t>BI64541</t>
  </si>
  <si>
    <t>BI64518</t>
  </si>
  <si>
    <t>BI64504</t>
  </si>
  <si>
    <t>BI64501</t>
  </si>
  <si>
    <t>BI64500</t>
  </si>
  <si>
    <t>BI64488</t>
  </si>
  <si>
    <t>BI64477</t>
  </si>
  <si>
    <t>BI64438</t>
  </si>
  <si>
    <t>BI64435</t>
  </si>
  <si>
    <t>BI64402</t>
  </si>
  <si>
    <t>BI64396</t>
  </si>
  <si>
    <t>BI64393</t>
  </si>
  <si>
    <t>BI64354</t>
  </si>
  <si>
    <t>BI70704</t>
  </si>
  <si>
    <t>BI70687</t>
  </si>
  <si>
    <t>BI70667</t>
  </si>
  <si>
    <t>BI70664</t>
  </si>
  <si>
    <t>BI70660</t>
  </si>
  <si>
    <t>BI70657</t>
  </si>
  <si>
    <t>BI70656</t>
  </si>
  <si>
    <t>BI70655</t>
  </si>
  <si>
    <t>BI70646</t>
  </si>
  <si>
    <t>BI70643</t>
  </si>
  <si>
    <t>BI70622</t>
  </si>
  <si>
    <t>Basic personal identifiers; Data revealing racial or ethnic origin; Location data; Sexual orientation data</t>
  </si>
  <si>
    <t>BI70615</t>
  </si>
  <si>
    <t>BI70599</t>
  </si>
  <si>
    <t>BI70579</t>
  </si>
  <si>
    <t>BI70571</t>
  </si>
  <si>
    <t>BI70546</t>
  </si>
  <si>
    <t>BI70544</t>
  </si>
  <si>
    <t>BI70529</t>
  </si>
  <si>
    <t>BI70514</t>
  </si>
  <si>
    <t>BI70502</t>
  </si>
  <si>
    <t>BI70491</t>
  </si>
  <si>
    <t>BI70490</t>
  </si>
  <si>
    <t>BI70469</t>
  </si>
  <si>
    <t>BI70457</t>
  </si>
  <si>
    <t>BI70452</t>
  </si>
  <si>
    <t>BI70444</t>
  </si>
  <si>
    <t>BI70442</t>
  </si>
  <si>
    <t>Basic personal identifiers; Genetic or biometric data; Location data</t>
  </si>
  <si>
    <t>BI70441</t>
  </si>
  <si>
    <t>BI70433</t>
  </si>
  <si>
    <t>BI70406</t>
  </si>
  <si>
    <t>BI70395</t>
  </si>
  <si>
    <t>Basic personal identifiers; Genetic or biometric data</t>
  </si>
  <si>
    <t>BI70393</t>
  </si>
  <si>
    <t>BI70377</t>
  </si>
  <si>
    <t>Employees; Patients</t>
  </si>
  <si>
    <t>BI70375</t>
  </si>
  <si>
    <t>BI70372</t>
  </si>
  <si>
    <t>BI70366</t>
  </si>
  <si>
    <t>BI70365</t>
  </si>
  <si>
    <t>BI70356</t>
  </si>
  <si>
    <t>BI70322</t>
  </si>
  <si>
    <t>BI70318</t>
  </si>
  <si>
    <t>BI70307</t>
  </si>
  <si>
    <t>BI70290</t>
  </si>
  <si>
    <t>BI70285</t>
  </si>
  <si>
    <t>BI70272</t>
  </si>
  <si>
    <t>BI70249</t>
  </si>
  <si>
    <t>BI70238</t>
  </si>
  <si>
    <t>BI70234</t>
  </si>
  <si>
    <t>Basic personal identifiers; Criminal convictions or offences; Data revealing racial or ethnic origin; Economic and financial data; Health data; Official documents</t>
  </si>
  <si>
    <t>BI70231</t>
  </si>
  <si>
    <t>BI70224</t>
  </si>
  <si>
    <t>BI70222</t>
  </si>
  <si>
    <t>BI70220</t>
  </si>
  <si>
    <t>BI70179</t>
  </si>
  <si>
    <t>BI70175</t>
  </si>
  <si>
    <t>BI70173</t>
  </si>
  <si>
    <t>BI70172</t>
  </si>
  <si>
    <t>BI70171</t>
  </si>
  <si>
    <t>BI70157</t>
  </si>
  <si>
    <t>BI70143</t>
  </si>
  <si>
    <t>BI70142</t>
  </si>
  <si>
    <t>BI70141</t>
  </si>
  <si>
    <t>BI70136</t>
  </si>
  <si>
    <t>BI70132</t>
  </si>
  <si>
    <t>BI70106</t>
  </si>
  <si>
    <t>BI70093</t>
  </si>
  <si>
    <t>BI70086</t>
  </si>
  <si>
    <t>BI70082</t>
  </si>
  <si>
    <t>BI70058</t>
  </si>
  <si>
    <t>BI70057</t>
  </si>
  <si>
    <t>BI70056</t>
  </si>
  <si>
    <t>BI70051</t>
  </si>
  <si>
    <t>BI70048</t>
  </si>
  <si>
    <t>BI70046</t>
  </si>
  <si>
    <t>BI70042</t>
  </si>
  <si>
    <t>BI70031</t>
  </si>
  <si>
    <t>BI70024</t>
  </si>
  <si>
    <t>BI70022</t>
  </si>
  <si>
    <t>Basic personal identifiers; Economic and financial data; Official documents; Political opinions</t>
  </si>
  <si>
    <t>BI70008</t>
  </si>
  <si>
    <t>BI70004</t>
  </si>
  <si>
    <t>BI69983</t>
  </si>
  <si>
    <t>BI69975</t>
  </si>
  <si>
    <t>BI69965</t>
  </si>
  <si>
    <t>BI69959</t>
  </si>
  <si>
    <t>BI69956</t>
  </si>
  <si>
    <t>BI69947</t>
  </si>
  <si>
    <t>BI69937</t>
  </si>
  <si>
    <t>BI69936</t>
  </si>
  <si>
    <t>Incorrect disposal of hardware</t>
  </si>
  <si>
    <t>BI69928</t>
  </si>
  <si>
    <t>BI69924</t>
  </si>
  <si>
    <t>BI69923</t>
  </si>
  <si>
    <t>BI69915</t>
  </si>
  <si>
    <t>BI69885</t>
  </si>
  <si>
    <t>BI69867</t>
  </si>
  <si>
    <t>BI69833</t>
  </si>
  <si>
    <t>BI69812</t>
  </si>
  <si>
    <t>BI69808</t>
  </si>
  <si>
    <t>BI69803</t>
  </si>
  <si>
    <t>BI69800</t>
  </si>
  <si>
    <t>BI69785</t>
  </si>
  <si>
    <t>BI69780</t>
  </si>
  <si>
    <t>BI69769</t>
  </si>
  <si>
    <t>BI69766</t>
  </si>
  <si>
    <t>BI69762</t>
  </si>
  <si>
    <t>BI69755</t>
  </si>
  <si>
    <t>BI69751</t>
  </si>
  <si>
    <t>BI69736</t>
  </si>
  <si>
    <t>BI69705</t>
  </si>
  <si>
    <t>BI69703</t>
  </si>
  <si>
    <t>BI69702</t>
  </si>
  <si>
    <t>BI69699</t>
  </si>
  <si>
    <t>BI69674</t>
  </si>
  <si>
    <t>Basic personal identifiers; Data revealing racial or ethnic origin; Economic and financial data; Sexual orientation data</t>
  </si>
  <si>
    <t>BI69668</t>
  </si>
  <si>
    <t>BI69666</t>
  </si>
  <si>
    <t>BI69659</t>
  </si>
  <si>
    <t>BI69649</t>
  </si>
  <si>
    <t>BI69624</t>
  </si>
  <si>
    <t>BI69613</t>
  </si>
  <si>
    <t>BI69609</t>
  </si>
  <si>
    <t>BI69608</t>
  </si>
  <si>
    <t>BI69593</t>
  </si>
  <si>
    <t>BI69588</t>
  </si>
  <si>
    <t>BI69584</t>
  </si>
  <si>
    <t>Basic personal identifiers; Criminal convictions or offences; Economic and financial data</t>
  </si>
  <si>
    <t>BI69560</t>
  </si>
  <si>
    <t>BI69551</t>
  </si>
  <si>
    <t>BI69548</t>
  </si>
  <si>
    <t>BI69544</t>
  </si>
  <si>
    <t>BI69533</t>
  </si>
  <si>
    <t>BI69531</t>
  </si>
  <si>
    <t>BI69519</t>
  </si>
  <si>
    <t>BI69513</t>
  </si>
  <si>
    <t>BI69510</t>
  </si>
  <si>
    <t>BI69509</t>
  </si>
  <si>
    <t>Basic personal identifiers; Criminal convictions or offences; Official documents; Trade union membership</t>
  </si>
  <si>
    <t>BI69507</t>
  </si>
  <si>
    <t>BI69502</t>
  </si>
  <si>
    <t>BI69491</t>
  </si>
  <si>
    <t>BI69484</t>
  </si>
  <si>
    <t>BI69481</t>
  </si>
  <si>
    <t>BI69465</t>
  </si>
  <si>
    <t>BI69460</t>
  </si>
  <si>
    <t>BI69459</t>
  </si>
  <si>
    <t>BI69458</t>
  </si>
  <si>
    <t>BI69445</t>
  </si>
  <si>
    <t>BI69444</t>
  </si>
  <si>
    <t>BI69441</t>
  </si>
  <si>
    <t>BI69433</t>
  </si>
  <si>
    <t>BI69418</t>
  </si>
  <si>
    <t>Students; Users</t>
  </si>
  <si>
    <t>BI69402</t>
  </si>
  <si>
    <t>BI69383</t>
  </si>
  <si>
    <t>BI69379</t>
  </si>
  <si>
    <t>BI69377</t>
  </si>
  <si>
    <t>BI69375</t>
  </si>
  <si>
    <t>BI69364</t>
  </si>
  <si>
    <t>BI69363</t>
  </si>
  <si>
    <t>BI69362</t>
  </si>
  <si>
    <t>BI69359</t>
  </si>
  <si>
    <t>BI69353</t>
  </si>
  <si>
    <t>BI69344</t>
  </si>
  <si>
    <t>BI69342</t>
  </si>
  <si>
    <t>BI69340</t>
  </si>
  <si>
    <t>BI69338</t>
  </si>
  <si>
    <t>BI69333</t>
  </si>
  <si>
    <t>BI69306</t>
  </si>
  <si>
    <t>BI69293</t>
  </si>
  <si>
    <t>BI69290</t>
  </si>
  <si>
    <t>BI69284</t>
  </si>
  <si>
    <t>BI69276</t>
  </si>
  <si>
    <t>BI69275</t>
  </si>
  <si>
    <t>BI69266</t>
  </si>
  <si>
    <t>Children; Customers or prospective customers; Students</t>
  </si>
  <si>
    <t>BI69246</t>
  </si>
  <si>
    <t>BI69245</t>
  </si>
  <si>
    <t>BI69237</t>
  </si>
  <si>
    <t>Basic personal identifiers; Criminal convictions or offences; Data revealing racial or ethnic origin; Health data; Sex life data; Sexual orientation data</t>
  </si>
  <si>
    <t>BI69203</t>
  </si>
  <si>
    <t>BI69186</t>
  </si>
  <si>
    <t>BI69183</t>
  </si>
  <si>
    <t>BI69182</t>
  </si>
  <si>
    <t>BI69168</t>
  </si>
  <si>
    <t>BI69165</t>
  </si>
  <si>
    <t>Customers or prospective customers; Employees; Students; Subscribers; Users</t>
  </si>
  <si>
    <t>BI69158</t>
  </si>
  <si>
    <t>BI69144</t>
  </si>
  <si>
    <t>BI69140</t>
  </si>
  <si>
    <t>BI69136</t>
  </si>
  <si>
    <t>BI69135</t>
  </si>
  <si>
    <t>BI69134</t>
  </si>
  <si>
    <t>BI69133</t>
  </si>
  <si>
    <t>BI69132</t>
  </si>
  <si>
    <t>BI69118</t>
  </si>
  <si>
    <t>BI69117</t>
  </si>
  <si>
    <t>BI69111</t>
  </si>
  <si>
    <t>BI69106</t>
  </si>
  <si>
    <t>BI69091</t>
  </si>
  <si>
    <t>BI69090</t>
  </si>
  <si>
    <t>BI69056</t>
  </si>
  <si>
    <t>BI69021</t>
  </si>
  <si>
    <t>BI69009</t>
  </si>
  <si>
    <t>BI68993</t>
  </si>
  <si>
    <t>BI68990</t>
  </si>
  <si>
    <t>BI68983</t>
  </si>
  <si>
    <t>BI68982</t>
  </si>
  <si>
    <t>BI68980</t>
  </si>
  <si>
    <t>BI68974</t>
  </si>
  <si>
    <t>BI68955</t>
  </si>
  <si>
    <t>BI68950</t>
  </si>
  <si>
    <t>BI68940</t>
  </si>
  <si>
    <t>BI68935</t>
  </si>
  <si>
    <t>BI68931</t>
  </si>
  <si>
    <t>BI68922</t>
  </si>
  <si>
    <t>BI68919</t>
  </si>
  <si>
    <t>BI68916</t>
  </si>
  <si>
    <t>BI68911</t>
  </si>
  <si>
    <t>BI68910</t>
  </si>
  <si>
    <t>BI68893</t>
  </si>
  <si>
    <t>BI68888</t>
  </si>
  <si>
    <t>Basic personal identifiers; Data revealing racial or ethnic origin; Official documents; Sex life data; Sexual orientation data</t>
  </si>
  <si>
    <t>BI68887</t>
  </si>
  <si>
    <t>BI68870</t>
  </si>
  <si>
    <t>BI68855</t>
  </si>
  <si>
    <t>BI68853</t>
  </si>
  <si>
    <t>BI68842</t>
  </si>
  <si>
    <t>BI68841</t>
  </si>
  <si>
    <t>BI68832</t>
  </si>
  <si>
    <t>BI68831</t>
  </si>
  <si>
    <t>BI68810</t>
  </si>
  <si>
    <t>BI68798</t>
  </si>
  <si>
    <t>BI68778</t>
  </si>
  <si>
    <t>BI68764</t>
  </si>
  <si>
    <t>Basic personal identifiers; Health data; Identification data</t>
  </si>
  <si>
    <t>BI68750</t>
  </si>
  <si>
    <t>BI68749</t>
  </si>
  <si>
    <t>BI68742</t>
  </si>
  <si>
    <t>BI68719</t>
  </si>
  <si>
    <t>BI68706</t>
  </si>
  <si>
    <t>BI68704</t>
  </si>
  <si>
    <t>BI68682</t>
  </si>
  <si>
    <t>BI68651</t>
  </si>
  <si>
    <t>BI68646</t>
  </si>
  <si>
    <t>BI68634</t>
  </si>
  <si>
    <t>BI68630</t>
  </si>
  <si>
    <t>BI68629</t>
  </si>
  <si>
    <t>BI68628</t>
  </si>
  <si>
    <t>BI68627</t>
  </si>
  <si>
    <t>BI68625</t>
  </si>
  <si>
    <t>BI68624</t>
  </si>
  <si>
    <t>BI68617</t>
  </si>
  <si>
    <t>BI68614</t>
  </si>
  <si>
    <t>BI68611</t>
  </si>
  <si>
    <t>BI68608</t>
  </si>
  <si>
    <t>BI68601</t>
  </si>
  <si>
    <t>BI68582</t>
  </si>
  <si>
    <t>BI68562</t>
  </si>
  <si>
    <t>BI68561</t>
  </si>
  <si>
    <t>BI68556</t>
  </si>
  <si>
    <t>BI68553</t>
  </si>
  <si>
    <t>BI68546</t>
  </si>
  <si>
    <t>BI68536</t>
  </si>
  <si>
    <t>BI68508</t>
  </si>
  <si>
    <t>BI68506</t>
  </si>
  <si>
    <t>BI68505</t>
  </si>
  <si>
    <t>BI68503</t>
  </si>
  <si>
    <t>BI68501</t>
  </si>
  <si>
    <t>BI68477</t>
  </si>
  <si>
    <t>BI68475</t>
  </si>
  <si>
    <t>BI68473</t>
  </si>
  <si>
    <t>BI68466</t>
  </si>
  <si>
    <t>BI68463</t>
  </si>
  <si>
    <t>BI68442</t>
  </si>
  <si>
    <t>BI68421</t>
  </si>
  <si>
    <t>BI68418</t>
  </si>
  <si>
    <t>BI68408</t>
  </si>
  <si>
    <t>BI68407</t>
  </si>
  <si>
    <t>BI68403</t>
  </si>
  <si>
    <t>BI68393</t>
  </si>
  <si>
    <t>BI68386</t>
  </si>
  <si>
    <t>BI68385</t>
  </si>
  <si>
    <t>BI68382</t>
  </si>
  <si>
    <t>BI68372</t>
  </si>
  <si>
    <t>BI68369</t>
  </si>
  <si>
    <t>BI68368</t>
  </si>
  <si>
    <t>BI68365</t>
  </si>
  <si>
    <t>BI68361</t>
  </si>
  <si>
    <t>BI68350</t>
  </si>
  <si>
    <t>BI68348</t>
  </si>
  <si>
    <t>BI68344</t>
  </si>
  <si>
    <t>BI68343</t>
  </si>
  <si>
    <t>BI68315</t>
  </si>
  <si>
    <t>BI68314</t>
  </si>
  <si>
    <t>BI68304</t>
  </si>
  <si>
    <t>BI68295</t>
  </si>
  <si>
    <t>BI68292</t>
  </si>
  <si>
    <t>BI68289</t>
  </si>
  <si>
    <t>BI68279</t>
  </si>
  <si>
    <t>BI68275</t>
  </si>
  <si>
    <t>BI68262</t>
  </si>
  <si>
    <t>BI68254</t>
  </si>
  <si>
    <t>BI68237</t>
  </si>
  <si>
    <t>BI68232</t>
  </si>
  <si>
    <t>BI68223</t>
  </si>
  <si>
    <t>BI68217</t>
  </si>
  <si>
    <t>BI68213</t>
  </si>
  <si>
    <t>BI68211</t>
  </si>
  <si>
    <t>BI68210</t>
  </si>
  <si>
    <t>BI68198</t>
  </si>
  <si>
    <t>BI68193</t>
  </si>
  <si>
    <t>BI68189</t>
  </si>
  <si>
    <t>BI68178</t>
  </si>
  <si>
    <t>BI68166</t>
  </si>
  <si>
    <t>BI68165</t>
  </si>
  <si>
    <t>Basic personal identifiers; Economic and financial data; Genetic or biometric data; Health data; Official documents</t>
  </si>
  <si>
    <t>BI68162</t>
  </si>
  <si>
    <t>BI68154</t>
  </si>
  <si>
    <t>BI68143</t>
  </si>
  <si>
    <t>BI68141</t>
  </si>
  <si>
    <t>BI68140</t>
  </si>
  <si>
    <t>BI68139</t>
  </si>
  <si>
    <t>BI68138</t>
  </si>
  <si>
    <t>BI68137</t>
  </si>
  <si>
    <t>BI68135</t>
  </si>
  <si>
    <t>BI68123</t>
  </si>
  <si>
    <t>BI68121</t>
  </si>
  <si>
    <t>BI68097</t>
  </si>
  <si>
    <t>BI68079</t>
  </si>
  <si>
    <t>BI68072</t>
  </si>
  <si>
    <t>BI68066</t>
  </si>
  <si>
    <t>BI68065</t>
  </si>
  <si>
    <t>BI68051</t>
  </si>
  <si>
    <t>BI68046</t>
  </si>
  <si>
    <t>BI68045</t>
  </si>
  <si>
    <t>BI68017</t>
  </si>
  <si>
    <t>BI67999</t>
  </si>
  <si>
    <t>BI67991</t>
  </si>
  <si>
    <t>BI67984</t>
  </si>
  <si>
    <t>BI67974</t>
  </si>
  <si>
    <t>BI67953</t>
  </si>
  <si>
    <t>BI67951</t>
  </si>
  <si>
    <t>BI67943</t>
  </si>
  <si>
    <t>BI67942</t>
  </si>
  <si>
    <t>BI67921</t>
  </si>
  <si>
    <t>BI67905</t>
  </si>
  <si>
    <t>BI67890</t>
  </si>
  <si>
    <t>BI67885</t>
  </si>
  <si>
    <t>BI67867</t>
  </si>
  <si>
    <t>BI67863</t>
  </si>
  <si>
    <t>BI67860</t>
  </si>
  <si>
    <t>BI67857</t>
  </si>
  <si>
    <t>BI67852</t>
  </si>
  <si>
    <t>BI67851</t>
  </si>
  <si>
    <t>BI67831</t>
  </si>
  <si>
    <t>BI67818</t>
  </si>
  <si>
    <t>BI67816</t>
  </si>
  <si>
    <t>BI67812</t>
  </si>
  <si>
    <t>BI67811</t>
  </si>
  <si>
    <t>BI67802</t>
  </si>
  <si>
    <t>BI67797</t>
  </si>
  <si>
    <t>BI67791</t>
  </si>
  <si>
    <t>BI67788</t>
  </si>
  <si>
    <t>BI67781</t>
  </si>
  <si>
    <t>BI67777</t>
  </si>
  <si>
    <t>BI67763</t>
  </si>
  <si>
    <t>BI67759</t>
  </si>
  <si>
    <t>BI67751</t>
  </si>
  <si>
    <t>BI67749</t>
  </si>
  <si>
    <t>Basic personal identifiers; Genetic or biometric data; Health data; Official documents</t>
  </si>
  <si>
    <t>BI67731</t>
  </si>
  <si>
    <t>BI67723</t>
  </si>
  <si>
    <t>BI67707</t>
  </si>
  <si>
    <t>BI67688</t>
  </si>
  <si>
    <t>BI67679</t>
  </si>
  <si>
    <t>BI67677</t>
  </si>
  <si>
    <t>BI67672</t>
  </si>
  <si>
    <t>BI67651</t>
  </si>
  <si>
    <t>BI67644</t>
  </si>
  <si>
    <t>BI67636</t>
  </si>
  <si>
    <t>BI67602</t>
  </si>
  <si>
    <t>BI67601</t>
  </si>
  <si>
    <t>BI67595</t>
  </si>
  <si>
    <t>BI67587</t>
  </si>
  <si>
    <t>BI67576</t>
  </si>
  <si>
    <t>BI67571</t>
  </si>
  <si>
    <t>BI67552</t>
  </si>
  <si>
    <t>BI67548</t>
  </si>
  <si>
    <t>BI67538</t>
  </si>
  <si>
    <t>BI67532</t>
  </si>
  <si>
    <t>BI67507</t>
  </si>
  <si>
    <t>BI67485</t>
  </si>
  <si>
    <t>BI67461</t>
  </si>
  <si>
    <t>BI67455</t>
  </si>
  <si>
    <t>BI67450</t>
  </si>
  <si>
    <t>BI67447</t>
  </si>
  <si>
    <t>BI67441</t>
  </si>
  <si>
    <t>BI77335</t>
  </si>
  <si>
    <t>BI77332</t>
  </si>
  <si>
    <t>BI77331</t>
  </si>
  <si>
    <t>BI77311</t>
  </si>
  <si>
    <t>BI77305</t>
  </si>
  <si>
    <t>BI77295</t>
  </si>
  <si>
    <t>BI77288</t>
  </si>
  <si>
    <t>BI77272</t>
  </si>
  <si>
    <t>BI77271</t>
  </si>
  <si>
    <t>BI77261</t>
  </si>
  <si>
    <t>BI77257</t>
  </si>
  <si>
    <t>BI77248</t>
  </si>
  <si>
    <t>BI77243</t>
  </si>
  <si>
    <t>BI77240</t>
  </si>
  <si>
    <t>BI77239</t>
  </si>
  <si>
    <t>BI77237</t>
  </si>
  <si>
    <t>BI77232</t>
  </si>
  <si>
    <t>BI77201</t>
  </si>
  <si>
    <t>BI77192</t>
  </si>
  <si>
    <t>BI77177</t>
  </si>
  <si>
    <t>BI77173</t>
  </si>
  <si>
    <t>BI77172</t>
  </si>
  <si>
    <t>BI77171</t>
  </si>
  <si>
    <t>BI77167</t>
  </si>
  <si>
    <t>BI77166</t>
  </si>
  <si>
    <t>BI77165</t>
  </si>
  <si>
    <t>BI77156</t>
  </si>
  <si>
    <t>BI77144</t>
  </si>
  <si>
    <t>BI77143</t>
  </si>
  <si>
    <t>BI77126</t>
  </si>
  <si>
    <t>BI77100</t>
  </si>
  <si>
    <t>BI77084</t>
  </si>
  <si>
    <t>Basic personal identifiers; Health data; Trade union membership</t>
  </si>
  <si>
    <t>BI77077</t>
  </si>
  <si>
    <t>BI77068</t>
  </si>
  <si>
    <t>BI77052</t>
  </si>
  <si>
    <t>BI77034</t>
  </si>
  <si>
    <t>Basic personal identifiers; Criminal convictions or offences; Data revealing racial or ethnic origin; Economic and financial data; Gender Reassignment Data; Health data; Official documents; Religious or philosophical beliefs; Sexual orientation data</t>
  </si>
  <si>
    <t>BI77026</t>
  </si>
  <si>
    <t>BI77016</t>
  </si>
  <si>
    <t>BI76997</t>
  </si>
  <si>
    <t>BI76990</t>
  </si>
  <si>
    <t>BI76989</t>
  </si>
  <si>
    <t>BI76982</t>
  </si>
  <si>
    <t>Basic personal identifiers; Health data; Religious or philosophical beliefs</t>
  </si>
  <si>
    <t>BI76978</t>
  </si>
  <si>
    <t>BI76972</t>
  </si>
  <si>
    <t>BI76963</t>
  </si>
  <si>
    <t>Customers or prospective customers; Employees; Patients</t>
  </si>
  <si>
    <t>BI76961</t>
  </si>
  <si>
    <t>BI76955</t>
  </si>
  <si>
    <t>BI76952</t>
  </si>
  <si>
    <t>BI76951</t>
  </si>
  <si>
    <t>BI76945</t>
  </si>
  <si>
    <t>BI76944</t>
  </si>
  <si>
    <t>BI76943</t>
  </si>
  <si>
    <t>BI76920</t>
  </si>
  <si>
    <t>BI76914</t>
  </si>
  <si>
    <t>BI76909</t>
  </si>
  <si>
    <t>BI76908</t>
  </si>
  <si>
    <t>BI76907</t>
  </si>
  <si>
    <t>BI76898</t>
  </si>
  <si>
    <t>BI76895</t>
  </si>
  <si>
    <t>BI76881</t>
  </si>
  <si>
    <t>BI76878</t>
  </si>
  <si>
    <t>BI76873</t>
  </si>
  <si>
    <t>BI76852</t>
  </si>
  <si>
    <t>BI76851</t>
  </si>
  <si>
    <t>BI76840</t>
  </si>
  <si>
    <t>BI76839</t>
  </si>
  <si>
    <t>BI76831</t>
  </si>
  <si>
    <t>BI76824</t>
  </si>
  <si>
    <t>BI76818</t>
  </si>
  <si>
    <t>Basic personal identifiers; Data revealing racial or ethnic origin; Health data; Official documents; Trade union membership</t>
  </si>
  <si>
    <t>BI76816</t>
  </si>
  <si>
    <t>BI76809</t>
  </si>
  <si>
    <t>BI76795</t>
  </si>
  <si>
    <t>BI76782</t>
  </si>
  <si>
    <t>BI76775</t>
  </si>
  <si>
    <t>BI76769</t>
  </si>
  <si>
    <t>BI76766</t>
  </si>
  <si>
    <t>BI76750</t>
  </si>
  <si>
    <t>BI76717</t>
  </si>
  <si>
    <t>BI76687</t>
  </si>
  <si>
    <t>BI76669</t>
  </si>
  <si>
    <t>BI76651</t>
  </si>
  <si>
    <t>BI76649</t>
  </si>
  <si>
    <t>BI76644</t>
  </si>
  <si>
    <t>BI76643</t>
  </si>
  <si>
    <t>BI76627</t>
  </si>
  <si>
    <t>BI76617</t>
  </si>
  <si>
    <t>BI76610</t>
  </si>
  <si>
    <t>BI76600</t>
  </si>
  <si>
    <t>BI76577</t>
  </si>
  <si>
    <t>BI76567</t>
  </si>
  <si>
    <t>BI76560</t>
  </si>
  <si>
    <t>BI76553</t>
  </si>
  <si>
    <t>BI76549</t>
  </si>
  <si>
    <t>BI76542</t>
  </si>
  <si>
    <t>BI76512</t>
  </si>
  <si>
    <t>BI76507</t>
  </si>
  <si>
    <t>BI76500</t>
  </si>
  <si>
    <t>BI76482</t>
  </si>
  <si>
    <t>BI76480</t>
  </si>
  <si>
    <t>BI76476</t>
  </si>
  <si>
    <t>BI76470</t>
  </si>
  <si>
    <t>BI76468</t>
  </si>
  <si>
    <t>BI76463</t>
  </si>
  <si>
    <t>BI76444</t>
  </si>
  <si>
    <t>BI76393</t>
  </si>
  <si>
    <t>BI76385</t>
  </si>
  <si>
    <t>BI76378</t>
  </si>
  <si>
    <t>BI76376</t>
  </si>
  <si>
    <t>BI76366</t>
  </si>
  <si>
    <t>BI76307</t>
  </si>
  <si>
    <t>BI76291</t>
  </si>
  <si>
    <t>BI76271</t>
  </si>
  <si>
    <t>BI76250</t>
  </si>
  <si>
    <t>BI76237</t>
  </si>
  <si>
    <t>BI76223</t>
  </si>
  <si>
    <t>BI76219</t>
  </si>
  <si>
    <t>BI76202</t>
  </si>
  <si>
    <t>BI76201</t>
  </si>
  <si>
    <t>BI76179</t>
  </si>
  <si>
    <t>BI76166</t>
  </si>
  <si>
    <t>BI76144</t>
  </si>
  <si>
    <t>BI76143</t>
  </si>
  <si>
    <t>BI76140</t>
  </si>
  <si>
    <t>BI76124</t>
  </si>
  <si>
    <t>BI76101</t>
  </si>
  <si>
    <t>BI76084</t>
  </si>
  <si>
    <t>BI76070</t>
  </si>
  <si>
    <t>BI76022</t>
  </si>
  <si>
    <t>BI76012</t>
  </si>
  <si>
    <t>BI75993</t>
  </si>
  <si>
    <t>BI75969</t>
  </si>
  <si>
    <t>BI75932</t>
  </si>
  <si>
    <t>Employees; Subscribers</t>
  </si>
  <si>
    <t>BI75915</t>
  </si>
  <si>
    <t>BI75868</t>
  </si>
  <si>
    <t>BI75862</t>
  </si>
  <si>
    <t>BI75817</t>
  </si>
  <si>
    <t>BI75815</t>
  </si>
  <si>
    <t>BI75790</t>
  </si>
  <si>
    <t>BI75765</t>
  </si>
  <si>
    <t>BI75746</t>
  </si>
  <si>
    <t>BI75744</t>
  </si>
  <si>
    <t>BI75735</t>
  </si>
  <si>
    <t>BI75675</t>
  </si>
  <si>
    <t>BI75627</t>
  </si>
  <si>
    <t>BI75597</t>
  </si>
  <si>
    <t>BI75587</t>
  </si>
  <si>
    <t>BI75578</t>
  </si>
  <si>
    <t>BI75538</t>
  </si>
  <si>
    <t>BI75531</t>
  </si>
  <si>
    <t>Basic personal identifiers; Economic and financial data; Trade union membership</t>
  </si>
  <si>
    <t>BI75515</t>
  </si>
  <si>
    <t>BI75513</t>
  </si>
  <si>
    <t>BI75461</t>
  </si>
  <si>
    <t>BI75460</t>
  </si>
  <si>
    <t>BI75458</t>
  </si>
  <si>
    <t>BI75455</t>
  </si>
  <si>
    <t>BI75439</t>
  </si>
  <si>
    <t>BI75426</t>
  </si>
  <si>
    <t>BI75388</t>
  </si>
  <si>
    <t>BI75371</t>
  </si>
  <si>
    <t>Basic personal identifiers; Data revealing racial or ethnic origin; Identification data; Official documents</t>
  </si>
  <si>
    <t>BI75358</t>
  </si>
  <si>
    <t>BI75356</t>
  </si>
  <si>
    <t>BI75353</t>
  </si>
  <si>
    <t>BI75261</t>
  </si>
  <si>
    <t>BI75198</t>
  </si>
  <si>
    <t>BI75098</t>
  </si>
  <si>
    <t>BI75033</t>
  </si>
  <si>
    <t>BI75027</t>
  </si>
  <si>
    <t>BI74983</t>
  </si>
  <si>
    <t>BI74936</t>
  </si>
  <si>
    <t>BI74932</t>
  </si>
  <si>
    <t>Basic personal identifiers; Criminal convictions or offences; Economic and financial data; Identification data; Official documents</t>
  </si>
  <si>
    <t>BI74767</t>
  </si>
  <si>
    <t>BI74763</t>
  </si>
  <si>
    <t>BI74700</t>
  </si>
  <si>
    <t>BI74640</t>
  </si>
  <si>
    <t>BI74503</t>
  </si>
  <si>
    <t>BI74488</t>
  </si>
  <si>
    <t>BI73875</t>
  </si>
  <si>
    <t>Basic personal identifiers; Health data; Identification data; Location data</t>
  </si>
  <si>
    <t>BI73869</t>
  </si>
  <si>
    <t>BI73861</t>
  </si>
  <si>
    <t>BI73792</t>
  </si>
  <si>
    <t>BI73757</t>
  </si>
  <si>
    <t>BI73727</t>
  </si>
  <si>
    <t>BI73608</t>
  </si>
  <si>
    <t>BI73442</t>
  </si>
  <si>
    <t>BI73296</t>
  </si>
  <si>
    <t>BI73274</t>
  </si>
  <si>
    <t>BI73261</t>
  </si>
  <si>
    <t>BI73254</t>
  </si>
  <si>
    <t>BI73207</t>
  </si>
  <si>
    <t>BI73206</t>
  </si>
  <si>
    <t>BI73193</t>
  </si>
  <si>
    <t>BI73173</t>
  </si>
  <si>
    <t>BI73076</t>
  </si>
  <si>
    <t>BI73041</t>
  </si>
  <si>
    <t>BI72997</t>
  </si>
  <si>
    <t>BI72980</t>
  </si>
  <si>
    <t>BI72871</t>
  </si>
  <si>
    <t>BI72856</t>
  </si>
  <si>
    <t>BI72854</t>
  </si>
  <si>
    <t>Basic personal identifiers; Criminal convictions or offences; Economic and financial data; Gender Reassignment Data; Genetic or biometric data; Health data; Identification data; Official documents; Sex life data</t>
  </si>
  <si>
    <t>BI72840</t>
  </si>
  <si>
    <t>BI72832</t>
  </si>
  <si>
    <t>BI72819</t>
  </si>
  <si>
    <t>BI72818</t>
  </si>
  <si>
    <t>BI72814</t>
  </si>
  <si>
    <t>BI72806</t>
  </si>
  <si>
    <t>BI72800</t>
  </si>
  <si>
    <t>BI72798</t>
  </si>
  <si>
    <t>BI72793</t>
  </si>
  <si>
    <t>BI72789</t>
  </si>
  <si>
    <t>BI72787</t>
  </si>
  <si>
    <t>BI72776</t>
  </si>
  <si>
    <t>BI72766</t>
  </si>
  <si>
    <t>BI72754</t>
  </si>
  <si>
    <t>BI72736</t>
  </si>
  <si>
    <t>BI72730</t>
  </si>
  <si>
    <t>BI72722</t>
  </si>
  <si>
    <t>BI72720</t>
  </si>
  <si>
    <t>BI72719</t>
  </si>
  <si>
    <t>BI72715</t>
  </si>
  <si>
    <t>BI72711</t>
  </si>
  <si>
    <t>BI72703</t>
  </si>
  <si>
    <t>BI72687</t>
  </si>
  <si>
    <t>BI72678</t>
  </si>
  <si>
    <t>BI72674</t>
  </si>
  <si>
    <t>BI72669</t>
  </si>
  <si>
    <t>BI72665</t>
  </si>
  <si>
    <t>BI72647</t>
  </si>
  <si>
    <t>BI72639</t>
  </si>
  <si>
    <t>BI72626</t>
  </si>
  <si>
    <t>BI72612</t>
  </si>
  <si>
    <t>BI72608</t>
  </si>
  <si>
    <t>BI72604</t>
  </si>
  <si>
    <t>BI72593</t>
  </si>
  <si>
    <t>BI72590</t>
  </si>
  <si>
    <t>BI72589</t>
  </si>
  <si>
    <t>BI72584</t>
  </si>
  <si>
    <t>BI72582</t>
  </si>
  <si>
    <t>BI72574</t>
  </si>
  <si>
    <t>BI72565</t>
  </si>
  <si>
    <t>BI72564</t>
  </si>
  <si>
    <t>BI72563</t>
  </si>
  <si>
    <t>BI72559</t>
  </si>
  <si>
    <t>BI72544</t>
  </si>
  <si>
    <t>BI72542</t>
  </si>
  <si>
    <t>BI72527</t>
  </si>
  <si>
    <t>BI72526</t>
  </si>
  <si>
    <t>BI72517</t>
  </si>
  <si>
    <t>Customers or prospective customers; Patients; Vulnerable adults</t>
  </si>
  <si>
    <t>Basic personal identifiers; Data revealing racial or ethnic origin; Gender Reassignment Data; Health data; Location data; Sexual orientation data</t>
  </si>
  <si>
    <t>BI72502</t>
  </si>
  <si>
    <t>BI72476</t>
  </si>
  <si>
    <t>Basic personal identifiers; Data revealing racial or ethnic origin; Health data; Religious or philosophical beliefs</t>
  </si>
  <si>
    <t>BI72471</t>
  </si>
  <si>
    <t>BI72460</t>
  </si>
  <si>
    <t>BI72459</t>
  </si>
  <si>
    <t>BI72454</t>
  </si>
  <si>
    <t>BI72447</t>
  </si>
  <si>
    <t>BI72439</t>
  </si>
  <si>
    <t>BI72438</t>
  </si>
  <si>
    <t>BI72423</t>
  </si>
  <si>
    <t>BI72404</t>
  </si>
  <si>
    <t>BI72381</t>
  </si>
  <si>
    <t>BI72354</t>
  </si>
  <si>
    <t>BI72351</t>
  </si>
  <si>
    <t>BI72335</t>
  </si>
  <si>
    <t>BI72328</t>
  </si>
  <si>
    <t>BI72327</t>
  </si>
  <si>
    <t>BI72304</t>
  </si>
  <si>
    <t>BI72295</t>
  </si>
  <si>
    <t>BI72287</t>
  </si>
  <si>
    <t>BI72286</t>
  </si>
  <si>
    <t>BI72278</t>
  </si>
  <si>
    <t>BI72261</t>
  </si>
  <si>
    <t>BI72260</t>
  </si>
  <si>
    <t>BI72246</t>
  </si>
  <si>
    <t>BI72207</t>
  </si>
  <si>
    <t>BI72200</t>
  </si>
  <si>
    <t>BI72190</t>
  </si>
  <si>
    <t>BI72171</t>
  </si>
  <si>
    <t>BI72148</t>
  </si>
  <si>
    <t>BI72139</t>
  </si>
  <si>
    <t>BI72129</t>
  </si>
  <si>
    <t>BI72123</t>
  </si>
  <si>
    <t>BI72093</t>
  </si>
  <si>
    <t>BI72087</t>
  </si>
  <si>
    <t>BI72070</t>
  </si>
  <si>
    <t>BI72061</t>
  </si>
  <si>
    <t>BI72055</t>
  </si>
  <si>
    <t>BI72054</t>
  </si>
  <si>
    <t>BI72053</t>
  </si>
  <si>
    <t>BI72048</t>
  </si>
  <si>
    <t>BI72047</t>
  </si>
  <si>
    <t>BI72013</t>
  </si>
  <si>
    <t>BI72010</t>
  </si>
  <si>
    <t>BI72008</t>
  </si>
  <si>
    <t>BI72000</t>
  </si>
  <si>
    <t>BI71997</t>
  </si>
  <si>
    <t>BI71982</t>
  </si>
  <si>
    <t>BI71970</t>
  </si>
  <si>
    <t>BI71957</t>
  </si>
  <si>
    <t>BI71954</t>
  </si>
  <si>
    <t>BI71950</t>
  </si>
  <si>
    <t>BI71940</t>
  </si>
  <si>
    <t>BI71938</t>
  </si>
  <si>
    <t>BI71936</t>
  </si>
  <si>
    <t>BI71925</t>
  </si>
  <si>
    <t>BI71923</t>
  </si>
  <si>
    <t>BI71921</t>
  </si>
  <si>
    <t>BI71913</t>
  </si>
  <si>
    <t>Basic personal identifiers; Data revealing racial or ethnic origin; Identification data; Location data; Official documents; Trade union membership</t>
  </si>
  <si>
    <t>BI71901</t>
  </si>
  <si>
    <t>BI71894</t>
  </si>
  <si>
    <t>BI71853</t>
  </si>
  <si>
    <t>BI71846</t>
  </si>
  <si>
    <t>BI71845</t>
  </si>
  <si>
    <t>BI71829</t>
  </si>
  <si>
    <t>BI71825</t>
  </si>
  <si>
    <t>BI71791</t>
  </si>
  <si>
    <t>BI71773</t>
  </si>
  <si>
    <t>BI71749</t>
  </si>
  <si>
    <t>BI71748</t>
  </si>
  <si>
    <t>BI71743</t>
  </si>
  <si>
    <t>BI71736</t>
  </si>
  <si>
    <t>BI71712</t>
  </si>
  <si>
    <t>BI71710</t>
  </si>
  <si>
    <t>BI71704</t>
  </si>
  <si>
    <t>BI71702</t>
  </si>
  <si>
    <t>BI71696</t>
  </si>
  <si>
    <t>BI71690</t>
  </si>
  <si>
    <t>BI71685</t>
  </si>
  <si>
    <t>BI71679</t>
  </si>
  <si>
    <t>BI71653</t>
  </si>
  <si>
    <t>BI71642</t>
  </si>
  <si>
    <t>BI71606</t>
  </si>
  <si>
    <t>BI71592</t>
  </si>
  <si>
    <t>BI71583</t>
  </si>
  <si>
    <t>BI71580</t>
  </si>
  <si>
    <t>Alteration of personal data</t>
  </si>
  <si>
    <t>BI71554</t>
  </si>
  <si>
    <t>BI71516</t>
  </si>
  <si>
    <t>BI71509</t>
  </si>
  <si>
    <t>BI71473</t>
  </si>
  <si>
    <t>BI71464</t>
  </si>
  <si>
    <t>BI71426</t>
  </si>
  <si>
    <t>BI71425</t>
  </si>
  <si>
    <t>BI71398</t>
  </si>
  <si>
    <t>BI71373</t>
  </si>
  <si>
    <t>Basic personal identifiers; Criminal convictions or offences; Data revealing racial or ethnic origin; Economic and financial data; Health data; Identification data; Official documents</t>
  </si>
  <si>
    <t>BI71303</t>
  </si>
  <si>
    <t>BI71293</t>
  </si>
  <si>
    <t>BI71287</t>
  </si>
  <si>
    <t>BI71253</t>
  </si>
  <si>
    <t>BI71231</t>
  </si>
  <si>
    <t>BI71202</t>
  </si>
  <si>
    <t>BI71169</t>
  </si>
  <si>
    <t>BI71149</t>
  </si>
  <si>
    <t>BI71146</t>
  </si>
  <si>
    <t>BI71126</t>
  </si>
  <si>
    <t>BI71105</t>
  </si>
  <si>
    <t>BI71100</t>
  </si>
  <si>
    <t>BI71099</t>
  </si>
  <si>
    <t>BI71096</t>
  </si>
  <si>
    <t>BI71083</t>
  </si>
  <si>
    <t>BI71082</t>
  </si>
  <si>
    <t>BI71070</t>
  </si>
  <si>
    <t>BI71065</t>
  </si>
  <si>
    <t>BI71063</t>
  </si>
  <si>
    <t>Basic personal identifiers; Criminal convictions or offences; Data revealing racial or ethnic origin; Economic and financial data; Health data; Identification data; Location data; Official documents; Trade union membership</t>
  </si>
  <si>
    <t>BI71056</t>
  </si>
  <si>
    <t>BI71052</t>
  </si>
  <si>
    <t>BI71045</t>
  </si>
  <si>
    <t>BI71040</t>
  </si>
  <si>
    <t>BI71038</t>
  </si>
  <si>
    <t>BI71037</t>
  </si>
  <si>
    <t>BI71021</t>
  </si>
  <si>
    <t>BI71001</t>
  </si>
  <si>
    <t>BI70994</t>
  </si>
  <si>
    <t>BI70984</t>
  </si>
  <si>
    <t>BI70973</t>
  </si>
  <si>
    <t>BI70968</t>
  </si>
  <si>
    <t>BI70967</t>
  </si>
  <si>
    <t>BI70957</t>
  </si>
  <si>
    <t>BI70955</t>
  </si>
  <si>
    <t>BI70954</t>
  </si>
  <si>
    <t>BI70950</t>
  </si>
  <si>
    <t>BI70943</t>
  </si>
  <si>
    <t>BI70932</t>
  </si>
  <si>
    <t>BI70904</t>
  </si>
  <si>
    <t>BI70875</t>
  </si>
  <si>
    <t>BI70852</t>
  </si>
  <si>
    <t>BI70848</t>
  </si>
  <si>
    <t>BI70847</t>
  </si>
  <si>
    <t>BI70813</t>
  </si>
  <si>
    <t>BI70803</t>
  </si>
  <si>
    <t>BI70802</t>
  </si>
  <si>
    <t>BI70799</t>
  </si>
  <si>
    <t>BI70788</t>
  </si>
  <si>
    <t>BI70785</t>
  </si>
  <si>
    <t>BI70784</t>
  </si>
  <si>
    <t>BI70777</t>
  </si>
  <si>
    <t>BI70772</t>
  </si>
  <si>
    <t>BI70771</t>
  </si>
  <si>
    <t>BI70755</t>
  </si>
  <si>
    <t>BI70738</t>
  </si>
  <si>
    <t>BI70736</t>
  </si>
  <si>
    <t>BI70721</t>
  </si>
  <si>
    <t>BI81147</t>
  </si>
  <si>
    <t>BI81146</t>
  </si>
  <si>
    <t>BI81136</t>
  </si>
  <si>
    <t>BI81125</t>
  </si>
  <si>
    <t>BI81124</t>
  </si>
  <si>
    <t>Basic personal identifiers; Data revealing racial or ethnic origin; Health data; Identification data</t>
  </si>
  <si>
    <t>BI81096</t>
  </si>
  <si>
    <t>BI81094</t>
  </si>
  <si>
    <t>BI81092</t>
  </si>
  <si>
    <t>BI81090</t>
  </si>
  <si>
    <t>BI81089</t>
  </si>
  <si>
    <t>BI81088</t>
  </si>
  <si>
    <t>BI81087</t>
  </si>
  <si>
    <t>BI81086</t>
  </si>
  <si>
    <t>BI81085</t>
  </si>
  <si>
    <t>BI81048</t>
  </si>
  <si>
    <t>BI81042</t>
  </si>
  <si>
    <t>BI81022</t>
  </si>
  <si>
    <t>BI81017</t>
  </si>
  <si>
    <t>Location data; Sexual orientation data</t>
  </si>
  <si>
    <t>BI80954</t>
  </si>
  <si>
    <t>BI80953</t>
  </si>
  <si>
    <t>BI80952</t>
  </si>
  <si>
    <t>BI80949</t>
  </si>
  <si>
    <t>BI80944</t>
  </si>
  <si>
    <t>BI80939</t>
  </si>
  <si>
    <t>BI80933</t>
  </si>
  <si>
    <t>BI80920</t>
  </si>
  <si>
    <t>BI80888</t>
  </si>
  <si>
    <t>BI80878</t>
  </si>
  <si>
    <t>BI80872</t>
  </si>
  <si>
    <t>BI80856</t>
  </si>
  <si>
    <t>BI80846</t>
  </si>
  <si>
    <t>BI80841</t>
  </si>
  <si>
    <t>BI80838</t>
  </si>
  <si>
    <t>BI80824</t>
  </si>
  <si>
    <t>BI80819</t>
  </si>
  <si>
    <t>BI80799</t>
  </si>
  <si>
    <t>BI80792</t>
  </si>
  <si>
    <t>BI80781</t>
  </si>
  <si>
    <t>BI80768</t>
  </si>
  <si>
    <t>BI80766</t>
  </si>
  <si>
    <t>BI80710</t>
  </si>
  <si>
    <t>BI80679</t>
  </si>
  <si>
    <t>BI80672</t>
  </si>
  <si>
    <t>BI80667</t>
  </si>
  <si>
    <t>BI80665</t>
  </si>
  <si>
    <t>BI80657</t>
  </si>
  <si>
    <t>BI80632</t>
  </si>
  <si>
    <t>BI80631</t>
  </si>
  <si>
    <t>BI80629</t>
  </si>
  <si>
    <t>BI80625</t>
  </si>
  <si>
    <t>BI80612</t>
  </si>
  <si>
    <t>BI80589</t>
  </si>
  <si>
    <t>BI80554</t>
  </si>
  <si>
    <t>BI80546</t>
  </si>
  <si>
    <t>BI80519</t>
  </si>
  <si>
    <t>BI80513</t>
  </si>
  <si>
    <t>BI80489</t>
  </si>
  <si>
    <t>BI80482</t>
  </si>
  <si>
    <t>BI80475</t>
  </si>
  <si>
    <t>BI80474</t>
  </si>
  <si>
    <t>BI80471</t>
  </si>
  <si>
    <t>BI80422</t>
  </si>
  <si>
    <t>BI80410</t>
  </si>
  <si>
    <t>BI80402</t>
  </si>
  <si>
    <t>BI80400</t>
  </si>
  <si>
    <t>BI80391</t>
  </si>
  <si>
    <t>BI80387</t>
  </si>
  <si>
    <t>Basic personal identifiers; Economic and financial data; Gender Reassignment Data; Genetic or biometric data; Health data; Identification data; Location data; Official documents</t>
  </si>
  <si>
    <t>BI80384</t>
  </si>
  <si>
    <t>BI80381</t>
  </si>
  <si>
    <t>Basic personal identifiers; Data revealing racial or ethnic origin; Economic and financial data; Health data; Sexual orientation data</t>
  </si>
  <si>
    <t>BI80380</t>
  </si>
  <si>
    <t>BI80376</t>
  </si>
  <si>
    <t>BI80375</t>
  </si>
  <si>
    <t>BI80374</t>
  </si>
  <si>
    <t>BI80372</t>
  </si>
  <si>
    <t>BI80365</t>
  </si>
  <si>
    <t>BI80333</t>
  </si>
  <si>
    <t>BI80332</t>
  </si>
  <si>
    <t>BI80322</t>
  </si>
  <si>
    <t>BI80318</t>
  </si>
  <si>
    <t>BI80307</t>
  </si>
  <si>
    <t>BI80305</t>
  </si>
  <si>
    <t>BI80278</t>
  </si>
  <si>
    <t>BI80276</t>
  </si>
  <si>
    <t>BI80272</t>
  </si>
  <si>
    <t>BI80267</t>
  </si>
  <si>
    <t>BI80264</t>
  </si>
  <si>
    <t>BI80245</t>
  </si>
  <si>
    <t>BI80244</t>
  </si>
  <si>
    <t>BI80240</t>
  </si>
  <si>
    <t>BI80232</t>
  </si>
  <si>
    <t>BI80209</t>
  </si>
  <si>
    <t>Basic personal identifiers; Religious or philosophical beliefs</t>
  </si>
  <si>
    <t>BI80180</t>
  </si>
  <si>
    <t>BI80155</t>
  </si>
  <si>
    <t>BI80153</t>
  </si>
  <si>
    <t>BI80149</t>
  </si>
  <si>
    <t>BI80146</t>
  </si>
  <si>
    <t>BI80143</t>
  </si>
  <si>
    <t>BI80142</t>
  </si>
  <si>
    <t>BI80141</t>
  </si>
  <si>
    <t>BI80140</t>
  </si>
  <si>
    <t>BI80137</t>
  </si>
  <si>
    <t>BI80134</t>
  </si>
  <si>
    <t>BI80124</t>
  </si>
  <si>
    <t>Customers or prospective customers; Employees; Vulnerable adults</t>
  </si>
  <si>
    <t>BI80121</t>
  </si>
  <si>
    <t>BI80111</t>
  </si>
  <si>
    <t>BI80109</t>
  </si>
  <si>
    <t>BI80088</t>
  </si>
  <si>
    <t>BI80071</t>
  </si>
  <si>
    <t>BI80066</t>
  </si>
  <si>
    <t>BI80060</t>
  </si>
  <si>
    <t>BI80059</t>
  </si>
  <si>
    <t>BI80055</t>
  </si>
  <si>
    <t>BI80043</t>
  </si>
  <si>
    <t>BI80028</t>
  </si>
  <si>
    <t>BI80012</t>
  </si>
  <si>
    <t>BI80008</t>
  </si>
  <si>
    <t>BI80000</t>
  </si>
  <si>
    <t>BI79995</t>
  </si>
  <si>
    <t>BI79983</t>
  </si>
  <si>
    <t>BI79966</t>
  </si>
  <si>
    <t>BI79952</t>
  </si>
  <si>
    <t>BI79951</t>
  </si>
  <si>
    <t>BI79927</t>
  </si>
  <si>
    <t>BI79924</t>
  </si>
  <si>
    <t>BI79912</t>
  </si>
  <si>
    <t>BI79909</t>
  </si>
  <si>
    <t>Basic personal identifiers; Economic and financial data; Official documents; Sexual orientation data</t>
  </si>
  <si>
    <t>BI79904</t>
  </si>
  <si>
    <t>BI79897</t>
  </si>
  <si>
    <t>BI79889</t>
  </si>
  <si>
    <t>BI79883</t>
  </si>
  <si>
    <t>BI79874</t>
  </si>
  <si>
    <t>BI79863</t>
  </si>
  <si>
    <t>BI79854</t>
  </si>
  <si>
    <t>BI79852</t>
  </si>
  <si>
    <t>BI79850</t>
  </si>
  <si>
    <t>BI79821</t>
  </si>
  <si>
    <t>BI79819</t>
  </si>
  <si>
    <t>BI79796</t>
  </si>
  <si>
    <t>BI79716</t>
  </si>
  <si>
    <t>BI79707</t>
  </si>
  <si>
    <t>BI79698</t>
  </si>
  <si>
    <t>BI79687</t>
  </si>
  <si>
    <t>BI79684</t>
  </si>
  <si>
    <t>BI79662</t>
  </si>
  <si>
    <t>BI79658</t>
  </si>
  <si>
    <t>BI79654</t>
  </si>
  <si>
    <t>BI79645</t>
  </si>
  <si>
    <t>BI79640</t>
  </si>
  <si>
    <t>BI79633</t>
  </si>
  <si>
    <t>BI79628</t>
  </si>
  <si>
    <t>BI79627</t>
  </si>
  <si>
    <t>BI79624</t>
  </si>
  <si>
    <t>BI79610</t>
  </si>
  <si>
    <t>BI79607</t>
  </si>
  <si>
    <t>BI79599</t>
  </si>
  <si>
    <t>BI79588</t>
  </si>
  <si>
    <t>BI79586</t>
  </si>
  <si>
    <t>BI79575</t>
  </si>
  <si>
    <t>BI79534</t>
  </si>
  <si>
    <t>Health data; Location data</t>
  </si>
  <si>
    <t>BI79532</t>
  </si>
  <si>
    <t>BI79531</t>
  </si>
  <si>
    <t>BI79530</t>
  </si>
  <si>
    <t>BI79518</t>
  </si>
  <si>
    <t>BI79516</t>
  </si>
  <si>
    <t>BI79501</t>
  </si>
  <si>
    <t>BI79487</t>
  </si>
  <si>
    <t>BI79485</t>
  </si>
  <si>
    <t>BI79482</t>
  </si>
  <si>
    <t>BI79477</t>
  </si>
  <si>
    <t>BI79470</t>
  </si>
  <si>
    <t>BI79459</t>
  </si>
  <si>
    <t>BI79445</t>
  </si>
  <si>
    <t>BI79442</t>
  </si>
  <si>
    <t>BI79435</t>
  </si>
  <si>
    <t>BI79428</t>
  </si>
  <si>
    <t>BI79420</t>
  </si>
  <si>
    <t>BI79415</t>
  </si>
  <si>
    <t>BI79350</t>
  </si>
  <si>
    <t>BI79338</t>
  </si>
  <si>
    <t>BI79326</t>
  </si>
  <si>
    <t>BI79319</t>
  </si>
  <si>
    <t>BI79314</t>
  </si>
  <si>
    <t>BI79307</t>
  </si>
  <si>
    <t>BI79289</t>
  </si>
  <si>
    <t>BI79282</t>
  </si>
  <si>
    <t>BI79270</t>
  </si>
  <si>
    <t>BI79262</t>
  </si>
  <si>
    <t>BI79245</t>
  </si>
  <si>
    <t>BI79229</t>
  </si>
  <si>
    <t>BI79228</t>
  </si>
  <si>
    <t>BI79227</t>
  </si>
  <si>
    <t>BI79219</t>
  </si>
  <si>
    <t>BI79207</t>
  </si>
  <si>
    <t>BI79199</t>
  </si>
  <si>
    <t>BI79193</t>
  </si>
  <si>
    <t>BI79177</t>
  </si>
  <si>
    <t>BI79169</t>
  </si>
  <si>
    <t>BI79166</t>
  </si>
  <si>
    <t>BI79139</t>
  </si>
  <si>
    <t>BI79117</t>
  </si>
  <si>
    <t>BI79112</t>
  </si>
  <si>
    <t>BI79111</t>
  </si>
  <si>
    <t>BI79088</t>
  </si>
  <si>
    <t>Children; Students</t>
  </si>
  <si>
    <t>Criminal convictions or offences; Religious or philosophical beliefs; Trade union membership</t>
  </si>
  <si>
    <t>BI79077</t>
  </si>
  <si>
    <t>BI79064</t>
  </si>
  <si>
    <t>BI79063</t>
  </si>
  <si>
    <t>BI79029</t>
  </si>
  <si>
    <t>BI79014</t>
  </si>
  <si>
    <t>BI79009</t>
  </si>
  <si>
    <t>BI79006</t>
  </si>
  <si>
    <t>Basic personal identifiers; Data revealing racial or ethnic origin; Health data; Location data; Official documents</t>
  </si>
  <si>
    <t>BI79005</t>
  </si>
  <si>
    <t>BI79000</t>
  </si>
  <si>
    <t>BI78998</t>
  </si>
  <si>
    <t>Basic personal identifiers; Data revealing racial or ethnic origin; Economic and financial data; Health data; Location data; Sexual orientation data</t>
  </si>
  <si>
    <t>BI78984</t>
  </si>
  <si>
    <t>Vulnerable adults</t>
  </si>
  <si>
    <t>BI78982</t>
  </si>
  <si>
    <t>BI78976</t>
  </si>
  <si>
    <t>BI78974</t>
  </si>
  <si>
    <t>BI78973</t>
  </si>
  <si>
    <t>BI78972</t>
  </si>
  <si>
    <t>BI78970</t>
  </si>
  <si>
    <t>BI78937</t>
  </si>
  <si>
    <t>BI78927</t>
  </si>
  <si>
    <t>BI78922</t>
  </si>
  <si>
    <t>BI78915</t>
  </si>
  <si>
    <t>BI78909</t>
  </si>
  <si>
    <t>BI78897</t>
  </si>
  <si>
    <t>BI78876</t>
  </si>
  <si>
    <t>Basic personal identifiers; Data revealing racial or ethnic origin; Health data; Location data</t>
  </si>
  <si>
    <t>BI78874</t>
  </si>
  <si>
    <t>BI78835</t>
  </si>
  <si>
    <t>BI78828</t>
  </si>
  <si>
    <t>BI78826</t>
  </si>
  <si>
    <t>BI78821</t>
  </si>
  <si>
    <t>BI78819</t>
  </si>
  <si>
    <t>BI78802</t>
  </si>
  <si>
    <t>BI78800</t>
  </si>
  <si>
    <t>BI78799</t>
  </si>
  <si>
    <t>BI78787</t>
  </si>
  <si>
    <t>BI78779</t>
  </si>
  <si>
    <t>BI78766</t>
  </si>
  <si>
    <t>BI78754</t>
  </si>
  <si>
    <t>BI78723</t>
  </si>
  <si>
    <t>BI78705</t>
  </si>
  <si>
    <t>BI78698</t>
  </si>
  <si>
    <t>BI78696</t>
  </si>
  <si>
    <t>BI78681</t>
  </si>
  <si>
    <t>BI78679</t>
  </si>
  <si>
    <t>BI78674</t>
  </si>
  <si>
    <t>BI78669</t>
  </si>
  <si>
    <t>BI78651</t>
  </si>
  <si>
    <t>BI78642</t>
  </si>
  <si>
    <t>Basic personal identifiers; Economic and financial data; Gender Reassignment Data; Identification data</t>
  </si>
  <si>
    <t>BI78635</t>
  </si>
  <si>
    <t>BI78621</t>
  </si>
  <si>
    <t>BI78617</t>
  </si>
  <si>
    <t>BI78616</t>
  </si>
  <si>
    <t>BI78611</t>
  </si>
  <si>
    <t>BI78603</t>
  </si>
  <si>
    <t>BI78601</t>
  </si>
  <si>
    <t>BI78596</t>
  </si>
  <si>
    <t>Basic personal identifiers; Data revealing racial or ethnic origin; Identification data</t>
  </si>
  <si>
    <t>BI78594</t>
  </si>
  <si>
    <t>BI78586</t>
  </si>
  <si>
    <t>BI78578</t>
  </si>
  <si>
    <t>BI78570</t>
  </si>
  <si>
    <t>BI78566</t>
  </si>
  <si>
    <t>BI78565</t>
  </si>
  <si>
    <t>BI78560</t>
  </si>
  <si>
    <t>BI78552</t>
  </si>
  <si>
    <t>BI78548</t>
  </si>
  <si>
    <t>BI78542</t>
  </si>
  <si>
    <t>BI78540</t>
  </si>
  <si>
    <t>BI78531</t>
  </si>
  <si>
    <t>BI78530</t>
  </si>
  <si>
    <t>BI78525</t>
  </si>
  <si>
    <t>BI78486</t>
  </si>
  <si>
    <t>BI78473</t>
  </si>
  <si>
    <t>BI78461</t>
  </si>
  <si>
    <t>BI78457</t>
  </si>
  <si>
    <t>BI78455</t>
  </si>
  <si>
    <t>BI78454</t>
  </si>
  <si>
    <t>BI78426</t>
  </si>
  <si>
    <t>BI78421</t>
  </si>
  <si>
    <t>BI78414</t>
  </si>
  <si>
    <t>BI78407</t>
  </si>
  <si>
    <t>BI78406</t>
  </si>
  <si>
    <t>BI78402</t>
  </si>
  <si>
    <t>BI78396</t>
  </si>
  <si>
    <t>BI78393</t>
  </si>
  <si>
    <t>BI78391</t>
  </si>
  <si>
    <t>BI78373</t>
  </si>
  <si>
    <t>BI78369</t>
  </si>
  <si>
    <t>BI78361</t>
  </si>
  <si>
    <t>BI78351</t>
  </si>
  <si>
    <t>BI78338</t>
  </si>
  <si>
    <t>Basic personal identifiers; Location data; Sex life data; Sexual orientation data</t>
  </si>
  <si>
    <t>BI78327</t>
  </si>
  <si>
    <t>BI78312</t>
  </si>
  <si>
    <t>BI78297</t>
  </si>
  <si>
    <t>BI78292</t>
  </si>
  <si>
    <t>BI78275</t>
  </si>
  <si>
    <t>Basic personal identifiers; Data revealing racial or ethnic origin; Economic and financial data; Gender Reassignment Data; Health data; Identification data; Location data; Official documents; Religious or philosophical beliefs; Sexual orientation data</t>
  </si>
  <si>
    <t>BI78267</t>
  </si>
  <si>
    <t>BI78255</t>
  </si>
  <si>
    <t>BI78253</t>
  </si>
  <si>
    <t>BI78248</t>
  </si>
  <si>
    <t>BI78243</t>
  </si>
  <si>
    <t>BI78227</t>
  </si>
  <si>
    <t>BI78209</t>
  </si>
  <si>
    <t>Basic personal identifiers; Criminal convictions or offences; Economic and financial data; Health data</t>
  </si>
  <si>
    <t>BI78202</t>
  </si>
  <si>
    <t>BI78200</t>
  </si>
  <si>
    <t>BI78198</t>
  </si>
  <si>
    <t>BI78197</t>
  </si>
  <si>
    <t>BI78180</t>
  </si>
  <si>
    <t>BI78165</t>
  </si>
  <si>
    <t>BI78161</t>
  </si>
  <si>
    <t>BI78158</t>
  </si>
  <si>
    <t>BI78148</t>
  </si>
  <si>
    <t>BI78124</t>
  </si>
  <si>
    <t>BI78122</t>
  </si>
  <si>
    <t>BI78110</t>
  </si>
  <si>
    <t>BI78108</t>
  </si>
  <si>
    <t>BI78095</t>
  </si>
  <si>
    <t>BI78090</t>
  </si>
  <si>
    <t>BI78086</t>
  </si>
  <si>
    <t>BI78080</t>
  </si>
  <si>
    <t>BI78066</t>
  </si>
  <si>
    <t>BI78065</t>
  </si>
  <si>
    <t>BI78053</t>
  </si>
  <si>
    <t>BI78046</t>
  </si>
  <si>
    <t>BI78044</t>
  </si>
  <si>
    <t>BI78034</t>
  </si>
  <si>
    <t>BI78002</t>
  </si>
  <si>
    <t>BI78001</t>
  </si>
  <si>
    <t>BI77994</t>
  </si>
  <si>
    <t>BI77990</t>
  </si>
  <si>
    <t>BI77989</t>
  </si>
  <si>
    <t>BI77890</t>
  </si>
  <si>
    <t>BI77889</t>
  </si>
  <si>
    <t>BI77883</t>
  </si>
  <si>
    <t>BI77870</t>
  </si>
  <si>
    <t>BI77865</t>
  </si>
  <si>
    <t>BI77854</t>
  </si>
  <si>
    <t>BI77848</t>
  </si>
  <si>
    <t>Patients; Users; Vulnerable adults</t>
  </si>
  <si>
    <t>BI77844</t>
  </si>
  <si>
    <t>BI77839</t>
  </si>
  <si>
    <t>BI77833</t>
  </si>
  <si>
    <t>BI77830</t>
  </si>
  <si>
    <t>BI77815</t>
  </si>
  <si>
    <t>BI77813</t>
  </si>
  <si>
    <t>BI77807</t>
  </si>
  <si>
    <t>BI77801</t>
  </si>
  <si>
    <t>BI77787</t>
  </si>
  <si>
    <t>BI77770</t>
  </si>
  <si>
    <t>BI77747</t>
  </si>
  <si>
    <t>BI77737</t>
  </si>
  <si>
    <t>BI77735</t>
  </si>
  <si>
    <t>BI77717</t>
  </si>
  <si>
    <t>BI77707</t>
  </si>
  <si>
    <t>BI77705</t>
  </si>
  <si>
    <t>BI77690</t>
  </si>
  <si>
    <t>BI77684</t>
  </si>
  <si>
    <t>BI77659</t>
  </si>
  <si>
    <t>BI77654</t>
  </si>
  <si>
    <t>BI77640</t>
  </si>
  <si>
    <t>BI77638</t>
  </si>
  <si>
    <t>BI77631</t>
  </si>
  <si>
    <t>BI77622</t>
  </si>
  <si>
    <t>Basic personal identifiers; Data revealing racial or ethnic origin; Economic and financial data; Identification data; Location data; Official documents</t>
  </si>
  <si>
    <t>BI77578</t>
  </si>
  <si>
    <t>BI77572</t>
  </si>
  <si>
    <t>BI77569</t>
  </si>
  <si>
    <t>BI77565</t>
  </si>
  <si>
    <t>BI77563</t>
  </si>
  <si>
    <t>BI77552</t>
  </si>
  <si>
    <t>BI77548</t>
  </si>
  <si>
    <t>BI77547</t>
  </si>
  <si>
    <t>BI77546</t>
  </si>
  <si>
    <t>BI77544</t>
  </si>
  <si>
    <t>BI77540</t>
  </si>
  <si>
    <t>BI77491</t>
  </si>
  <si>
    <t>BI77490</t>
  </si>
  <si>
    <t>BI77465</t>
  </si>
  <si>
    <t>BI77464</t>
  </si>
  <si>
    <t>BI77463</t>
  </si>
  <si>
    <t>BI77453</t>
  </si>
  <si>
    <t>BI77443</t>
  </si>
  <si>
    <t>Basic personal identifiers; Data revealing racial or ethnic origin; Economic and financial data; Identification data</t>
  </si>
  <si>
    <t>BI77441</t>
  </si>
  <si>
    <t>BI77430</t>
  </si>
  <si>
    <t>BI77428</t>
  </si>
  <si>
    <t>BI77420</t>
  </si>
  <si>
    <t>BI77405</t>
  </si>
  <si>
    <t>BI77402</t>
  </si>
  <si>
    <t>BI77400</t>
  </si>
  <si>
    <t>BI77390</t>
  </si>
  <si>
    <t>BI77379</t>
  </si>
  <si>
    <t>BI77372</t>
  </si>
  <si>
    <t>BI77352</t>
  </si>
  <si>
    <t>Source</t>
  </si>
  <si>
    <t>ICO, Data security incident trends: data-security-incidents-trends-q1-2019-to-q4-2025.xlsx (ico.org.uk)</t>
  </si>
  <si>
    <t>Filter: Sector = Retail and manufacture; Year = 2024-2025; one row per BI Reference</t>
  </si>
  <si>
    <t>Data_Subject_Types and Data_Types combine the repeated source rows; Special_Category_Data = Y when any Art 9 data type is listed</t>
  </si>
  <si>
    <t>Contains public sector information licensed under the Open Government Licence v3.0.</t>
  </si>
  <si>
    <t>DPIA_ID</t>
  </si>
  <si>
    <t>Project</t>
  </si>
  <si>
    <t>Description</t>
  </si>
  <si>
    <t>Screening_Date</t>
  </si>
  <si>
    <t>DPIA_Required</t>
  </si>
  <si>
    <t>Screening_Reason</t>
  </si>
  <si>
    <t>Key_Risk</t>
  </si>
  <si>
    <t>Likelihood</t>
  </si>
  <si>
    <t>Impact</t>
  </si>
  <si>
    <t>Inherent_Score</t>
  </si>
  <si>
    <t>Inherent_Level</t>
  </si>
  <si>
    <t>Mitigation_Action</t>
  </si>
  <si>
    <t>Action_Owner</t>
  </si>
  <si>
    <t>Action_Due</t>
  </si>
  <si>
    <t>Action_Overdue</t>
  </si>
  <si>
    <t>Residual_Likelihood</t>
  </si>
  <si>
    <t>Residual_Impact</t>
  </si>
  <si>
    <t>Residual_Score</t>
  </si>
  <si>
    <t>Residual_Level</t>
  </si>
  <si>
    <t>Art36_Flag</t>
  </si>
  <si>
    <t>Consultation_Submitted</t>
  </si>
  <si>
    <t>DPC_Response_Date</t>
  </si>
  <si>
    <t>Approved_By</t>
  </si>
  <si>
    <t>Approval_Date</t>
  </si>
  <si>
    <t>Next_Review</t>
  </si>
  <si>
    <t>DPIA-2026-01</t>
  </si>
  <si>
    <t>CCTV upgrade with remote viewing</t>
  </si>
  <si>
    <t>Replace store CCTV with cloud recorders viewable from head office</t>
  </si>
  <si>
    <t>Systematic monitoring of a publicly accessible area (Art 35(3)(c))</t>
  </si>
  <si>
    <t>Excessive retention and remote access to footage</t>
  </si>
  <si>
    <t>30-day retention; role-based access log; updated signage</t>
  </si>
  <si>
    <t>DPIA-2026-02</t>
  </si>
  <si>
    <t>Loyalty app personalised offers</t>
  </si>
  <si>
    <t>Use purchase history to tailor offers in the loyalty app</t>
  </si>
  <si>
    <t>Large-scale profiling of customers</t>
  </si>
  <si>
    <t>Opaque profiling; marketing without valid consent</t>
  </si>
  <si>
    <t>Opt-in consent; preference centre; profiling notice in app</t>
  </si>
  <si>
    <t>DPIA-2026-03</t>
  </si>
  <si>
    <t>Cloud HR and payroll system</t>
  </si>
  <si>
    <t>Move HR records and payroll to a SaaS provider</t>
  </si>
  <si>
    <t>New technology; large-scale employee data incl. health data</t>
  </si>
  <si>
    <t>Processor access and international transfer</t>
  </si>
  <si>
    <t>Art 28 contract; transfer impact assessment; SSO and MFA</t>
  </si>
  <si>
    <t>DPIA-2026-04</t>
  </si>
  <si>
    <t>Online returns via courier</t>
  </si>
  <si>
    <t>Courier collects returns using name, address and phone</t>
  </si>
  <si>
    <t>Screened out: existing processor, low-risk contact data</t>
  </si>
  <si>
    <t>DPIA-2026-05</t>
  </si>
  <si>
    <t>Self-checkout age-estimation camera</t>
  </si>
  <si>
    <t>Camera estimates age at self-checkout for restricted items</t>
  </si>
  <si>
    <t>Innovative technology; possible biometric data</t>
  </si>
  <si>
    <t>Facial images processed without clear necessity</t>
  </si>
  <si>
    <t>On-device processing; no image storage; staff check offered as alternative</t>
  </si>
  <si>
    <t>DPIA-2026-06</t>
  </si>
  <si>
    <t>Staff scheduling app with clock-in location</t>
  </si>
  <si>
    <t>Mobile app for rotas and clock-in at the store</t>
  </si>
  <si>
    <t>Employee monitoring (location data)</t>
  </si>
  <si>
    <t>Continuous location tracking of staff</t>
  </si>
  <si>
    <t>Geofence check at clock-in only; no continuous tracking</t>
  </si>
  <si>
    <t>Live alerts - recalculated from TODAY() every time the file opens</t>
  </si>
  <si>
    <t>Today</t>
  </si>
  <si>
    <t>The registers and Monthly_Report are a snapshot as of Lists!B2. This sheet uses the real date, so it is the working view for chasing deadlines. With the sample data (dated up to 30/10/2026) results depend on when the file is opened.</t>
  </si>
  <si>
    <t>Open data subject requests - most urgent first</t>
  </si>
  <si>
    <t>Rank</t>
  </si>
  <si>
    <t>Days_Left_Today</t>
  </si>
  <si>
    <t>Live_RAG</t>
  </si>
  <si>
    <t>Row</t>
  </si>
  <si>
    <t>Breaches waiting for DPC notification</t>
  </si>
  <si>
    <t>Hours_Left_Now</t>
  </si>
  <si>
    <t>Alert</t>
  </si>
  <si>
    <t>Open DPIA mitigation actions</t>
  </si>
  <si>
    <t>Data checks</t>
  </si>
  <si>
    <t>DSR rows failing checks</t>
  </si>
  <si>
    <t>Incident rows failing checks</t>
  </si>
  <si>
    <t>DPIA rows failing checks</t>
  </si>
  <si>
    <t>Holiday list</t>
  </si>
  <si>
    <t>Holiday coverage</t>
  </si>
  <si>
    <t>Monthly Privacy Report - Northbay Retail Ltd (fictional)</t>
  </si>
  <si>
    <t>Report month (first day)</t>
  </si>
  <si>
    <t>Month end</t>
  </si>
  <si>
    <t>Snapshot date (registers as of; not live)</t>
  </si>
  <si>
    <t>Data subject requests</t>
  </si>
  <si>
    <t>Received this month</t>
  </si>
  <si>
    <t>Closed this month</t>
  </si>
  <si>
    <t>Closed on time this month</t>
  </si>
  <si>
    <t>On-time rate (closed this month)</t>
  </si>
  <si>
    <t>Average days to close (closed this month)</t>
  </si>
  <si>
    <t>Acknowledged within target (received this month)</t>
  </si>
  <si>
    <t>Open at report date</t>
  </si>
  <si>
    <t xml:space="preserve">  Overdue</t>
  </si>
  <si>
    <t xml:space="preserve">  Red (7 days or fewer)</t>
  </si>
  <si>
    <t xml:space="preserve">  Amber (14 days or fewer)</t>
  </si>
  <si>
    <t xml:space="preserve">  Green</t>
  </si>
  <si>
    <t xml:space="preserve">  Paused (awaiting ID)</t>
  </si>
  <si>
    <t>Open and escalated</t>
  </si>
  <si>
    <t>Extension notices sent late (all time)</t>
  </si>
  <si>
    <t>ID pause flagged for review (all time)</t>
  </si>
  <si>
    <t>Closed late (all time)</t>
  </si>
  <si>
    <t>Personal data breaches</t>
  </si>
  <si>
    <t>Logged this month (by awareness date)</t>
  </si>
  <si>
    <t>Notifiable to DPC (all time)</t>
  </si>
  <si>
    <t>Notified within 72 hours (all time)</t>
  </si>
  <si>
    <t>Notified late (all time)</t>
  </si>
  <si>
    <t>Notification pending</t>
  </si>
  <si>
    <t>Recorded only, not notifiable (Art 33(5))</t>
  </si>
  <si>
    <t>Open incidents</t>
  </si>
  <si>
    <t>DPIAs</t>
  </si>
  <si>
    <t>DPIAs in register</t>
  </si>
  <si>
    <t>Mitigation actions overdue</t>
  </si>
  <si>
    <t>Flagged for prior consultation (Art 36, automatic)</t>
  </si>
  <si>
    <t>Consultations submitted, awaiting DPC advice (recorded)</t>
  </si>
  <si>
    <t>Reviews due in the next 90 days</t>
  </si>
  <si>
    <t>Requests by type</t>
  </si>
  <si>
    <t>This month</t>
  </si>
  <si>
    <t>Year to date</t>
  </si>
  <si>
    <t>Total</t>
  </si>
  <si>
    <t>Six-month trend</t>
  </si>
  <si>
    <t>Month</t>
  </si>
  <si>
    <t>Received</t>
  </si>
  <si>
    <t>Closed on time</t>
  </si>
  <si>
    <t>On-time rate</t>
  </si>
  <si>
    <t>Benchmark: tracker registers vs published regulator data</t>
  </si>
  <si>
    <t>Real figures: DPC Annual Report 2025 (Ireland) and ICO data security incident trends (UK, raw records in sheet ICO_Retail_2024_25). Tracker figures are synthetic and are calculated live from the registers.</t>
  </si>
  <si>
    <t>1. DPC Annual Report 2025 - headline figures</t>
  </si>
  <si>
    <t>Metric</t>
  </si>
  <si>
    <t>DPC 2025</t>
  </si>
  <si>
    <t>Tracker</t>
  </si>
  <si>
    <t>Access requests, share of GDPR complaints</t>
  </si>
  <si>
    <t>PDF p.23</t>
  </si>
  <si>
    <t>Proxy only: DPC counts complaints to the regulator; the tracker counts requests to the company</t>
  </si>
  <si>
    <t>Erasure, share of GDPR complaints</t>
  </si>
  <si>
    <t>Proxy only, as above</t>
  </si>
  <si>
    <t>Breaches from correspondence sent to the wrong recipient</t>
  </si>
  <si>
    <t>PDF p.37</t>
  </si>
  <si>
    <t>Tracker: emailed, posted or bcc incidents</t>
  </si>
  <si>
    <t>Breaches assessed as low or no risk</t>
  </si>
  <si>
    <t>Low or no risk breaches still have to be recorded (Art 33(5))</t>
  </si>
  <si>
    <t>Valid breach notifications received</t>
  </si>
  <si>
    <t>Tracker: incidents that met the notification threshold</t>
  </si>
  <si>
    <t>New cases received by the DPC</t>
  </si>
  <si>
    <t>PDF p.21</t>
  </si>
  <si>
    <t>Context: up 45% on 2024</t>
  </si>
  <si>
    <t>2. ICO incident types - Retail and manufacture, 2024-2025 (n = 2831 incidents, sheet ICO_Retail_2024_25)</t>
  </si>
  <si>
    <t>ICO count</t>
  </si>
  <si>
    <t>ICO share</t>
  </si>
  <si>
    <t>Tracker count</t>
  </si>
  <si>
    <t>Tracker share</t>
  </si>
  <si>
    <t>3. Data subjects affected - Retail and manufacture, 2024-2025</t>
  </si>
  <si>
    <t>4. Time taken to report - Retail and manufacture, 2024-2025 (tracker: notified incidents only)</t>
  </si>
  <si>
    <t>Method and caveats</t>
  </si>
  <si>
    <t>DPC figures typed from the DPC Annual Report 2025 (published 30 June 2026); page numbers refer to the PDF.</t>
  </si>
  <si>
    <t>ICO counts are live COUNTIF formulas on sheet ICO_Retail_2024_25, which holds the real incident records: source file data-security-incidents-trends-q1-2019-to-q4-2025.xlsx, filtered to Sector = Retail and manufacture and Year = 2024-2025, one row per BI Reference.</t>
  </si>
  <si>
    <t>The source file repeats each incident once per data type and data subject type; the per-incident fields were identical across those repeats, so one row was kept and the data types and subject types were combined.</t>
  </si>
  <si>
    <t>The 12 tracker incidents are modelled on ICO records: incident types were allocated in proportion to the ICO type counts, and each incident copies the category, subjects band, subject type, special-category flag and time-to-report band of one real ICO incident (Incident_Log column ICO_Template_Ref). Dates, exact counts, risk level, owners and actions are synthetic.</t>
  </si>
  <si>
    <t>ICO data is UK, not Irish, and the ICO sector combines retail with manufacturing. The ICO notes its figures are not a definitive source and cover reported incidents only. Contains public sector information licensed under the Open Government Licence v3.0.</t>
  </si>
  <si>
    <t>GDPR Tracker - Northbay Retail Ltd (fictional)</t>
  </si>
  <si>
    <t>Purpose: an Excel tracker for the day-to-day work of a privacy team - logging data subject requests, tracking GDPR deadlines, recording personal data breaches and DPIAs, and producing a monthly report for the Data Privacy Manager.</t>
  </si>
  <si>
    <t>All register records are synthetic (incidents are modelled on real ICO records, see ICO_Template_Ref). Registers hold reference IDs only - no names, emails or other personal data (data minimisation).</t>
  </si>
  <si>
    <t>Sheets</t>
  </si>
  <si>
    <t>Lists - parameters (snapshot date, targets, thresholds), Irish public holidays (Excel table tblHolidays), lookup tables and dropdown lists, holiday checks</t>
  </si>
  <si>
    <t>DSR_Register - one row per request: statutory deadline with ID pause, extension and weekend/holiday roll-over, snapshot RAG, on-time flag, data check</t>
  </si>
  <si>
    <t>Incident_Log - one row per breach: notification decision, 72-hour deadline, time-to-report band, Art 34 flag, data check</t>
  </si>
  <si>
    <t>DPIA_Register - screening, inherent and residual risk, mitigation actions, automatic Art 36 flag kept separate from the recorded consultation and approval, review date, data check</t>
  </si>
  <si>
    <t>Live_Alerts - open requests, pending breach notifications and open DPIA actions ranked by urgency against TODAY()</t>
  </si>
  <si>
    <t>Monthly_Report - KPIs for a selected month (change cell B3), requests by type, six-month trend, data-check summary</t>
  </si>
  <si>
    <t>Benchmark - tracker figures next to DPC Annual Report 2025 and ICO retail incident data (ICO counts are live formulas)</t>
  </si>
  <si>
    <t>ICO_Retail_2024_25 - 2,831 real ICO incident records (UK, Retail and manufacture, 2024-2025), used by Benchmark and as templates for the synthetic incidents (Open Government Licence v3.0)</t>
  </si>
  <si>
    <t>Snapshot vs live</t>
  </si>
  <si>
    <t>Lists!B2 is a fixed snapshot date. Register columns ending in _Snapshot, RAG_Snapshot, Action_Overdue and the Monthly_Report are a historical snapshot as of that date, so results are reproducible. Live_Alerts uses TODAY() and NOW() for day-to-day chasing.</t>
  </si>
  <si>
    <t>Controls</t>
  </si>
  <si>
    <t>Blue header = input column (dropdowns or date/number validation). Grey header = formula column.</t>
  </si>
  <si>
    <t>Register sheets are protected without a password so formulas cannot be overwritten by accident; only input cells can be edited. To change a formula: Review &gt; Unprotect Sheet.</t>
  </si>
  <si>
    <t>Data_Check columns show OK or Check: followed by the problem (missing fields, duplicate IDs, dates out of order, closed without a response date, Art 36 consultation not started, approved before DPC advice, etc.).</t>
  </si>
  <si>
    <t>Holidays are an Excel table, so a new row is picked up by the Holidays name automatically; Lists!B13 and B15 warn about invalid holiday rows and deadlines beyond the last listed holiday.</t>
  </si>
  <si>
    <t>Art36_Flag is an automatic risk prompt only. The actual consultation (status, submission date, DPC response) and the approval (approver, date) are recorded separately as inputs.</t>
  </si>
  <si>
    <t>RAG: Overdue (dark red), Red = 7 days or fewer, Amber = 14 days or fewer, Green, Paused = awaiting ID.</t>
  </si>
  <si>
    <t>Rules applied (sources)</t>
  </si>
  <si>
    <t>One month from receipt, extendable by two further months if the requester is told within the first month - GDPR Art 12(3).</t>
  </si>
  <si>
    <t>Clock starts when the request reaches an official channel; paused while waiting for ID, provided ID was requested without undue delay - EDPB Guidelines 01/2022 v2.0, para 159.</t>
  </si>
  <si>
    <t>Deadline examples: 5 March -&gt; 5 April; 31 August -&gt; 30 September - EDPB Guidelines 01/2022, para 160, examples 32-33.</t>
  </si>
  <si>
    <t>Last day on a weekend or public holiday rolls to the next working day - Regulation 1182/71; DPC guidance.</t>
  </si>
  <si>
    <t>Internal target of 15 days - DPC recommendation. Acknowledgement target (2 working days) and ID-request window (3 days) are internal policy assumptions.</t>
  </si>
  <si>
    <t>All breaches recorded - Art 33(5); notify the DPC within 72 hours unless unlikely to result in a risk - Art 33(1); tell individuals if high risk - Art 34.</t>
  </si>
  <si>
    <t>DPIA for likely high-risk processing - Art 35; prior consultation if residual risk stays high - Art 36.</t>
  </si>
  <si>
    <t>Built for Excel 2016 and later (EDATE, WORKDAY, NETWORKDAYS, VLOOKUP, INDEX, AGGREGATE, COUNTIFS, AVERAGEIFS; no dynamic arrays).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</si>
</sst>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dd/mm/yyyy"/>
    <numFmt numFmtId="177" formatCode="dd/mm/yyyy\ hh:mm"/>
    <numFmt numFmtId="178" formatCode="0.0"/>
    <numFmt numFmtId="179" formatCode="mmm\ yyyy"/>
    <numFmt numFmtId="180" formatCode="0.0%"/>
  </numFmts>
  <fonts count="4" x14ac:knownFonts="1">
    <font>
      <sz val="11"/>
      <color theme="1"/>
      <name val="Arial"/>
      <family val="2"/>
      <charset val="134"/>
    </font>
    <font>
      <sz val="9"/>
      <name val="Arial"/>
      <family val="2"/>
      <charset val="134"/>
    </font>
    <font>
      <b/>
      <sz val="11"/>
      <color theme="1"/>
      <name val="Arial"/>
      <family val="2"/>
    </font>
    <font>
      <b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BDD7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176" fontId="0" fillId="3" borderId="0" xfId="0" applyNumberFormat="1" applyFill="1">
      <alignment vertical="center"/>
    </xf>
    <xf numFmtId="0" fontId="0" fillId="3" borderId="0" xfId="0" applyFill="1">
      <alignment vertical="center"/>
    </xf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77" fontId="0" fillId="0" borderId="0" xfId="0" applyNumberFormat="1">
      <alignment vertical="center"/>
    </xf>
    <xf numFmtId="0" fontId="3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/>
    </xf>
    <xf numFmtId="9" fontId="0" fillId="0" borderId="0" xfId="0" applyNumberFormat="1">
      <alignment vertical="center"/>
    </xf>
    <xf numFmtId="3" fontId="0" fillId="0" borderId="0" xfId="0" applyNumberFormat="1">
      <alignment vertical="center"/>
    </xf>
    <xf numFmtId="180" fontId="0" fillId="0" borderId="0" xfId="0" applyNumberFormat="1">
      <alignment vertical="center"/>
    </xf>
    <xf numFmtId="3" fontId="2" fillId="0" borderId="0" xfId="0" applyNumberFormat="1" applyFont="1">
      <alignment vertical="center"/>
    </xf>
    <xf numFmtId="0" fontId="3" fillId="0" borderId="0" xfId="0" applyFont="1" applyAlignment="1">
      <alignment vertical="center" wrapText="1"/>
    </xf>
    <xf numFmtId="0" fontId="2" fillId="3" borderId="0" xfId="0" applyFont="1" applyFill="1" applyAlignment="1" applyProtection="1">
      <alignment vertical="center" wrapText="1"/>
    </xf>
    <xf numFmtId="0" fontId="2" fillId="2" borderId="0" xfId="0" applyFont="1" applyFill="1" applyAlignment="1" applyProtection="1">
      <alignment vertical="center" wrapText="1"/>
    </xf>
    <xf numFmtId="0" fontId="0" fillId="0" borderId="0" xfId="0" applyProtection="1">
      <alignment vertical="center"/>
    </xf>
    <xf numFmtId="176" fontId="0" fillId="0" borderId="0" xfId="0" applyNumberFormat="1" applyProtection="1">
      <alignment vertical="center"/>
    </xf>
    <xf numFmtId="0" fontId="0" fillId="0" borderId="0" xfId="0" applyProtection="1">
      <alignment vertical="center"/>
      <protection locked="0"/>
    </xf>
    <xf numFmtId="176" fontId="0" fillId="0" borderId="0" xfId="0" applyNumberFormat="1" applyProtection="1">
      <alignment vertical="center"/>
      <protection locked="0"/>
    </xf>
    <xf numFmtId="177" fontId="0" fillId="0" borderId="0" xfId="0" applyNumberFormat="1" applyProtection="1">
      <alignment vertical="center"/>
    </xf>
    <xf numFmtId="177" fontId="0" fillId="0" borderId="0" xfId="0" applyNumberFormat="1" applyProtection="1">
      <alignment vertical="center"/>
      <protection locked="0"/>
    </xf>
    <xf numFmtId="0" fontId="0" fillId="0" borderId="0" xfId="0" applyAlignment="1" applyProtection="1">
      <alignment vertical="center" wrapText="1"/>
    </xf>
    <xf numFmtId="0" fontId="0" fillId="0" borderId="0" xfId="0" applyAlignment="1" applyProtection="1">
      <alignment vertical="center" wrapText="1"/>
      <protection locked="0"/>
    </xf>
    <xf numFmtId="0" fontId="3" fillId="0" borderId="0" xfId="0" applyFont="1" applyProtection="1">
      <alignment vertical="center"/>
    </xf>
    <xf numFmtId="0" fontId="2" fillId="2" borderId="0" xfId="0" applyFont="1" applyFill="1" applyProtection="1">
      <alignment vertical="center"/>
    </xf>
    <xf numFmtId="0" fontId="0" fillId="2" borderId="0" xfId="0" applyFill="1" applyAlignment="1" applyProtection="1">
      <alignment horizontal="right" vertical="center"/>
    </xf>
    <xf numFmtId="0" fontId="0" fillId="0" borderId="0" xfId="0" applyAlignment="1" applyProtection="1">
      <alignment horizontal="right" vertical="center"/>
    </xf>
    <xf numFmtId="0" fontId="2" fillId="0" borderId="0" xfId="0" applyFont="1" applyProtection="1">
      <alignment vertical="center"/>
    </xf>
    <xf numFmtId="9" fontId="0" fillId="0" borderId="0" xfId="0" applyNumberFormat="1" applyAlignment="1" applyProtection="1">
      <alignment horizontal="right" vertical="center"/>
    </xf>
    <xf numFmtId="178" fontId="0" fillId="0" borderId="0" xfId="0" applyNumberFormat="1" applyAlignment="1" applyProtection="1">
      <alignment horizontal="right" vertical="center"/>
    </xf>
    <xf numFmtId="179" fontId="0" fillId="0" borderId="0" xfId="0" applyNumberFormat="1" applyProtection="1">
      <alignment vertical="center"/>
    </xf>
    <xf numFmtId="9" fontId="0" fillId="0" borderId="0" xfId="0" applyNumberFormat="1" applyProtection="1">
      <alignment vertical="center"/>
    </xf>
    <xf numFmtId="176" fontId="0" fillId="3" borderId="0" xfId="0" applyNumberFormat="1" applyFill="1" applyProtection="1">
      <alignment vertical="center"/>
      <protection locked="0"/>
    </xf>
  </cellXfs>
  <cellStyles count="1">
    <cellStyle name="常规" xfId="0" builtinId="0"/>
  </cellStyles>
  <dxfs count="40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C00000"/>
        </patternFill>
      </fill>
    </dxf>
    <dxf>
      <font>
        <color rgb="FF404040"/>
      </font>
      <fill>
        <patternFill>
          <bgColor rgb="FFD9D9D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833C0C"/>
      </font>
      <fill>
        <patternFill>
          <bgColor rgb="FFF8CBAD"/>
        </patternFill>
      </fill>
    </dxf>
    <dxf>
      <font>
        <color rgb="FF404040"/>
      </font>
      <fill>
        <patternFill>
          <bgColor rgb="FFD9D9D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numFmt numFmtId="176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altLang="zh-CN"/>
              <a:t>Requests received vs closed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Monthly_Report!$E$22</c:f>
              <c:strCache>
                <c:ptCount val="1"/>
                <c:pt idx="0">
                  <c:v>Received</c:v>
                </c:pt>
              </c:strCache>
            </c:strRef>
          </c:tx>
          <c:invertIfNegative val="0"/>
          <c:cat>
            <c:numRef>
              <c:f>Monthly_Report!$D$23:$D$28</c:f>
              <c:numCache>
                <c:formatCode>mmm\ yyyy</c:formatCode>
                <c:ptCount val="6"/>
                <c:pt idx="0">
                  <c:v>46143</c:v>
                </c:pt>
                <c:pt idx="1">
                  <c:v>46174</c:v>
                </c:pt>
                <c:pt idx="2">
                  <c:v>46204</c:v>
                </c:pt>
                <c:pt idx="3">
                  <c:v>46235</c:v>
                </c:pt>
                <c:pt idx="4">
                  <c:v>46266</c:v>
                </c:pt>
                <c:pt idx="5">
                  <c:v>46296</c:v>
                </c:pt>
              </c:numCache>
            </c:numRef>
          </c:cat>
          <c:val>
            <c:numRef>
              <c:f>Monthly_Report!$E$23:$E$28</c:f>
              <c:numCache>
                <c:formatCode>General</c:formatCode>
                <c:ptCount val="6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5</c:v>
                </c:pt>
                <c:pt idx="4">
                  <c:v>5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B8-4704-ABB6-833FE33054C9}"/>
            </c:ext>
          </c:extLst>
        </c:ser>
        <c:ser>
          <c:idx val="1"/>
          <c:order val="1"/>
          <c:tx>
            <c:strRef>
              <c:f>Monthly_Report!$F$22</c:f>
              <c:strCache>
                <c:ptCount val="1"/>
                <c:pt idx="0">
                  <c:v>Closed</c:v>
                </c:pt>
              </c:strCache>
            </c:strRef>
          </c:tx>
          <c:invertIfNegative val="0"/>
          <c:cat>
            <c:numRef>
              <c:f>Monthly_Report!$D$23:$D$28</c:f>
              <c:numCache>
                <c:formatCode>mmm\ yyyy</c:formatCode>
                <c:ptCount val="6"/>
                <c:pt idx="0">
                  <c:v>46143</c:v>
                </c:pt>
                <c:pt idx="1">
                  <c:v>46174</c:v>
                </c:pt>
                <c:pt idx="2">
                  <c:v>46204</c:v>
                </c:pt>
                <c:pt idx="3">
                  <c:v>46235</c:v>
                </c:pt>
                <c:pt idx="4">
                  <c:v>46266</c:v>
                </c:pt>
                <c:pt idx="5">
                  <c:v>46296</c:v>
                </c:pt>
              </c:numCache>
            </c:numRef>
          </c:cat>
          <c:val>
            <c:numRef>
              <c:f>Monthly_Report!$F$23:$F$28</c:f>
              <c:numCache>
                <c:formatCode>General</c:formatCode>
                <c:ptCount val="6"/>
                <c:pt idx="0">
                  <c:v>4</c:v>
                </c:pt>
                <c:pt idx="1">
                  <c:v>7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B8-4704-ABB6-833FE3305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8991519"/>
        <c:axId val="1488993919"/>
      </c:barChart>
      <c:dateAx>
        <c:axId val="1488991519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crossAx val="1488993919"/>
        <c:crosses val="autoZero"/>
        <c:auto val="1"/>
        <c:lblOffset val="100"/>
        <c:baseTimeUnit val="months"/>
      </c:dateAx>
      <c:valAx>
        <c:axId val="148899391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8899151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30</xdr:row>
      <xdr:rowOff>0</xdr:rowOff>
    </xdr:from>
    <xdr:to>
      <xdr:col>7</xdr:col>
      <xdr:colOff>184150</xdr:colOff>
      <xdr:row>46</xdr:row>
      <xdr:rowOff>168275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43BA4A2-761D-05EC-7404-B1FCC34519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AF24EF-2F8A-4535-B29F-CF46C4157CBB}" name="tblHolidays" displayName="tblHolidays" ref="E1:F21" totalsRowShown="0">
  <autoFilter ref="E1:F21" xr:uid="{78AF24EF-2F8A-4535-B29F-CF46C4157CBB}"/>
  <tableColumns count="2">
    <tableColumn id="1" xr3:uid="{C482E3BE-9F07-48BE-B2DE-DAA735A8C6E8}" name="Holiday_Date" dataDxfId="39"/>
    <tableColumn id="2" xr3:uid="{4AFE6100-3419-40D4-9709-FB8C136B9547}" name="Holida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BBCB2-89CC-4C69-8791-4C0F9A908B29}">
  <dimension ref="A1:A36"/>
  <sheetViews>
    <sheetView tabSelected="1" workbookViewId="0"/>
  </sheetViews>
  <sheetFormatPr defaultRowHeight="13.5" x14ac:dyDescent="0.35"/>
  <cols>
    <col min="1" max="1" width="150.5625" customWidth="1"/>
  </cols>
  <sheetData>
    <row r="1" spans="1:1" ht="17.649999999999999" x14ac:dyDescent="0.35">
      <c r="A1" s="17" t="s">
        <v>3508</v>
      </c>
    </row>
    <row r="2" spans="1:1" x14ac:dyDescent="0.35">
      <c r="A2" s="7"/>
    </row>
    <row r="3" spans="1:1" ht="27" x14ac:dyDescent="0.35">
      <c r="A3" s="7" t="s">
        <v>3509</v>
      </c>
    </row>
    <row r="4" spans="1:1" ht="27" x14ac:dyDescent="0.35">
      <c r="A4" s="7" t="s">
        <v>3510</v>
      </c>
    </row>
    <row r="5" spans="1:1" x14ac:dyDescent="0.35">
      <c r="A5" s="7"/>
    </row>
    <row r="6" spans="1:1" ht="13.9" x14ac:dyDescent="0.35">
      <c r="A6" s="8" t="s">
        <v>3511</v>
      </c>
    </row>
    <row r="7" spans="1:1" x14ac:dyDescent="0.35">
      <c r="A7" s="7" t="s">
        <v>3512</v>
      </c>
    </row>
    <row r="8" spans="1:1" x14ac:dyDescent="0.35">
      <c r="A8" s="7" t="s">
        <v>3513</v>
      </c>
    </row>
    <row r="9" spans="1:1" x14ac:dyDescent="0.35">
      <c r="A9" s="7" t="s">
        <v>3514</v>
      </c>
    </row>
    <row r="10" spans="1:1" x14ac:dyDescent="0.35">
      <c r="A10" s="7" t="s">
        <v>3515</v>
      </c>
    </row>
    <row r="11" spans="1:1" x14ac:dyDescent="0.35">
      <c r="A11" s="7" t="s">
        <v>3516</v>
      </c>
    </row>
    <row r="12" spans="1:1" x14ac:dyDescent="0.35">
      <c r="A12" s="7" t="s">
        <v>3517</v>
      </c>
    </row>
    <row r="13" spans="1:1" x14ac:dyDescent="0.35">
      <c r="A13" s="7" t="s">
        <v>3518</v>
      </c>
    </row>
    <row r="14" spans="1:1" ht="27" x14ac:dyDescent="0.35">
      <c r="A14" s="7" t="s">
        <v>3519</v>
      </c>
    </row>
    <row r="15" spans="1:1" x14ac:dyDescent="0.35">
      <c r="A15" s="7"/>
    </row>
    <row r="16" spans="1:1" ht="13.9" x14ac:dyDescent="0.35">
      <c r="A16" s="8" t="s">
        <v>3520</v>
      </c>
    </row>
    <row r="17" spans="1:1" ht="27" x14ac:dyDescent="0.35">
      <c r="A17" s="7" t="s">
        <v>3521</v>
      </c>
    </row>
    <row r="18" spans="1:1" x14ac:dyDescent="0.35">
      <c r="A18" s="7"/>
    </row>
    <row r="19" spans="1:1" ht="13.9" x14ac:dyDescent="0.35">
      <c r="A19" s="8" t="s">
        <v>3522</v>
      </c>
    </row>
    <row r="20" spans="1:1" x14ac:dyDescent="0.35">
      <c r="A20" s="7" t="s">
        <v>3523</v>
      </c>
    </row>
    <row r="21" spans="1:1" x14ac:dyDescent="0.35">
      <c r="A21" s="7" t="s">
        <v>3524</v>
      </c>
    </row>
    <row r="22" spans="1:1" ht="27" x14ac:dyDescent="0.35">
      <c r="A22" s="7" t="s">
        <v>3525</v>
      </c>
    </row>
    <row r="23" spans="1:1" x14ac:dyDescent="0.35">
      <c r="A23" s="7" t="s">
        <v>3526</v>
      </c>
    </row>
    <row r="24" spans="1:1" x14ac:dyDescent="0.35">
      <c r="A24" s="7" t="s">
        <v>3527</v>
      </c>
    </row>
    <row r="25" spans="1:1" x14ac:dyDescent="0.35">
      <c r="A25" s="7" t="s">
        <v>3528</v>
      </c>
    </row>
    <row r="26" spans="1:1" x14ac:dyDescent="0.35">
      <c r="A26" s="7"/>
    </row>
    <row r="27" spans="1:1" ht="13.9" x14ac:dyDescent="0.35">
      <c r="A27" s="8" t="s">
        <v>3529</v>
      </c>
    </row>
    <row r="28" spans="1:1" x14ac:dyDescent="0.35">
      <c r="A28" s="7" t="s">
        <v>3530</v>
      </c>
    </row>
    <row r="29" spans="1:1" x14ac:dyDescent="0.35">
      <c r="A29" s="7" t="s">
        <v>3531</v>
      </c>
    </row>
    <row r="30" spans="1:1" x14ac:dyDescent="0.35">
      <c r="A30" s="7" t="s">
        <v>3532</v>
      </c>
    </row>
    <row r="31" spans="1:1" x14ac:dyDescent="0.35">
      <c r="A31" s="7" t="s">
        <v>3533</v>
      </c>
    </row>
    <row r="32" spans="1:1" x14ac:dyDescent="0.35">
      <c r="A32" s="7" t="s">
        <v>3534</v>
      </c>
    </row>
    <row r="33" spans="1:1" x14ac:dyDescent="0.35">
      <c r="A33" s="7" t="s">
        <v>3535</v>
      </c>
    </row>
    <row r="34" spans="1:1" x14ac:dyDescent="0.35">
      <c r="A34" s="7" t="s">
        <v>3536</v>
      </c>
    </row>
    <row r="35" spans="1:1" x14ac:dyDescent="0.35">
      <c r="A35" s="7"/>
    </row>
    <row r="36" spans="1:1" x14ac:dyDescent="0.35">
      <c r="A36" s="7" t="s">
        <v>3537</v>
      </c>
    </row>
  </sheetData>
  <sheetProtection sheet="1" objects="1" scenarios="1" formatCells="0" formatColumns="0" formatRows="0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B623E-A376-4CAD-BB42-FC76A759B092}">
  <sheetPr>
    <tabColor rgb="FFA6A6A6"/>
  </sheetPr>
  <dimension ref="A1:AG21"/>
  <sheetViews>
    <sheetView workbookViewId="0"/>
  </sheetViews>
  <sheetFormatPr defaultRowHeight="13.5" x14ac:dyDescent="0.35"/>
  <cols>
    <col min="1" max="1" width="24.0625" bestFit="1" customWidth="1"/>
    <col min="2" max="2" width="10" bestFit="1" customWidth="1"/>
    <col min="3" max="3" width="60.5625" style="7" customWidth="1"/>
    <col min="5" max="5" width="14.75" bestFit="1" customWidth="1"/>
    <col min="6" max="6" width="24.4375" bestFit="1" customWidth="1"/>
    <col min="8" max="8" width="24.125" bestFit="1" customWidth="1"/>
    <col min="9" max="9" width="8.0625" bestFit="1" customWidth="1"/>
    <col min="12" max="12" width="15.5" bestFit="1" customWidth="1"/>
    <col min="13" max="13" width="20.5" bestFit="1" customWidth="1"/>
    <col min="14" max="14" width="17" bestFit="1" customWidth="1"/>
    <col min="15" max="15" width="11.5" bestFit="1" customWidth="1"/>
    <col min="16" max="16" width="15.0625" bestFit="1" customWidth="1"/>
    <col min="17" max="17" width="7.6875" bestFit="1" customWidth="1"/>
    <col min="18" max="18" width="10.5625" bestFit="1" customWidth="1"/>
    <col min="19" max="19" width="17.25" bestFit="1" customWidth="1"/>
    <col min="20" max="20" width="31.9375" bestFit="1" customWidth="1"/>
    <col min="21" max="21" width="13.3125" bestFit="1" customWidth="1"/>
    <col min="22" max="22" width="6" bestFit="1" customWidth="1"/>
    <col min="24" max="24" width="47" bestFit="1" customWidth="1"/>
    <col min="26" max="26" width="12.9375" bestFit="1" customWidth="1"/>
    <col min="27" max="27" width="14.3125" bestFit="1" customWidth="1"/>
    <col min="28" max="28" width="10.5" bestFit="1" customWidth="1"/>
    <col min="29" max="29" width="18.0625" bestFit="1" customWidth="1"/>
    <col min="31" max="31" width="19.25" bestFit="1" customWidth="1"/>
    <col min="32" max="32" width="19.1875" bestFit="1" customWidth="1"/>
    <col min="33" max="33" width="14.8125" bestFit="1" customWidth="1"/>
  </cols>
  <sheetData>
    <row r="1" spans="1:33" ht="13.9" x14ac:dyDescent="0.35">
      <c r="A1" s="3" t="s">
        <v>0</v>
      </c>
      <c r="B1" s="3" t="s">
        <v>1</v>
      </c>
      <c r="C1" s="6" t="s">
        <v>2</v>
      </c>
      <c r="E1" t="s">
        <v>23</v>
      </c>
      <c r="F1" t="s">
        <v>24</v>
      </c>
      <c r="H1" s="3" t="s">
        <v>37</v>
      </c>
      <c r="I1" s="3" t="s">
        <v>38</v>
      </c>
      <c r="J1" s="3" t="s">
        <v>39</v>
      </c>
      <c r="L1" s="3" t="s">
        <v>59</v>
      </c>
      <c r="M1" s="3" t="s">
        <v>60</v>
      </c>
      <c r="N1" s="3" t="s">
        <v>61</v>
      </c>
      <c r="O1" s="3" t="s">
        <v>62</v>
      </c>
      <c r="P1" s="3" t="s">
        <v>63</v>
      </c>
      <c r="Q1" s="3" t="s">
        <v>64</v>
      </c>
      <c r="R1" s="3" t="s">
        <v>65</v>
      </c>
      <c r="S1" s="3" t="s">
        <v>66</v>
      </c>
      <c r="T1" s="3" t="s">
        <v>67</v>
      </c>
      <c r="U1" s="3" t="s">
        <v>68</v>
      </c>
      <c r="V1" s="3" t="s">
        <v>69</v>
      </c>
      <c r="X1" s="3" t="s">
        <v>106</v>
      </c>
      <c r="Z1" s="3" t="s">
        <v>121</v>
      </c>
      <c r="AA1" s="3" t="s">
        <v>122</v>
      </c>
      <c r="AB1" s="3" t="s">
        <v>123</v>
      </c>
      <c r="AC1" s="3" t="s">
        <v>124</v>
      </c>
      <c r="AE1" s="3" t="s">
        <v>135</v>
      </c>
      <c r="AF1" s="3" t="s">
        <v>136</v>
      </c>
      <c r="AG1" s="3" t="s">
        <v>137</v>
      </c>
    </row>
    <row r="2" spans="1:33" ht="40.5" x14ac:dyDescent="0.35">
      <c r="A2" t="s">
        <v>3</v>
      </c>
      <c r="B2" s="4">
        <v>46325</v>
      </c>
      <c r="C2" s="7" t="s">
        <v>4</v>
      </c>
      <c r="E2" s="1">
        <v>46023</v>
      </c>
      <c r="F2" t="s">
        <v>25</v>
      </c>
      <c r="H2" t="s">
        <v>40</v>
      </c>
      <c r="I2" t="s">
        <v>41</v>
      </c>
      <c r="J2" t="s">
        <v>42</v>
      </c>
      <c r="L2" t="s">
        <v>70</v>
      </c>
      <c r="M2" t="s">
        <v>71</v>
      </c>
      <c r="N2" t="s">
        <v>72</v>
      </c>
      <c r="O2" t="s">
        <v>73</v>
      </c>
      <c r="P2" t="s">
        <v>74</v>
      </c>
      <c r="Q2" t="s">
        <v>42</v>
      </c>
      <c r="R2" t="s">
        <v>75</v>
      </c>
      <c r="S2" t="s">
        <v>76</v>
      </c>
      <c r="T2" t="s">
        <v>77</v>
      </c>
      <c r="U2" t="s">
        <v>78</v>
      </c>
      <c r="V2">
        <v>1</v>
      </c>
      <c r="X2" t="s">
        <v>107</v>
      </c>
      <c r="Z2">
        <v>1</v>
      </c>
      <c r="AA2" t="s">
        <v>125</v>
      </c>
      <c r="AB2">
        <v>0</v>
      </c>
      <c r="AC2" t="s">
        <v>126</v>
      </c>
      <c r="AE2" t="s">
        <v>138</v>
      </c>
      <c r="AF2" t="s">
        <v>139</v>
      </c>
      <c r="AG2" t="s">
        <v>78</v>
      </c>
    </row>
    <row r="3" spans="1:33" ht="27" x14ac:dyDescent="0.35">
      <c r="A3" t="s">
        <v>5</v>
      </c>
      <c r="B3" s="5">
        <v>15</v>
      </c>
      <c r="C3" s="7" t="s">
        <v>6</v>
      </c>
      <c r="E3" s="1">
        <v>46055</v>
      </c>
      <c r="F3" t="s">
        <v>26</v>
      </c>
      <c r="H3" t="s">
        <v>43</v>
      </c>
      <c r="I3" t="s">
        <v>44</v>
      </c>
      <c r="J3" t="s">
        <v>42</v>
      </c>
      <c r="L3" t="s">
        <v>79</v>
      </c>
      <c r="M3" t="s">
        <v>80</v>
      </c>
      <c r="N3" t="s">
        <v>81</v>
      </c>
      <c r="O3" t="s">
        <v>82</v>
      </c>
      <c r="P3" t="s">
        <v>83</v>
      </c>
      <c r="Q3" t="s">
        <v>57</v>
      </c>
      <c r="R3" t="s">
        <v>84</v>
      </c>
      <c r="S3" t="s">
        <v>85</v>
      </c>
      <c r="T3" t="s">
        <v>86</v>
      </c>
      <c r="U3" t="s">
        <v>87</v>
      </c>
      <c r="V3">
        <v>2</v>
      </c>
      <c r="X3" t="s">
        <v>108</v>
      </c>
      <c r="Z3">
        <v>10</v>
      </c>
      <c r="AA3" t="s">
        <v>127</v>
      </c>
      <c r="AB3">
        <v>24</v>
      </c>
      <c r="AC3" t="s">
        <v>128</v>
      </c>
      <c r="AE3" t="s">
        <v>140</v>
      </c>
      <c r="AF3" t="s">
        <v>141</v>
      </c>
      <c r="AG3" t="s">
        <v>102</v>
      </c>
    </row>
    <row r="4" spans="1:33" x14ac:dyDescent="0.35">
      <c r="A4" t="s">
        <v>7</v>
      </c>
      <c r="B4" s="5">
        <v>2</v>
      </c>
      <c r="C4" s="7" t="s">
        <v>8</v>
      </c>
      <c r="E4" s="1">
        <v>46098</v>
      </c>
      <c r="F4" t="s">
        <v>27</v>
      </c>
      <c r="H4" t="s">
        <v>45</v>
      </c>
      <c r="I4" t="s">
        <v>46</v>
      </c>
      <c r="J4" t="s">
        <v>42</v>
      </c>
      <c r="L4" t="s">
        <v>88</v>
      </c>
      <c r="M4" t="s">
        <v>89</v>
      </c>
      <c r="N4" t="s">
        <v>90</v>
      </c>
      <c r="O4" t="s">
        <v>87</v>
      </c>
      <c r="P4" t="s">
        <v>91</v>
      </c>
      <c r="R4" t="s">
        <v>92</v>
      </c>
      <c r="U4" t="s">
        <v>93</v>
      </c>
      <c r="V4">
        <v>3</v>
      </c>
      <c r="X4" t="s">
        <v>109</v>
      </c>
      <c r="Z4">
        <v>100</v>
      </c>
      <c r="AA4" t="s">
        <v>129</v>
      </c>
      <c r="AB4">
        <v>72</v>
      </c>
      <c r="AC4" t="s">
        <v>130</v>
      </c>
      <c r="AE4" t="s">
        <v>142</v>
      </c>
      <c r="AF4" t="s">
        <v>143</v>
      </c>
    </row>
    <row r="5" spans="1:33" ht="27" x14ac:dyDescent="0.35">
      <c r="A5" t="s">
        <v>9</v>
      </c>
      <c r="B5" s="5">
        <v>3</v>
      </c>
      <c r="C5" s="7" t="s">
        <v>10</v>
      </c>
      <c r="E5" s="1">
        <v>46118</v>
      </c>
      <c r="F5" t="s">
        <v>28</v>
      </c>
      <c r="H5" t="s">
        <v>47</v>
      </c>
      <c r="I5" t="s">
        <v>48</v>
      </c>
      <c r="J5" t="s">
        <v>42</v>
      </c>
      <c r="L5" t="s">
        <v>94</v>
      </c>
      <c r="M5" t="s">
        <v>95</v>
      </c>
      <c r="N5" t="s">
        <v>91</v>
      </c>
      <c r="O5" t="s">
        <v>96</v>
      </c>
      <c r="P5" t="s">
        <v>97</v>
      </c>
      <c r="R5" t="s">
        <v>98</v>
      </c>
      <c r="V5">
        <v>4</v>
      </c>
      <c r="X5" t="s">
        <v>110</v>
      </c>
      <c r="Z5">
        <v>1000</v>
      </c>
      <c r="AA5" t="s">
        <v>131</v>
      </c>
      <c r="AB5">
        <v>168</v>
      </c>
      <c r="AC5" t="s">
        <v>132</v>
      </c>
      <c r="AE5" t="s">
        <v>144</v>
      </c>
    </row>
    <row r="6" spans="1:33" x14ac:dyDescent="0.35">
      <c r="A6" t="s">
        <v>11</v>
      </c>
      <c r="B6" s="5">
        <v>14</v>
      </c>
      <c r="C6" s="7" t="s">
        <v>12</v>
      </c>
      <c r="E6" s="1">
        <v>46146</v>
      </c>
      <c r="F6" t="s">
        <v>29</v>
      </c>
      <c r="H6" t="s">
        <v>49</v>
      </c>
      <c r="I6" t="s">
        <v>50</v>
      </c>
      <c r="J6" t="s">
        <v>42</v>
      </c>
      <c r="L6" t="s">
        <v>99</v>
      </c>
      <c r="M6" t="s">
        <v>100</v>
      </c>
      <c r="N6" t="s">
        <v>101</v>
      </c>
      <c r="O6" t="s">
        <v>102</v>
      </c>
      <c r="P6" t="s">
        <v>103</v>
      </c>
      <c r="V6">
        <v>5</v>
      </c>
      <c r="X6" t="s">
        <v>111</v>
      </c>
      <c r="Z6">
        <v>10000</v>
      </c>
      <c r="AA6" t="s">
        <v>133</v>
      </c>
    </row>
    <row r="7" spans="1:33" x14ac:dyDescent="0.35">
      <c r="A7" t="s">
        <v>13</v>
      </c>
      <c r="B7" s="5">
        <v>7</v>
      </c>
      <c r="C7" s="7" t="s">
        <v>14</v>
      </c>
      <c r="E7" s="1">
        <v>46174</v>
      </c>
      <c r="F7" t="s">
        <v>30</v>
      </c>
      <c r="H7" t="s">
        <v>51</v>
      </c>
      <c r="I7" t="s">
        <v>52</v>
      </c>
      <c r="J7" t="s">
        <v>42</v>
      </c>
      <c r="N7" t="s">
        <v>104</v>
      </c>
      <c r="P7" t="s">
        <v>105</v>
      </c>
      <c r="X7" t="s">
        <v>112</v>
      </c>
      <c r="Z7">
        <v>100000</v>
      </c>
      <c r="AA7" t="s">
        <v>134</v>
      </c>
    </row>
    <row r="8" spans="1:33" x14ac:dyDescent="0.35">
      <c r="A8" t="s">
        <v>15</v>
      </c>
      <c r="B8" s="5">
        <v>72</v>
      </c>
      <c r="C8" s="7" t="s">
        <v>16</v>
      </c>
      <c r="E8" s="1">
        <v>46237</v>
      </c>
      <c r="F8" t="s">
        <v>31</v>
      </c>
      <c r="H8" t="s">
        <v>53</v>
      </c>
      <c r="I8" t="s">
        <v>54</v>
      </c>
      <c r="J8" t="s">
        <v>42</v>
      </c>
      <c r="X8" t="s">
        <v>113</v>
      </c>
    </row>
    <row r="9" spans="1:33" x14ac:dyDescent="0.35">
      <c r="A9" t="s">
        <v>17</v>
      </c>
      <c r="B9" s="5">
        <v>15</v>
      </c>
      <c r="C9" s="7" t="s">
        <v>18</v>
      </c>
      <c r="E9" s="1">
        <v>46321</v>
      </c>
      <c r="F9" t="s">
        <v>32</v>
      </c>
      <c r="H9" t="s">
        <v>55</v>
      </c>
      <c r="I9" t="s">
        <v>56</v>
      </c>
      <c r="J9" t="s">
        <v>57</v>
      </c>
      <c r="X9" t="s">
        <v>114</v>
      </c>
    </row>
    <row r="10" spans="1:33" x14ac:dyDescent="0.35">
      <c r="A10" t="s">
        <v>19</v>
      </c>
      <c r="B10" s="5">
        <v>8</v>
      </c>
      <c r="C10" s="7" t="s">
        <v>20</v>
      </c>
      <c r="E10" s="1">
        <v>46381</v>
      </c>
      <c r="F10" t="s">
        <v>33</v>
      </c>
      <c r="H10" t="s">
        <v>58</v>
      </c>
      <c r="I10" t="s">
        <v>56</v>
      </c>
      <c r="J10" t="s">
        <v>57</v>
      </c>
      <c r="X10" t="s">
        <v>115</v>
      </c>
    </row>
    <row r="11" spans="1:33" x14ac:dyDescent="0.35">
      <c r="A11" t="s">
        <v>21</v>
      </c>
      <c r="B11" s="5">
        <v>12</v>
      </c>
      <c r="C11" s="7" t="s">
        <v>22</v>
      </c>
      <c r="E11" s="1">
        <v>46382</v>
      </c>
      <c r="F11" t="s">
        <v>34</v>
      </c>
      <c r="X11" t="s">
        <v>116</v>
      </c>
    </row>
    <row r="12" spans="1:33" x14ac:dyDescent="0.35">
      <c r="E12" s="1">
        <v>46388</v>
      </c>
      <c r="F12" t="s">
        <v>25</v>
      </c>
      <c r="X12" t="s">
        <v>117</v>
      </c>
    </row>
    <row r="13" spans="1:33" ht="13.9" x14ac:dyDescent="0.35">
      <c r="A13" s="2" t="s">
        <v>145</v>
      </c>
      <c r="B13" t="str">
        <f>IF(COUNTA(tblHolidays[Holiday])=COUNT(tblHolidays[Holiday_Date]),"OK","Check: a holiday row has no valid date")</f>
        <v>OK</v>
      </c>
      <c r="C13" s="7" t="s">
        <v>146</v>
      </c>
      <c r="E13" s="1">
        <v>46419</v>
      </c>
      <c r="F13" t="s">
        <v>26</v>
      </c>
      <c r="X13" t="s">
        <v>118</v>
      </c>
    </row>
    <row r="14" spans="1:33" ht="13.9" x14ac:dyDescent="0.35">
      <c r="A14" s="2" t="s">
        <v>147</v>
      </c>
      <c r="B14" s="1">
        <f>MAX(tblHolidays[Holiday_Date])</f>
        <v>46747</v>
      </c>
      <c r="C14" s="7" t="s">
        <v>148</v>
      </c>
      <c r="E14" s="1">
        <v>46463</v>
      </c>
      <c r="F14" t="s">
        <v>27</v>
      </c>
      <c r="X14" t="s">
        <v>119</v>
      </c>
    </row>
    <row r="15" spans="1:33" ht="13.9" x14ac:dyDescent="0.35">
      <c r="A15" s="2" t="s">
        <v>149</v>
      </c>
      <c r="B15" t="str">
        <f>IF(MAX(DSR_Register!$U$2:$U$201)&gt;B14,"Check: a deadline falls after "&amp;TEXT(B14,"dd/mm/yyyy"),"OK")</f>
        <v>OK</v>
      </c>
      <c r="C15" s="7" t="s">
        <v>150</v>
      </c>
      <c r="E15" s="1">
        <v>46475</v>
      </c>
      <c r="F15" t="s">
        <v>28</v>
      </c>
      <c r="X15" t="s">
        <v>120</v>
      </c>
    </row>
    <row r="16" spans="1:33" x14ac:dyDescent="0.35">
      <c r="E16" s="1">
        <v>46510</v>
      </c>
      <c r="F16" t="s">
        <v>29</v>
      </c>
    </row>
    <row r="17" spans="5:6" x14ac:dyDescent="0.35">
      <c r="E17" s="1">
        <v>46545</v>
      </c>
      <c r="F17" t="s">
        <v>30</v>
      </c>
    </row>
    <row r="18" spans="5:6" x14ac:dyDescent="0.35">
      <c r="E18" s="1">
        <v>46601</v>
      </c>
      <c r="F18" t="s">
        <v>31</v>
      </c>
    </row>
    <row r="19" spans="5:6" x14ac:dyDescent="0.35">
      <c r="E19" s="1">
        <v>46685</v>
      </c>
      <c r="F19" t="s">
        <v>32</v>
      </c>
    </row>
    <row r="20" spans="5:6" x14ac:dyDescent="0.35">
      <c r="E20" s="1">
        <v>46746</v>
      </c>
      <c r="F20" t="s">
        <v>35</v>
      </c>
    </row>
    <row r="21" spans="5:6" x14ac:dyDescent="0.35">
      <c r="E21" s="1">
        <v>46747</v>
      </c>
      <c r="F21" t="s">
        <v>36</v>
      </c>
    </row>
  </sheetData>
  <phoneticPr fontId="1" type="noConversion"/>
  <dataValidations count="1">
    <dataValidation type="date" allowBlank="1" showInputMessage="1" showErrorMessage="1" errorTitle="Date expected" error="Enter a date between 2020 and 2030, for example 2026-10-30." sqref="E2:E21" xr:uid="{44F7B63A-B0BF-449E-85EE-FCEA99FEC2C0}">
      <formula1>43831</formula1>
      <formula2>47848</formula2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DCAAF-19DE-46C7-BFE9-7BF99F610207}">
  <sheetPr>
    <tabColor rgb="FF4472C4"/>
  </sheetPr>
  <dimension ref="A1:AF20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3.5" x14ac:dyDescent="0.35"/>
  <cols>
    <col min="1" max="1" width="13.25" style="20" bestFit="1" customWidth="1"/>
    <col min="2" max="2" width="10" style="20" bestFit="1" customWidth="1"/>
    <col min="3" max="3" width="15.5" style="20" bestFit="1" customWidth="1"/>
    <col min="4" max="4" width="24.125" style="20" bestFit="1" customWidth="1"/>
    <col min="5" max="5" width="8.0625" style="20" bestFit="1" customWidth="1"/>
    <col min="6" max="6" width="9" style="20"/>
    <col min="7" max="7" width="15.5625" style="20" bestFit="1" customWidth="1"/>
    <col min="8" max="8" width="17" style="20" bestFit="1" customWidth="1"/>
    <col min="9" max="9" width="10.375" style="20" bestFit="1" customWidth="1"/>
    <col min="10" max="10" width="8.6875" style="20" bestFit="1" customWidth="1"/>
    <col min="11" max="11" width="9.25" style="20" bestFit="1" customWidth="1"/>
    <col min="12" max="14" width="10" style="20" bestFit="1" customWidth="1"/>
    <col min="15" max="15" width="8.4375" style="20" bestFit="1" customWidth="1"/>
    <col min="16" max="17" width="10" style="20" bestFit="1" customWidth="1"/>
    <col min="18" max="18" width="8.0625" style="20" bestFit="1" customWidth="1"/>
    <col min="19" max="19" width="11.625" style="20" bestFit="1" customWidth="1"/>
    <col min="20" max="20" width="10.75" style="20" bestFit="1" customWidth="1"/>
    <col min="21" max="21" width="10" style="20" bestFit="1" customWidth="1"/>
    <col min="22" max="22" width="14.625" style="20" bestFit="1" customWidth="1"/>
    <col min="23" max="23" width="10.125" style="20" bestFit="1" customWidth="1"/>
    <col min="24" max="24" width="8.3125" style="20" bestFit="1" customWidth="1"/>
    <col min="25" max="25" width="10" style="20" bestFit="1" customWidth="1"/>
    <col min="26" max="26" width="8.8125" style="20" bestFit="1" customWidth="1"/>
    <col min="27" max="27" width="13.25" style="20" bestFit="1" customWidth="1"/>
    <col min="28" max="28" width="13.375" style="20" bestFit="1" customWidth="1"/>
    <col min="29" max="29" width="8.75" style="20" bestFit="1" customWidth="1"/>
    <col min="30" max="30" width="9.6875" style="20" bestFit="1" customWidth="1"/>
    <col min="31" max="31" width="55.5625" style="20" customWidth="1"/>
    <col min="32" max="32" width="40.5625" style="20" customWidth="1"/>
    <col min="33" max="16384" width="9" style="20"/>
  </cols>
  <sheetData>
    <row r="1" spans="1:32" ht="32" customHeight="1" x14ac:dyDescent="0.35">
      <c r="A1" s="18" t="s">
        <v>151</v>
      </c>
      <c r="B1" s="18" t="s">
        <v>152</v>
      </c>
      <c r="C1" s="18" t="s">
        <v>59</v>
      </c>
      <c r="D1" s="18" t="s">
        <v>37</v>
      </c>
      <c r="E1" s="19" t="s">
        <v>38</v>
      </c>
      <c r="F1" s="19" t="s">
        <v>39</v>
      </c>
      <c r="G1" s="18" t="s">
        <v>60</v>
      </c>
      <c r="H1" s="18" t="s">
        <v>61</v>
      </c>
      <c r="I1" s="18" t="s">
        <v>153</v>
      </c>
      <c r="J1" s="19" t="s">
        <v>154</v>
      </c>
      <c r="K1" s="18" t="s">
        <v>155</v>
      </c>
      <c r="L1" s="18" t="s">
        <v>156</v>
      </c>
      <c r="M1" s="18" t="s">
        <v>157</v>
      </c>
      <c r="N1" s="19" t="s">
        <v>158</v>
      </c>
      <c r="O1" s="19" t="s">
        <v>159</v>
      </c>
      <c r="P1" s="19" t="s">
        <v>160</v>
      </c>
      <c r="Q1" s="19" t="s">
        <v>161</v>
      </c>
      <c r="R1" s="18" t="s">
        <v>162</v>
      </c>
      <c r="S1" s="18" t="s">
        <v>163</v>
      </c>
      <c r="T1" s="19" t="s">
        <v>164</v>
      </c>
      <c r="U1" s="19" t="s">
        <v>165</v>
      </c>
      <c r="V1" s="18" t="s">
        <v>63</v>
      </c>
      <c r="W1" s="18" t="s">
        <v>166</v>
      </c>
      <c r="X1" s="18" t="s">
        <v>96</v>
      </c>
      <c r="Y1" s="18" t="s">
        <v>167</v>
      </c>
      <c r="Z1" s="19" t="s">
        <v>168</v>
      </c>
      <c r="AA1" s="19" t="s">
        <v>169</v>
      </c>
      <c r="AB1" s="19" t="s">
        <v>170</v>
      </c>
      <c r="AC1" s="19" t="s">
        <v>171</v>
      </c>
      <c r="AD1" s="18" t="s">
        <v>172</v>
      </c>
      <c r="AE1" s="18" t="s">
        <v>173</v>
      </c>
      <c r="AF1" s="19" t="s">
        <v>174</v>
      </c>
    </row>
    <row r="2" spans="1:32" x14ac:dyDescent="0.35">
      <c r="A2" s="22" t="s">
        <v>175</v>
      </c>
      <c r="B2" s="23">
        <v>46146</v>
      </c>
      <c r="C2" s="22" t="s">
        <v>70</v>
      </c>
      <c r="D2" s="22" t="s">
        <v>40</v>
      </c>
      <c r="E2" s="20" t="str">
        <f>IF($A2="","",IFERROR(VLOOKUP($D2,ReqTypes,2,FALSE),"?"))</f>
        <v>Art 15</v>
      </c>
      <c r="F2" s="20" t="str">
        <f>IF($A2="","",IFERROR(VLOOKUP($D2,ReqTypes,3,FALSE),"?"))</f>
        <v>Y</v>
      </c>
      <c r="G2" s="22" t="s">
        <v>71</v>
      </c>
      <c r="H2" s="22" t="s">
        <v>72</v>
      </c>
      <c r="I2" s="23">
        <v>46147</v>
      </c>
      <c r="J2" s="20" t="str">
        <f>IF(OR($A2="",$I2=""),"",IF(NETWORKDAYS($B2,$I2,Holidays)-1&lt;=AckDays,"Y","N"))</f>
        <v>Y</v>
      </c>
      <c r="K2" s="22" t="s">
        <v>57</v>
      </c>
      <c r="L2" s="23"/>
      <c r="M2" s="23"/>
      <c r="N2" s="20" t="str">
        <f>IF(OR($A2="",$K2&lt;&gt;"Y"),"",IF($L2="","Pending",IF($L2-$B2&lt;=IDPromptDays,"Y","Check")))</f>
        <v/>
      </c>
      <c r="O2" s="20">
        <f>IF($A2="","",IF(OR($K2&lt;&gt;"Y",$L2=""),0,IF($M2="",MAX(0,ReportDate-$L2),$M2-$L2)))</f>
        <v>0</v>
      </c>
      <c r="P2" s="21">
        <f>IF($A2="","",IF($F2&lt;&gt;"Y","n/a",WORKDAY(EDATE($B2,1)+$O2-1,1,Holidays)))</f>
        <v>46177</v>
      </c>
      <c r="Q2" s="21">
        <f>IF($A2="","",$B2+$O2+InternalDays)</f>
        <v>46161</v>
      </c>
      <c r="R2" s="22" t="s">
        <v>57</v>
      </c>
      <c r="S2" s="23"/>
      <c r="T2" s="20" t="str">
        <f t="shared" ref="T2:T33" si="0">IF(OR($A2="",$R2&lt;&gt;"Y"),"",IF($S2="","Missing",IF(AND($F2="Y",$S2&lt;=$P2),"Y","Late")))</f>
        <v/>
      </c>
      <c r="U2" s="21">
        <f>IF($A2="","",IF($F2&lt;&gt;"Y",$Q2,IF(AND($R2="Y",$T2="Y"),WORKDAY(EDATE($B2,3)+$O2-1,1,Holidays),$P2)))</f>
        <v>46177</v>
      </c>
      <c r="V2" s="22" t="s">
        <v>74</v>
      </c>
      <c r="W2" s="22" t="s">
        <v>102</v>
      </c>
      <c r="X2" s="22" t="s">
        <v>57</v>
      </c>
      <c r="Y2" s="23">
        <v>46160</v>
      </c>
      <c r="Z2" s="20">
        <f>IF($A2="","",IF($Y2&lt;&gt;"",$Y2-$B2,ReportDate-$B2))</f>
        <v>14</v>
      </c>
      <c r="AA2" s="20" t="str">
        <f>IF(OR($A2="",$W2="Closed"),"",$U2-ReportDate)</f>
        <v/>
      </c>
      <c r="AB2" s="20" t="str">
        <f>IF($A2="","",IF($W2="Closed",IF($Y2&lt;=$U2,"Closed on time","Closed late"),IF($W2="Awaiting ID","Paused",IF($AA2&lt;0,"Overdue",IF($AA2&lt;=RedDays,"Red",IF($AA2&lt;=AmberDays,"Amber","Green"))))))</f>
        <v>Closed on time</v>
      </c>
      <c r="AC2" s="20" t="str">
        <f t="shared" ref="AC2:AC33" si="1">IF(OR($A2="",$Y2=""),"",IF($Y2&lt;=$U2,"Y","N"))</f>
        <v>Y</v>
      </c>
      <c r="AD2" s="22" t="s">
        <v>57</v>
      </c>
      <c r="AE2" s="22"/>
      <c r="AF2" s="20" t="str">
        <f>IF($A2="","",IF(IF(OR($B2="",$C2="",$D2="",$V2="",$W2=""),"missing required field; ","")&amp;IF(COUNTIF($A$2:$A$201,$A2)&gt;1,"duplicate ID; ","")&amp;IF(AND($B2&lt;&gt;"",$B2&gt;ReportDate),"received after snapshot date; ","")&amp;IF(AND($I2&lt;&gt;"",$B2&lt;&gt;"",$I2&lt;$B2),"acknowledged before receipt; ","")&amp;IF(AND($K2="Y",$L2="",$W2&lt;&gt;"Logged"),"ID requested date missing; ","")&amp;IF(AND($L2&lt;&gt;"",$M2&lt;&gt;"",$M2&lt;$L2),"ID dates out of order; ","")&amp;IF(AND($K2&lt;&gt;"Y",OR($L2&lt;&gt;"",$W2="Awaiting ID")),"ID fields used but ID_Check_Needed is not Y; ","")&amp;IF(AND($R2="Y",$S2=""),"extension notice date missing; ","")&amp;IF(AND($R2&lt;&gt;"Y",$S2&lt;&gt;""),"notice date but Extended is not Y; ","")&amp;IF(AND($W2="Closed",$Y2=""),"closed without response date; ","")&amp;IF(AND($Y2&lt;&gt;"",$W2&lt;&gt;"Closed"),"response date but status not Closed; ","")&amp;IF(AND($Y2&lt;&gt;"",$B2&lt;&gt;"",$Y2&lt;$B2),"response before receipt; ","")&amp;IF(AND($AD2="Y",$AE2=""),"exemption needs a reason in Notes; ","")="","OK","Check: "&amp;IF(OR($B2="",$C2="",$D2="",$V2="",$W2=""),"missing required field; ","")&amp;IF(COUNTIF($A$2:$A$201,$A2)&gt;1,"duplicate ID; ","")&amp;IF(AND($B2&lt;&gt;"",$B2&gt;ReportDate),"received after snapshot date; ","")&amp;IF(AND($I2&lt;&gt;"",$B2&lt;&gt;"",$I2&lt;$B2),"acknowledged before receipt; ","")&amp;IF(AND($K2="Y",$L2="",$W2&lt;&gt;"Logged"),"ID requested date missing; ","")&amp;IF(AND($L2&lt;&gt;"",$M2&lt;&gt;"",$M2&lt;$L2),"ID dates out of order; ","")&amp;IF(AND($K2&lt;&gt;"Y",OR($L2&lt;&gt;"",$W2="Awaiting ID")),"ID fields used but ID_Check_Needed is not Y; ","")&amp;IF(AND($R2="Y",$S2=""),"extension notice date missing; ","")&amp;IF(AND($R2&lt;&gt;"Y",$S2&lt;&gt;""),"notice date but Extended is not Y; ","")&amp;IF(AND($W2="Closed",$Y2=""),"closed without response date; ","")&amp;IF(AND($Y2&lt;&gt;"",$W2&lt;&gt;"Closed"),"response date but status not Closed; ","")&amp;IF(AND($Y2&lt;&gt;"",$B2&lt;&gt;"",$Y2&lt;$B2),"response before receipt; ","")&amp;IF(AND($AD2="Y",$AE2=""),"exemption needs a reason in Notes; ","")))</f>
        <v>OK</v>
      </c>
    </row>
    <row r="3" spans="1:32" x14ac:dyDescent="0.35">
      <c r="A3" s="22" t="s">
        <v>176</v>
      </c>
      <c r="B3" s="23">
        <v>46148</v>
      </c>
      <c r="C3" s="22" t="s">
        <v>79</v>
      </c>
      <c r="D3" s="22" t="s">
        <v>45</v>
      </c>
      <c r="E3" s="20" t="str">
        <f>IF($A3="","",IFERROR(VLOOKUP($D3,ReqTypes,2,FALSE),"?"))</f>
        <v>Art 17</v>
      </c>
      <c r="F3" s="20" t="str">
        <f>IF($A3="","",IFERROR(VLOOKUP($D3,ReqTypes,3,FALSE),"?"))</f>
        <v>Y</v>
      </c>
      <c r="G3" s="22" t="s">
        <v>71</v>
      </c>
      <c r="H3" s="22" t="s">
        <v>72</v>
      </c>
      <c r="I3" s="23">
        <v>46149</v>
      </c>
      <c r="J3" s="20" t="str">
        <f>IF(OR($A3="",$I3=""),"",IF(NETWORKDAYS($B3,$I3,Holidays)-1&lt;=AckDays,"Y","N"))</f>
        <v>Y</v>
      </c>
      <c r="K3" s="22" t="s">
        <v>57</v>
      </c>
      <c r="L3" s="23"/>
      <c r="M3" s="23"/>
      <c r="N3" s="20" t="str">
        <f>IF(OR($A3="",$K3&lt;&gt;"Y"),"",IF($L3="","Pending",IF($L3-$B3&lt;=IDPromptDays,"Y","Check")))</f>
        <v/>
      </c>
      <c r="O3" s="20">
        <f>IF($A3="","",IF(OR($K3&lt;&gt;"Y",$L3=""),0,IF($M3="",MAX(0,ReportDate-$L3),$M3-$L3)))</f>
        <v>0</v>
      </c>
      <c r="P3" s="21">
        <f>IF($A3="","",IF($F3&lt;&gt;"Y","n/a",WORKDAY(EDATE($B3,1)+$O3-1,1,Holidays)))</f>
        <v>46181</v>
      </c>
      <c r="Q3" s="21">
        <f>IF($A3="","",$B3+$O3+InternalDays)</f>
        <v>46163</v>
      </c>
      <c r="R3" s="22" t="s">
        <v>57</v>
      </c>
      <c r="S3" s="23"/>
      <c r="T3" s="20" t="str">
        <f t="shared" si="0"/>
        <v/>
      </c>
      <c r="U3" s="21">
        <f>IF($A3="","",IF($F3&lt;&gt;"Y",$Q3,IF(AND($R3="Y",$T3="Y"),WORKDAY(EDATE($B3,3)+$O3-1,1,Holidays),$P3)))</f>
        <v>46181</v>
      </c>
      <c r="V3" s="22" t="s">
        <v>97</v>
      </c>
      <c r="W3" s="22" t="s">
        <v>102</v>
      </c>
      <c r="X3" s="22" t="s">
        <v>57</v>
      </c>
      <c r="Y3" s="23">
        <v>46154</v>
      </c>
      <c r="Z3" s="20">
        <f>IF($A3="","",IF($Y3&lt;&gt;"",$Y3-$B3,ReportDate-$B3))</f>
        <v>6</v>
      </c>
      <c r="AA3" s="20" t="str">
        <f>IF(OR($A3="",$W3="Closed"),"",$U3-ReportDate)</f>
        <v/>
      </c>
      <c r="AB3" s="20" t="str">
        <f>IF($A3="","",IF($W3="Closed",IF($Y3&lt;=$U3,"Closed on time","Closed late"),IF($W3="Awaiting ID","Paused",IF($AA3&lt;0,"Overdue",IF($AA3&lt;=RedDays,"Red",IF($AA3&lt;=AmberDays,"Amber","Green"))))))</f>
        <v>Closed on time</v>
      </c>
      <c r="AC3" s="20" t="str">
        <f t="shared" si="1"/>
        <v>Y</v>
      </c>
      <c r="AD3" s="22" t="s">
        <v>57</v>
      </c>
      <c r="AE3" s="22"/>
      <c r="AF3" s="20" t="str">
        <f>IF($A3="","",IF(IF(OR($B3="",$C3="",$D3="",$V3="",$W3=""),"missing required field; ","")&amp;IF(COUNTIF($A$2:$A$201,$A3)&gt;1,"duplicate ID; ","")&amp;IF(AND($B3&lt;&gt;"",$B3&gt;ReportDate),"received after snapshot date; ","")&amp;IF(AND($I3&lt;&gt;"",$B3&lt;&gt;"",$I3&lt;$B3),"acknowledged before receipt; ","")&amp;IF(AND($K3="Y",$L3="",$W3&lt;&gt;"Logged"),"ID requested date missing; ","")&amp;IF(AND($L3&lt;&gt;"",$M3&lt;&gt;"",$M3&lt;$L3),"ID dates out of order; ","")&amp;IF(AND($K3&lt;&gt;"Y",OR($L3&lt;&gt;"",$W3="Awaiting ID")),"ID fields used but ID_Check_Needed is not Y; ","")&amp;IF(AND($R3="Y",$S3=""),"extension notice date missing; ","")&amp;IF(AND($R3&lt;&gt;"Y",$S3&lt;&gt;""),"notice date but Extended is not Y; ","")&amp;IF(AND($W3="Closed",$Y3=""),"closed without response date; ","")&amp;IF(AND($Y3&lt;&gt;"",$W3&lt;&gt;"Closed"),"response date but status not Closed; ","")&amp;IF(AND($Y3&lt;&gt;"",$B3&lt;&gt;"",$Y3&lt;$B3),"response before receipt; ","")&amp;IF(AND($AD3="Y",$AE3=""),"exemption needs a reason in Notes; ","")="","OK","Check: "&amp;IF(OR($B3="",$C3="",$D3="",$V3="",$W3=""),"missing required field; ","")&amp;IF(COUNTIF($A$2:$A$201,$A3)&gt;1,"duplicate ID; ","")&amp;IF(AND($B3&lt;&gt;"",$B3&gt;ReportDate),"received after snapshot date; ","")&amp;IF(AND($I3&lt;&gt;"",$B3&lt;&gt;"",$I3&lt;$B3),"acknowledged before receipt; ","")&amp;IF(AND($K3="Y",$L3="",$W3&lt;&gt;"Logged"),"ID requested date missing; ","")&amp;IF(AND($L3&lt;&gt;"",$M3&lt;&gt;"",$M3&lt;$L3),"ID dates out of order; ","")&amp;IF(AND($K3&lt;&gt;"Y",OR($L3&lt;&gt;"",$W3="Awaiting ID")),"ID fields used but ID_Check_Needed is not Y; ","")&amp;IF(AND($R3="Y",$S3=""),"extension notice date missing; ","")&amp;IF(AND($R3&lt;&gt;"Y",$S3&lt;&gt;""),"notice date but Extended is not Y; ","")&amp;IF(AND($W3="Closed",$Y3=""),"closed without response date; ","")&amp;IF(AND($Y3&lt;&gt;"",$W3&lt;&gt;"Closed"),"response date but status not Closed; ","")&amp;IF(AND($Y3&lt;&gt;"",$B3&lt;&gt;"",$Y3&lt;$B3),"response before receipt; ","")&amp;IF(AND($AD3="Y",$AE3=""),"exemption needs a reason in Notes; ","")))</f>
        <v>OK</v>
      </c>
    </row>
    <row r="4" spans="1:32" x14ac:dyDescent="0.35">
      <c r="A4" s="22" t="s">
        <v>177</v>
      </c>
      <c r="B4" s="23">
        <v>46151</v>
      </c>
      <c r="C4" s="22" t="s">
        <v>70</v>
      </c>
      <c r="D4" s="22" t="s">
        <v>51</v>
      </c>
      <c r="E4" s="20" t="str">
        <f>IF($A4="","",IFERROR(VLOOKUP($D4,ReqTypes,2,FALSE),"?"))</f>
        <v>Art 21(2)</v>
      </c>
      <c r="F4" s="20" t="str">
        <f>IF($A4="","",IFERROR(VLOOKUP($D4,ReqTypes,3,FALSE),"?"))</f>
        <v>Y</v>
      </c>
      <c r="G4" s="22" t="s">
        <v>71</v>
      </c>
      <c r="H4" s="22" t="s">
        <v>90</v>
      </c>
      <c r="I4" s="23">
        <v>46153</v>
      </c>
      <c r="J4" s="20" t="str">
        <f>IF(OR($A4="",$I4=""),"",IF(NETWORKDAYS($B4,$I4,Holidays)-1&lt;=AckDays,"Y","N"))</f>
        <v>Y</v>
      </c>
      <c r="K4" s="22" t="s">
        <v>57</v>
      </c>
      <c r="L4" s="23"/>
      <c r="M4" s="23"/>
      <c r="N4" s="20" t="str">
        <f>IF(OR($A4="",$K4&lt;&gt;"Y"),"",IF($L4="","Pending",IF($L4-$B4&lt;=IDPromptDays,"Y","Check")))</f>
        <v/>
      </c>
      <c r="O4" s="20">
        <f>IF($A4="","",IF(OR($K4&lt;&gt;"Y",$L4=""),0,IF($M4="",MAX(0,ReportDate-$L4),$M4-$L4)))</f>
        <v>0</v>
      </c>
      <c r="P4" s="21">
        <f>IF($A4="","",IF($F4&lt;&gt;"Y","n/a",WORKDAY(EDATE($B4,1)+$O4-1,1,Holidays)))</f>
        <v>46182</v>
      </c>
      <c r="Q4" s="21">
        <f>IF($A4="","",$B4+$O4+InternalDays)</f>
        <v>46166</v>
      </c>
      <c r="R4" s="22" t="s">
        <v>57</v>
      </c>
      <c r="S4" s="23"/>
      <c r="T4" s="20" t="str">
        <f t="shared" si="0"/>
        <v/>
      </c>
      <c r="U4" s="21">
        <f>IF($A4="","",IF($F4&lt;&gt;"Y",$Q4,IF(AND($R4="Y",$T4="Y"),WORKDAY(EDATE($B4,3)+$O4-1,1,Holidays),$P4)))</f>
        <v>46182</v>
      </c>
      <c r="V4" s="22" t="s">
        <v>103</v>
      </c>
      <c r="W4" s="22" t="s">
        <v>102</v>
      </c>
      <c r="X4" s="22" t="s">
        <v>57</v>
      </c>
      <c r="Y4" s="23">
        <v>46154</v>
      </c>
      <c r="Z4" s="20">
        <f>IF($A4="","",IF($Y4&lt;&gt;"",$Y4-$B4,ReportDate-$B4))</f>
        <v>3</v>
      </c>
      <c r="AA4" s="20" t="str">
        <f>IF(OR($A4="",$W4="Closed"),"",$U4-ReportDate)</f>
        <v/>
      </c>
      <c r="AB4" s="20" t="str">
        <f>IF($A4="","",IF($W4="Closed",IF($Y4&lt;=$U4,"Closed on time","Closed late"),IF($W4="Awaiting ID","Paused",IF($AA4&lt;0,"Overdue",IF($AA4&lt;=RedDays,"Red",IF($AA4&lt;=AmberDays,"Amber","Green"))))))</f>
        <v>Closed on time</v>
      </c>
      <c r="AC4" s="20" t="str">
        <f t="shared" si="1"/>
        <v>Y</v>
      </c>
      <c r="AD4" s="22" t="s">
        <v>57</v>
      </c>
      <c r="AE4" s="22" t="s">
        <v>178</v>
      </c>
      <c r="AF4" s="20" t="str">
        <f>IF($A4="","",IF(IF(OR($B4="",$C4="",$D4="",$V4="",$W4=""),"missing required field; ","")&amp;IF(COUNTIF($A$2:$A$201,$A4)&gt;1,"duplicate ID; ","")&amp;IF(AND($B4&lt;&gt;"",$B4&gt;ReportDate),"received after snapshot date; ","")&amp;IF(AND($I4&lt;&gt;"",$B4&lt;&gt;"",$I4&lt;$B4),"acknowledged before receipt; ","")&amp;IF(AND($K4="Y",$L4="",$W4&lt;&gt;"Logged"),"ID requested date missing; ","")&amp;IF(AND($L4&lt;&gt;"",$M4&lt;&gt;"",$M4&lt;$L4),"ID dates out of order; ","")&amp;IF(AND($K4&lt;&gt;"Y",OR($L4&lt;&gt;"",$W4="Awaiting ID")),"ID fields used but ID_Check_Needed is not Y; ","")&amp;IF(AND($R4="Y",$S4=""),"extension notice date missing; ","")&amp;IF(AND($R4&lt;&gt;"Y",$S4&lt;&gt;""),"notice date but Extended is not Y; ","")&amp;IF(AND($W4="Closed",$Y4=""),"closed without response date; ","")&amp;IF(AND($Y4&lt;&gt;"",$W4&lt;&gt;"Closed"),"response date but status not Closed; ","")&amp;IF(AND($Y4&lt;&gt;"",$B4&lt;&gt;"",$Y4&lt;$B4),"response before receipt; ","")&amp;IF(AND($AD4="Y",$AE4=""),"exemption needs a reason in Notes; ","")="","OK","Check: "&amp;IF(OR($B4="",$C4="",$D4="",$V4="",$W4=""),"missing required field; ","")&amp;IF(COUNTIF($A$2:$A$201,$A4)&gt;1,"duplicate ID; ","")&amp;IF(AND($B4&lt;&gt;"",$B4&gt;ReportDate),"received after snapshot date; ","")&amp;IF(AND($I4&lt;&gt;"",$B4&lt;&gt;"",$I4&lt;$B4),"acknowledged before receipt; ","")&amp;IF(AND($K4="Y",$L4="",$W4&lt;&gt;"Logged"),"ID requested date missing; ","")&amp;IF(AND($L4&lt;&gt;"",$M4&lt;&gt;"",$M4&lt;$L4),"ID dates out of order; ","")&amp;IF(AND($K4&lt;&gt;"Y",OR($L4&lt;&gt;"",$W4="Awaiting ID")),"ID fields used but ID_Check_Needed is not Y; ","")&amp;IF(AND($R4="Y",$S4=""),"extension notice date missing; ","")&amp;IF(AND($R4&lt;&gt;"Y",$S4&lt;&gt;""),"notice date but Extended is not Y; ","")&amp;IF(AND($W4="Closed",$Y4=""),"closed without response date; ","")&amp;IF(AND($Y4&lt;&gt;"",$W4&lt;&gt;"Closed"),"response date but status not Closed; ","")&amp;IF(AND($Y4&lt;&gt;"",$B4&lt;&gt;"",$Y4&lt;$B4),"response before receipt; ","")&amp;IF(AND($AD4="Y",$AE4=""),"exemption needs a reason in Notes; ","")))</f>
        <v>OK</v>
      </c>
    </row>
    <row r="5" spans="1:32" x14ac:dyDescent="0.35">
      <c r="A5" s="22" t="s">
        <v>179</v>
      </c>
      <c r="B5" s="23">
        <v>46154</v>
      </c>
      <c r="C5" s="22" t="s">
        <v>88</v>
      </c>
      <c r="D5" s="22" t="s">
        <v>40</v>
      </c>
      <c r="E5" s="20" t="str">
        <f>IF($A5="","",IFERROR(VLOOKUP($D5,ReqTypes,2,FALSE),"?"))</f>
        <v>Art 15</v>
      </c>
      <c r="F5" s="20" t="str">
        <f>IF($A5="","",IFERROR(VLOOKUP($D5,ReqTypes,3,FALSE),"?"))</f>
        <v>Y</v>
      </c>
      <c r="G5" s="22" t="s">
        <v>89</v>
      </c>
      <c r="H5" s="22" t="s">
        <v>91</v>
      </c>
      <c r="I5" s="23">
        <v>46156</v>
      </c>
      <c r="J5" s="20" t="str">
        <f>IF(OR($A5="",$I5=""),"",IF(NETWORKDAYS($B5,$I5,Holidays)-1&lt;=AckDays,"Y","N"))</f>
        <v>Y</v>
      </c>
      <c r="K5" s="22" t="s">
        <v>42</v>
      </c>
      <c r="L5" s="23">
        <v>46155</v>
      </c>
      <c r="M5" s="23">
        <v>46162</v>
      </c>
      <c r="N5" s="20" t="str">
        <f>IF(OR($A5="",$K5&lt;&gt;"Y"),"",IF($L5="","Pending",IF($L5-$B5&lt;=IDPromptDays,"Y","Check")))</f>
        <v>Y</v>
      </c>
      <c r="O5" s="20">
        <f>IF($A5="","",IF(OR($K5&lt;&gt;"Y",$L5=""),0,IF($M5="",MAX(0,ReportDate-$L5),$M5-$L5)))</f>
        <v>7</v>
      </c>
      <c r="P5" s="21">
        <f>IF($A5="","",IF($F5&lt;&gt;"Y","n/a",WORKDAY(EDATE($B5,1)+$O5-1,1,Holidays)))</f>
        <v>46192</v>
      </c>
      <c r="Q5" s="21">
        <f>IF($A5="","",$B5+$O5+InternalDays)</f>
        <v>46176</v>
      </c>
      <c r="R5" s="22" t="s">
        <v>57</v>
      </c>
      <c r="S5" s="23"/>
      <c r="T5" s="20" t="str">
        <f t="shared" si="0"/>
        <v/>
      </c>
      <c r="U5" s="21">
        <f>IF($A5="","",IF($F5&lt;&gt;"Y",$Q5,IF(AND($R5="Y",$T5="Y"),WORKDAY(EDATE($B5,3)+$O5-1,1,Holidays),$P5)))</f>
        <v>46192</v>
      </c>
      <c r="V5" s="22" t="s">
        <v>91</v>
      </c>
      <c r="W5" s="22" t="s">
        <v>102</v>
      </c>
      <c r="X5" s="22" t="s">
        <v>57</v>
      </c>
      <c r="Y5" s="23">
        <v>46181</v>
      </c>
      <c r="Z5" s="20">
        <f>IF($A5="","",IF($Y5&lt;&gt;"",$Y5-$B5,ReportDate-$B5))</f>
        <v>27</v>
      </c>
      <c r="AA5" s="20" t="str">
        <f>IF(OR($A5="",$W5="Closed"),"",$U5-ReportDate)</f>
        <v/>
      </c>
      <c r="AB5" s="20" t="str">
        <f>IF($A5="","",IF($W5="Closed",IF($Y5&lt;=$U5,"Closed on time","Closed late"),IF($W5="Awaiting ID","Paused",IF($AA5&lt;0,"Overdue",IF($AA5&lt;=RedDays,"Red",IF($AA5&lt;=AmberDays,"Amber","Green"))))))</f>
        <v>Closed on time</v>
      </c>
      <c r="AC5" s="20" t="str">
        <f t="shared" si="1"/>
        <v>Y</v>
      </c>
      <c r="AD5" s="22" t="s">
        <v>57</v>
      </c>
      <c r="AE5" s="22" t="s">
        <v>180</v>
      </c>
      <c r="AF5" s="20" t="str">
        <f>IF($A5="","",IF(IF(OR($B5="",$C5="",$D5="",$V5="",$W5=""),"missing required field; ","")&amp;IF(COUNTIF($A$2:$A$201,$A5)&gt;1,"duplicate ID; ","")&amp;IF(AND($B5&lt;&gt;"",$B5&gt;ReportDate),"received after snapshot date; ","")&amp;IF(AND($I5&lt;&gt;"",$B5&lt;&gt;"",$I5&lt;$B5),"acknowledged before receipt; ","")&amp;IF(AND($K5="Y",$L5="",$W5&lt;&gt;"Logged"),"ID requested date missing; ","")&amp;IF(AND($L5&lt;&gt;"",$M5&lt;&gt;"",$M5&lt;$L5),"ID dates out of order; ","")&amp;IF(AND($K5&lt;&gt;"Y",OR($L5&lt;&gt;"",$W5="Awaiting ID")),"ID fields used but ID_Check_Needed is not Y; ","")&amp;IF(AND($R5="Y",$S5=""),"extension notice date missing; ","")&amp;IF(AND($R5&lt;&gt;"Y",$S5&lt;&gt;""),"notice date but Extended is not Y; ","")&amp;IF(AND($W5="Closed",$Y5=""),"closed without response date; ","")&amp;IF(AND($Y5&lt;&gt;"",$W5&lt;&gt;"Closed"),"response date but status not Closed; ","")&amp;IF(AND($Y5&lt;&gt;"",$B5&lt;&gt;"",$Y5&lt;$B5),"response before receipt; ","")&amp;IF(AND($AD5="Y",$AE5=""),"exemption needs a reason in Notes; ","")="","OK","Check: "&amp;IF(OR($B5="",$C5="",$D5="",$V5="",$W5=""),"missing required field; ","")&amp;IF(COUNTIF($A$2:$A$201,$A5)&gt;1,"duplicate ID; ","")&amp;IF(AND($B5&lt;&gt;"",$B5&gt;ReportDate),"received after snapshot date; ","")&amp;IF(AND($I5&lt;&gt;"",$B5&lt;&gt;"",$I5&lt;$B5),"acknowledged before receipt; ","")&amp;IF(AND($K5="Y",$L5="",$W5&lt;&gt;"Logged"),"ID requested date missing; ","")&amp;IF(AND($L5&lt;&gt;"",$M5&lt;&gt;"",$M5&lt;$L5),"ID dates out of order; ","")&amp;IF(AND($K5&lt;&gt;"Y",OR($L5&lt;&gt;"",$W5="Awaiting ID")),"ID fields used but ID_Check_Needed is not Y; ","")&amp;IF(AND($R5="Y",$S5=""),"extension notice date missing; ","")&amp;IF(AND($R5&lt;&gt;"Y",$S5&lt;&gt;""),"notice date but Extended is not Y; ","")&amp;IF(AND($W5="Closed",$Y5=""),"closed without response date; ","")&amp;IF(AND($Y5&lt;&gt;"",$W5&lt;&gt;"Closed"),"response date but status not Closed; ","")&amp;IF(AND($Y5&lt;&gt;"",$B5&lt;&gt;"",$Y5&lt;$B5),"response before receipt; ","")&amp;IF(AND($AD5="Y",$AE5=""),"exemption needs a reason in Notes; ","")))</f>
        <v>OK</v>
      </c>
    </row>
    <row r="6" spans="1:32" x14ac:dyDescent="0.35">
      <c r="A6" s="22" t="s">
        <v>181</v>
      </c>
      <c r="B6" s="23">
        <v>46157</v>
      </c>
      <c r="C6" s="22" t="s">
        <v>94</v>
      </c>
      <c r="D6" s="22" t="s">
        <v>40</v>
      </c>
      <c r="E6" s="20" t="str">
        <f>IF($A6="","",IFERROR(VLOOKUP($D6,ReqTypes,2,FALSE),"?"))</f>
        <v>Art 15</v>
      </c>
      <c r="F6" s="20" t="str">
        <f>IF($A6="","",IFERROR(VLOOKUP($D6,ReqTypes,3,FALSE),"?"))</f>
        <v>Y</v>
      </c>
      <c r="G6" s="22" t="s">
        <v>71</v>
      </c>
      <c r="H6" s="22" t="s">
        <v>101</v>
      </c>
      <c r="I6" s="23">
        <v>46160</v>
      </c>
      <c r="J6" s="20" t="str">
        <f>IF(OR($A6="",$I6=""),"",IF(NETWORKDAYS($B6,$I6,Holidays)-1&lt;=AckDays,"Y","N"))</f>
        <v>Y</v>
      </c>
      <c r="K6" s="22" t="s">
        <v>42</v>
      </c>
      <c r="L6" s="23">
        <v>46157</v>
      </c>
      <c r="M6" s="23">
        <v>46160</v>
      </c>
      <c r="N6" s="20" t="str">
        <f>IF(OR($A6="",$K6&lt;&gt;"Y"),"",IF($L6="","Pending",IF($L6-$B6&lt;=IDPromptDays,"Y","Check")))</f>
        <v>Y</v>
      </c>
      <c r="O6" s="20">
        <f>IF($A6="","",IF(OR($K6&lt;&gt;"Y",$L6=""),0,IF($M6="",MAX(0,ReportDate-$L6),$M6-$L6)))</f>
        <v>3</v>
      </c>
      <c r="P6" s="21">
        <f>IF($A6="","",IF($F6&lt;&gt;"Y","n/a",WORKDAY(EDATE($B6,1)+$O6-1,1,Holidays)))</f>
        <v>46191</v>
      </c>
      <c r="Q6" s="21">
        <f>IF($A6="","",$B6+$O6+InternalDays)</f>
        <v>46175</v>
      </c>
      <c r="R6" s="22" t="s">
        <v>57</v>
      </c>
      <c r="S6" s="23"/>
      <c r="T6" s="20" t="str">
        <f t="shared" si="0"/>
        <v/>
      </c>
      <c r="U6" s="21">
        <f>IF($A6="","",IF($F6&lt;&gt;"Y",$Q6,IF(AND($R6="Y",$T6="Y"),WORKDAY(EDATE($B6,3)+$O6-1,1,Holidays),$P6)))</f>
        <v>46191</v>
      </c>
      <c r="V6" s="22" t="s">
        <v>74</v>
      </c>
      <c r="W6" s="22" t="s">
        <v>102</v>
      </c>
      <c r="X6" s="22" t="s">
        <v>57</v>
      </c>
      <c r="Y6" s="23">
        <v>46176</v>
      </c>
      <c r="Z6" s="20">
        <f>IF($A6="","",IF($Y6&lt;&gt;"",$Y6-$B6,ReportDate-$B6))</f>
        <v>19</v>
      </c>
      <c r="AA6" s="20" t="str">
        <f>IF(OR($A6="",$W6="Closed"),"",$U6-ReportDate)</f>
        <v/>
      </c>
      <c r="AB6" s="20" t="str">
        <f>IF($A6="","",IF($W6="Closed",IF($Y6&lt;=$U6,"Closed on time","Closed late"),IF($W6="Awaiting ID","Paused",IF($AA6&lt;0,"Overdue",IF($AA6&lt;=RedDays,"Red",IF($AA6&lt;=AmberDays,"Amber","Green"))))))</f>
        <v>Closed on time</v>
      </c>
      <c r="AC6" s="20" t="str">
        <f t="shared" si="1"/>
        <v>Y</v>
      </c>
      <c r="AD6" s="22" t="s">
        <v>42</v>
      </c>
      <c r="AE6" s="22" t="s">
        <v>182</v>
      </c>
      <c r="AF6" s="20" t="str">
        <f>IF($A6="","",IF(IF(OR($B6="",$C6="",$D6="",$V6="",$W6=""),"missing required field; ","")&amp;IF(COUNTIF($A$2:$A$201,$A6)&gt;1,"duplicate ID; ","")&amp;IF(AND($B6&lt;&gt;"",$B6&gt;ReportDate),"received after snapshot date; ","")&amp;IF(AND($I6&lt;&gt;"",$B6&lt;&gt;"",$I6&lt;$B6),"acknowledged before receipt; ","")&amp;IF(AND($K6="Y",$L6="",$W6&lt;&gt;"Logged"),"ID requested date missing; ","")&amp;IF(AND($L6&lt;&gt;"",$M6&lt;&gt;"",$M6&lt;$L6),"ID dates out of order; ","")&amp;IF(AND($K6&lt;&gt;"Y",OR($L6&lt;&gt;"",$W6="Awaiting ID")),"ID fields used but ID_Check_Needed is not Y; ","")&amp;IF(AND($R6="Y",$S6=""),"extension notice date missing; ","")&amp;IF(AND($R6&lt;&gt;"Y",$S6&lt;&gt;""),"notice date but Extended is not Y; ","")&amp;IF(AND($W6="Closed",$Y6=""),"closed without response date; ","")&amp;IF(AND($Y6&lt;&gt;"",$W6&lt;&gt;"Closed"),"response date but status not Closed; ","")&amp;IF(AND($Y6&lt;&gt;"",$B6&lt;&gt;"",$Y6&lt;$B6),"response before receipt; ","")&amp;IF(AND($AD6="Y",$AE6=""),"exemption needs a reason in Notes; ","")="","OK","Check: "&amp;IF(OR($B6="",$C6="",$D6="",$V6="",$W6=""),"missing required field; ","")&amp;IF(COUNTIF($A$2:$A$201,$A6)&gt;1,"duplicate ID; ","")&amp;IF(AND($B6&lt;&gt;"",$B6&gt;ReportDate),"received after snapshot date; ","")&amp;IF(AND($I6&lt;&gt;"",$B6&lt;&gt;"",$I6&lt;$B6),"acknowledged before receipt; ","")&amp;IF(AND($K6="Y",$L6="",$W6&lt;&gt;"Logged"),"ID requested date missing; ","")&amp;IF(AND($L6&lt;&gt;"",$M6&lt;&gt;"",$M6&lt;$L6),"ID dates out of order; ","")&amp;IF(AND($K6&lt;&gt;"Y",OR($L6&lt;&gt;"",$W6="Awaiting ID")),"ID fields used but ID_Check_Needed is not Y; ","")&amp;IF(AND($R6="Y",$S6=""),"extension notice date missing; ","")&amp;IF(AND($R6&lt;&gt;"Y",$S6&lt;&gt;""),"notice date but Extended is not Y; ","")&amp;IF(AND($W6="Closed",$Y6=""),"closed without response date; ","")&amp;IF(AND($Y6&lt;&gt;"",$W6&lt;&gt;"Closed"),"response date but status not Closed; ","")&amp;IF(AND($Y6&lt;&gt;"",$B6&lt;&gt;"",$Y6&lt;$B6),"response before receipt; ","")&amp;IF(AND($AD6="Y",$AE6=""),"exemption needs a reason in Notes; ","")))</f>
        <v>OK</v>
      </c>
    </row>
    <row r="7" spans="1:32" x14ac:dyDescent="0.35">
      <c r="A7" s="22" t="s">
        <v>183</v>
      </c>
      <c r="B7" s="23">
        <v>46162</v>
      </c>
      <c r="C7" s="22" t="s">
        <v>70</v>
      </c>
      <c r="D7" s="22" t="s">
        <v>43</v>
      </c>
      <c r="E7" s="20" t="str">
        <f>IF($A7="","",IFERROR(VLOOKUP($D7,ReqTypes,2,FALSE),"?"))</f>
        <v>Art 16</v>
      </c>
      <c r="F7" s="20" t="str">
        <f>IF($A7="","",IFERROR(VLOOKUP($D7,ReqTypes,3,FALSE),"?"))</f>
        <v>Y</v>
      </c>
      <c r="G7" s="22" t="s">
        <v>71</v>
      </c>
      <c r="H7" s="22" t="s">
        <v>90</v>
      </c>
      <c r="I7" s="23">
        <v>46163</v>
      </c>
      <c r="J7" s="20" t="str">
        <f>IF(OR($A7="",$I7=""),"",IF(NETWORKDAYS($B7,$I7,Holidays)-1&lt;=AckDays,"Y","N"))</f>
        <v>Y</v>
      </c>
      <c r="K7" s="22" t="s">
        <v>57</v>
      </c>
      <c r="L7" s="23"/>
      <c r="M7" s="23"/>
      <c r="N7" s="20" t="str">
        <f>IF(OR($A7="",$K7&lt;&gt;"Y"),"",IF($L7="","Pending",IF($L7-$B7&lt;=IDPromptDays,"Y","Check")))</f>
        <v/>
      </c>
      <c r="O7" s="20">
        <f>IF($A7="","",IF(OR($K7&lt;&gt;"Y",$L7=""),0,IF($M7="",MAX(0,ReportDate-$L7),$M7-$L7)))</f>
        <v>0</v>
      </c>
      <c r="P7" s="21">
        <f>IF($A7="","",IF($F7&lt;&gt;"Y","n/a",WORKDAY(EDATE($B7,1)+$O7-1,1,Holidays)))</f>
        <v>46195</v>
      </c>
      <c r="Q7" s="21">
        <f>IF($A7="","",$B7+$O7+InternalDays)</f>
        <v>46177</v>
      </c>
      <c r="R7" s="22" t="s">
        <v>57</v>
      </c>
      <c r="S7" s="23"/>
      <c r="T7" s="20" t="str">
        <f t="shared" si="0"/>
        <v/>
      </c>
      <c r="U7" s="21">
        <f>IF($A7="","",IF($F7&lt;&gt;"Y",$Q7,IF(AND($R7="Y",$T7="Y"),WORKDAY(EDATE($B7,3)+$O7-1,1,Holidays),$P7)))</f>
        <v>46195</v>
      </c>
      <c r="V7" s="22" t="s">
        <v>74</v>
      </c>
      <c r="W7" s="22" t="s">
        <v>102</v>
      </c>
      <c r="X7" s="22" t="s">
        <v>57</v>
      </c>
      <c r="Y7" s="23">
        <v>46167</v>
      </c>
      <c r="Z7" s="20">
        <f>IF($A7="","",IF($Y7&lt;&gt;"",$Y7-$B7,ReportDate-$B7))</f>
        <v>5</v>
      </c>
      <c r="AA7" s="20" t="str">
        <f>IF(OR($A7="",$W7="Closed"),"",$U7-ReportDate)</f>
        <v/>
      </c>
      <c r="AB7" s="20" t="str">
        <f>IF($A7="","",IF($W7="Closed",IF($Y7&lt;=$U7,"Closed on time","Closed late"),IF($W7="Awaiting ID","Paused",IF($AA7&lt;0,"Overdue",IF($AA7&lt;=RedDays,"Red",IF($AA7&lt;=AmberDays,"Amber","Green"))))))</f>
        <v>Closed on time</v>
      </c>
      <c r="AC7" s="20" t="str">
        <f t="shared" si="1"/>
        <v>Y</v>
      </c>
      <c r="AD7" s="22" t="s">
        <v>57</v>
      </c>
      <c r="AE7" s="22"/>
      <c r="AF7" s="20" t="str">
        <f>IF($A7="","",IF(IF(OR($B7="",$C7="",$D7="",$V7="",$W7=""),"missing required field; ","")&amp;IF(COUNTIF($A$2:$A$201,$A7)&gt;1,"duplicate ID; ","")&amp;IF(AND($B7&lt;&gt;"",$B7&gt;ReportDate),"received after snapshot date; ","")&amp;IF(AND($I7&lt;&gt;"",$B7&lt;&gt;"",$I7&lt;$B7),"acknowledged before receipt; ","")&amp;IF(AND($K7="Y",$L7="",$W7&lt;&gt;"Logged"),"ID requested date missing; ","")&amp;IF(AND($L7&lt;&gt;"",$M7&lt;&gt;"",$M7&lt;$L7),"ID dates out of order; ","")&amp;IF(AND($K7&lt;&gt;"Y",OR($L7&lt;&gt;"",$W7="Awaiting ID")),"ID fields used but ID_Check_Needed is not Y; ","")&amp;IF(AND($R7="Y",$S7=""),"extension notice date missing; ","")&amp;IF(AND($R7&lt;&gt;"Y",$S7&lt;&gt;""),"notice date but Extended is not Y; ","")&amp;IF(AND($W7="Closed",$Y7=""),"closed without response date; ","")&amp;IF(AND($Y7&lt;&gt;"",$W7&lt;&gt;"Closed"),"response date but status not Closed; ","")&amp;IF(AND($Y7&lt;&gt;"",$B7&lt;&gt;"",$Y7&lt;$B7),"response before receipt; ","")&amp;IF(AND($AD7="Y",$AE7=""),"exemption needs a reason in Notes; ","")="","OK","Check: "&amp;IF(OR($B7="",$C7="",$D7="",$V7="",$W7=""),"missing required field; ","")&amp;IF(COUNTIF($A$2:$A$201,$A7)&gt;1,"duplicate ID; ","")&amp;IF(AND($B7&lt;&gt;"",$B7&gt;ReportDate),"received after snapshot date; ","")&amp;IF(AND($I7&lt;&gt;"",$B7&lt;&gt;"",$I7&lt;$B7),"acknowledged before receipt; ","")&amp;IF(AND($K7="Y",$L7="",$W7&lt;&gt;"Logged"),"ID requested date missing; ","")&amp;IF(AND($L7&lt;&gt;"",$M7&lt;&gt;"",$M7&lt;$L7),"ID dates out of order; ","")&amp;IF(AND($K7&lt;&gt;"Y",OR($L7&lt;&gt;"",$W7="Awaiting ID")),"ID fields used but ID_Check_Needed is not Y; ","")&amp;IF(AND($R7="Y",$S7=""),"extension notice date missing; ","")&amp;IF(AND($R7&lt;&gt;"Y",$S7&lt;&gt;""),"notice date but Extended is not Y; ","")&amp;IF(AND($W7="Closed",$Y7=""),"closed without response date; ","")&amp;IF(AND($Y7&lt;&gt;"",$W7&lt;&gt;"Closed"),"response date but status not Closed; ","")&amp;IF(AND($Y7&lt;&gt;"",$B7&lt;&gt;"",$Y7&lt;$B7),"response before receipt; ","")&amp;IF(AND($AD7="Y",$AE7=""),"exemption needs a reason in Notes; ","")))</f>
        <v>OK</v>
      </c>
    </row>
    <row r="8" spans="1:32" x14ac:dyDescent="0.35">
      <c r="A8" s="22" t="s">
        <v>184</v>
      </c>
      <c r="B8" s="23">
        <v>46167</v>
      </c>
      <c r="C8" s="22" t="s">
        <v>99</v>
      </c>
      <c r="D8" s="22" t="s">
        <v>58</v>
      </c>
      <c r="E8" s="20" t="str">
        <f>IF($A8="","",IFERROR(VLOOKUP($D8,ReqTypes,2,FALSE),"?"))</f>
        <v>n/a</v>
      </c>
      <c r="F8" s="20" t="str">
        <f>IF($A8="","",IFERROR(VLOOKUP($D8,ReqTypes,3,FALSE),"?"))</f>
        <v>N</v>
      </c>
      <c r="G8" s="22" t="s">
        <v>71</v>
      </c>
      <c r="H8" s="22" t="s">
        <v>104</v>
      </c>
      <c r="I8" s="23">
        <v>46168</v>
      </c>
      <c r="J8" s="20" t="str">
        <f>IF(OR($A8="",$I8=""),"",IF(NETWORKDAYS($B8,$I8,Holidays)-1&lt;=AckDays,"Y","N"))</f>
        <v>Y</v>
      </c>
      <c r="K8" s="22" t="s">
        <v>57</v>
      </c>
      <c r="L8" s="23"/>
      <c r="M8" s="23"/>
      <c r="N8" s="20" t="str">
        <f>IF(OR($A8="",$K8&lt;&gt;"Y"),"",IF($L8="","Pending",IF($L8-$B8&lt;=IDPromptDays,"Y","Check")))</f>
        <v/>
      </c>
      <c r="O8" s="20">
        <f>IF($A8="","",IF(OR($K8&lt;&gt;"Y",$L8=""),0,IF($M8="",MAX(0,ReportDate-$L8),$M8-$L8)))</f>
        <v>0</v>
      </c>
      <c r="P8" s="21" t="str">
        <f>IF($A8="","",IF($F8&lt;&gt;"Y","n/a",WORKDAY(EDATE($B8,1)+$O8-1,1,Holidays)))</f>
        <v>n/a</v>
      </c>
      <c r="Q8" s="21">
        <f>IF($A8="","",$B8+$O8+InternalDays)</f>
        <v>46182</v>
      </c>
      <c r="R8" s="22" t="s">
        <v>57</v>
      </c>
      <c r="S8" s="23"/>
      <c r="T8" s="20" t="str">
        <f t="shared" si="0"/>
        <v/>
      </c>
      <c r="U8" s="21">
        <f>IF($A8="","",IF($F8&lt;&gt;"Y",$Q8,IF(AND($R8="Y",$T8="Y"),WORKDAY(EDATE($B8,3)+$O8-1,1,Holidays),$P8)))</f>
        <v>46182</v>
      </c>
      <c r="V8" s="22" t="s">
        <v>74</v>
      </c>
      <c r="W8" s="22" t="s">
        <v>102</v>
      </c>
      <c r="X8" s="22" t="s">
        <v>57</v>
      </c>
      <c r="Y8" s="23">
        <v>46174</v>
      </c>
      <c r="Z8" s="20">
        <f>IF($A8="","",IF($Y8&lt;&gt;"",$Y8-$B8,ReportDate-$B8))</f>
        <v>7</v>
      </c>
      <c r="AA8" s="20" t="str">
        <f>IF(OR($A8="",$W8="Closed"),"",$U8-ReportDate)</f>
        <v/>
      </c>
      <c r="AB8" s="20" t="str">
        <f>IF($A8="","",IF($W8="Closed",IF($Y8&lt;=$U8,"Closed on time","Closed late"),IF($W8="Awaiting ID","Paused",IF($AA8&lt;0,"Overdue",IF($AA8&lt;=RedDays,"Red",IF($AA8&lt;=AmberDays,"Amber","Green"))))))</f>
        <v>Closed on time</v>
      </c>
      <c r="AC8" s="20" t="str">
        <f t="shared" si="1"/>
        <v>Y</v>
      </c>
      <c r="AD8" s="22" t="s">
        <v>57</v>
      </c>
      <c r="AE8" s="22" t="s">
        <v>185</v>
      </c>
      <c r="AF8" s="20" t="str">
        <f>IF($A8="","",IF(IF(OR($B8="",$C8="",$D8="",$V8="",$W8=""),"missing required field; ","")&amp;IF(COUNTIF($A$2:$A$201,$A8)&gt;1,"duplicate ID; ","")&amp;IF(AND($B8&lt;&gt;"",$B8&gt;ReportDate),"received after snapshot date; ","")&amp;IF(AND($I8&lt;&gt;"",$B8&lt;&gt;"",$I8&lt;$B8),"acknowledged before receipt; ","")&amp;IF(AND($K8="Y",$L8="",$W8&lt;&gt;"Logged"),"ID requested date missing; ","")&amp;IF(AND($L8&lt;&gt;"",$M8&lt;&gt;"",$M8&lt;$L8),"ID dates out of order; ","")&amp;IF(AND($K8&lt;&gt;"Y",OR($L8&lt;&gt;"",$W8="Awaiting ID")),"ID fields used but ID_Check_Needed is not Y; ","")&amp;IF(AND($R8="Y",$S8=""),"extension notice date missing; ","")&amp;IF(AND($R8&lt;&gt;"Y",$S8&lt;&gt;""),"notice date but Extended is not Y; ","")&amp;IF(AND($W8="Closed",$Y8=""),"closed without response date; ","")&amp;IF(AND($Y8&lt;&gt;"",$W8&lt;&gt;"Closed"),"response date but status not Closed; ","")&amp;IF(AND($Y8&lt;&gt;"",$B8&lt;&gt;"",$Y8&lt;$B8),"response before receipt; ","")&amp;IF(AND($AD8="Y",$AE8=""),"exemption needs a reason in Notes; ","")="","OK","Check: "&amp;IF(OR($B8="",$C8="",$D8="",$V8="",$W8=""),"missing required field; ","")&amp;IF(COUNTIF($A$2:$A$201,$A8)&gt;1,"duplicate ID; ","")&amp;IF(AND($B8&lt;&gt;"",$B8&gt;ReportDate),"received after snapshot date; ","")&amp;IF(AND($I8&lt;&gt;"",$B8&lt;&gt;"",$I8&lt;$B8),"acknowledged before receipt; ","")&amp;IF(AND($K8="Y",$L8="",$W8&lt;&gt;"Logged"),"ID requested date missing; ","")&amp;IF(AND($L8&lt;&gt;"",$M8&lt;&gt;"",$M8&lt;$L8),"ID dates out of order; ","")&amp;IF(AND($K8&lt;&gt;"Y",OR($L8&lt;&gt;"",$W8="Awaiting ID")),"ID fields used but ID_Check_Needed is not Y; ","")&amp;IF(AND($R8="Y",$S8=""),"extension notice date missing; ","")&amp;IF(AND($R8&lt;&gt;"Y",$S8&lt;&gt;""),"notice date but Extended is not Y; ","")&amp;IF(AND($W8="Closed",$Y8=""),"closed without response date; ","")&amp;IF(AND($Y8&lt;&gt;"",$W8&lt;&gt;"Closed"),"response date but status not Closed; ","")&amp;IF(AND($Y8&lt;&gt;"",$B8&lt;&gt;"",$Y8&lt;$B8),"response before receipt; ","")&amp;IF(AND($AD8="Y",$AE8=""),"exemption needs a reason in Notes; ","")))</f>
        <v>OK</v>
      </c>
    </row>
    <row r="9" spans="1:32" x14ac:dyDescent="0.35">
      <c r="A9" s="22" t="s">
        <v>186</v>
      </c>
      <c r="B9" s="23">
        <v>46170</v>
      </c>
      <c r="C9" s="22" t="s">
        <v>70</v>
      </c>
      <c r="D9" s="22" t="s">
        <v>40</v>
      </c>
      <c r="E9" s="20" t="str">
        <f>IF($A9="","",IFERROR(VLOOKUP($D9,ReqTypes,2,FALSE),"?"))</f>
        <v>Art 15</v>
      </c>
      <c r="F9" s="20" t="str">
        <f>IF($A9="","",IFERROR(VLOOKUP($D9,ReqTypes,3,FALSE),"?"))</f>
        <v>Y</v>
      </c>
      <c r="G9" s="22" t="s">
        <v>80</v>
      </c>
      <c r="H9" s="22" t="s">
        <v>91</v>
      </c>
      <c r="I9" s="23">
        <v>46171</v>
      </c>
      <c r="J9" s="20" t="str">
        <f>IF(OR($A9="",$I9=""),"",IF(NETWORKDAYS($B9,$I9,Holidays)-1&lt;=AckDays,"Y","N"))</f>
        <v>Y</v>
      </c>
      <c r="K9" s="22" t="s">
        <v>57</v>
      </c>
      <c r="L9" s="23"/>
      <c r="M9" s="23"/>
      <c r="N9" s="20" t="str">
        <f>IF(OR($A9="",$K9&lt;&gt;"Y"),"",IF($L9="","Pending",IF($L9-$B9&lt;=IDPromptDays,"Y","Check")))</f>
        <v/>
      </c>
      <c r="O9" s="20">
        <f>IF($A9="","",IF(OR($K9&lt;&gt;"Y",$L9=""),0,IF($M9="",MAX(0,ReportDate-$L9),$M9-$L9)))</f>
        <v>0</v>
      </c>
      <c r="P9" s="21">
        <f>IF($A9="","",IF($F9&lt;&gt;"Y","n/a",WORKDAY(EDATE($B9,1)+$O9-1,1,Holidays)))</f>
        <v>46202</v>
      </c>
      <c r="Q9" s="21">
        <f>IF($A9="","",$B9+$O9+InternalDays)</f>
        <v>46185</v>
      </c>
      <c r="R9" s="22" t="s">
        <v>57</v>
      </c>
      <c r="S9" s="23"/>
      <c r="T9" s="20" t="str">
        <f t="shared" si="0"/>
        <v/>
      </c>
      <c r="U9" s="21">
        <f>IF($A9="","",IF($F9&lt;&gt;"Y",$Q9,IF(AND($R9="Y",$T9="Y"),WORKDAY(EDATE($B9,3)+$O9-1,1,Holidays),$P9)))</f>
        <v>46202</v>
      </c>
      <c r="V9" s="22" t="s">
        <v>91</v>
      </c>
      <c r="W9" s="22" t="s">
        <v>102</v>
      </c>
      <c r="X9" s="22" t="s">
        <v>57</v>
      </c>
      <c r="Y9" s="23">
        <v>46191</v>
      </c>
      <c r="Z9" s="20">
        <f>IF($A9="","",IF($Y9&lt;&gt;"",$Y9-$B9,ReportDate-$B9))</f>
        <v>21</v>
      </c>
      <c r="AA9" s="20" t="str">
        <f>IF(OR($A9="",$W9="Closed"),"",$U9-ReportDate)</f>
        <v/>
      </c>
      <c r="AB9" s="20" t="str">
        <f>IF($A9="","",IF($W9="Closed",IF($Y9&lt;=$U9,"Closed on time","Closed late"),IF($W9="Awaiting ID","Paused",IF($AA9&lt;0,"Overdue",IF($AA9&lt;=RedDays,"Red",IF($AA9&lt;=AmberDays,"Amber","Green"))))))</f>
        <v>Closed on time</v>
      </c>
      <c r="AC9" s="20" t="str">
        <f t="shared" si="1"/>
        <v>Y</v>
      </c>
      <c r="AD9" s="22" t="s">
        <v>57</v>
      </c>
      <c r="AE9" s="22"/>
      <c r="AF9" s="20" t="str">
        <f>IF($A9="","",IF(IF(OR($B9="",$C9="",$D9="",$V9="",$W9=""),"missing required field; ","")&amp;IF(COUNTIF($A$2:$A$201,$A9)&gt;1,"duplicate ID; ","")&amp;IF(AND($B9&lt;&gt;"",$B9&gt;ReportDate),"received after snapshot date; ","")&amp;IF(AND($I9&lt;&gt;"",$B9&lt;&gt;"",$I9&lt;$B9),"acknowledged before receipt; ","")&amp;IF(AND($K9="Y",$L9="",$W9&lt;&gt;"Logged"),"ID requested date missing; ","")&amp;IF(AND($L9&lt;&gt;"",$M9&lt;&gt;"",$M9&lt;$L9),"ID dates out of order; ","")&amp;IF(AND($K9&lt;&gt;"Y",OR($L9&lt;&gt;"",$W9="Awaiting ID")),"ID fields used but ID_Check_Needed is not Y; ","")&amp;IF(AND($R9="Y",$S9=""),"extension notice date missing; ","")&amp;IF(AND($R9&lt;&gt;"Y",$S9&lt;&gt;""),"notice date but Extended is not Y; ","")&amp;IF(AND($W9="Closed",$Y9=""),"closed without response date; ","")&amp;IF(AND($Y9&lt;&gt;"",$W9&lt;&gt;"Closed"),"response date but status not Closed; ","")&amp;IF(AND($Y9&lt;&gt;"",$B9&lt;&gt;"",$Y9&lt;$B9),"response before receipt; ","")&amp;IF(AND($AD9="Y",$AE9=""),"exemption needs a reason in Notes; ","")="","OK","Check: "&amp;IF(OR($B9="",$C9="",$D9="",$V9="",$W9=""),"missing required field; ","")&amp;IF(COUNTIF($A$2:$A$201,$A9)&gt;1,"duplicate ID; ","")&amp;IF(AND($B9&lt;&gt;"",$B9&gt;ReportDate),"received after snapshot date; ","")&amp;IF(AND($I9&lt;&gt;"",$B9&lt;&gt;"",$I9&lt;$B9),"acknowledged before receipt; ","")&amp;IF(AND($K9="Y",$L9="",$W9&lt;&gt;"Logged"),"ID requested date missing; ","")&amp;IF(AND($L9&lt;&gt;"",$M9&lt;&gt;"",$M9&lt;$L9),"ID dates out of order; ","")&amp;IF(AND($K9&lt;&gt;"Y",OR($L9&lt;&gt;"",$W9="Awaiting ID")),"ID fields used but ID_Check_Needed is not Y; ","")&amp;IF(AND($R9="Y",$S9=""),"extension notice date missing; ","")&amp;IF(AND($R9&lt;&gt;"Y",$S9&lt;&gt;""),"notice date but Extended is not Y; ","")&amp;IF(AND($W9="Closed",$Y9=""),"closed without response date; ","")&amp;IF(AND($Y9&lt;&gt;"",$W9&lt;&gt;"Closed"),"response date but status not Closed; ","")&amp;IF(AND($Y9&lt;&gt;"",$B9&lt;&gt;"",$Y9&lt;$B9),"response before receipt; ","")&amp;IF(AND($AD9="Y",$AE9=""),"exemption needs a reason in Notes; ","")))</f>
        <v>OK</v>
      </c>
    </row>
    <row r="10" spans="1:32" x14ac:dyDescent="0.35">
      <c r="A10" s="22" t="s">
        <v>187</v>
      </c>
      <c r="B10" s="23">
        <v>46175</v>
      </c>
      <c r="C10" s="22" t="s">
        <v>79</v>
      </c>
      <c r="D10" s="22" t="s">
        <v>45</v>
      </c>
      <c r="E10" s="20" t="str">
        <f>IF($A10="","",IFERROR(VLOOKUP($D10,ReqTypes,2,FALSE),"?"))</f>
        <v>Art 17</v>
      </c>
      <c r="F10" s="20" t="str">
        <f>IF($A10="","",IFERROR(VLOOKUP($D10,ReqTypes,3,FALSE),"?"))</f>
        <v>Y</v>
      </c>
      <c r="G10" s="22" t="s">
        <v>71</v>
      </c>
      <c r="H10" s="22" t="s">
        <v>72</v>
      </c>
      <c r="I10" s="23">
        <v>46176</v>
      </c>
      <c r="J10" s="20" t="str">
        <f>IF(OR($A10="",$I10=""),"",IF(NETWORKDAYS($B10,$I10,Holidays)-1&lt;=AckDays,"Y","N"))</f>
        <v>Y</v>
      </c>
      <c r="K10" s="22" t="s">
        <v>57</v>
      </c>
      <c r="L10" s="23"/>
      <c r="M10" s="23"/>
      <c r="N10" s="20" t="str">
        <f>IF(OR($A10="",$K10&lt;&gt;"Y"),"",IF($L10="","Pending",IF($L10-$B10&lt;=IDPromptDays,"Y","Check")))</f>
        <v/>
      </c>
      <c r="O10" s="20">
        <f>IF($A10="","",IF(OR($K10&lt;&gt;"Y",$L10=""),0,IF($M10="",MAX(0,ReportDate-$L10),$M10-$L10)))</f>
        <v>0</v>
      </c>
      <c r="P10" s="21">
        <f>IF($A10="","",IF($F10&lt;&gt;"Y","n/a",WORKDAY(EDATE($B10,1)+$O10-1,1,Holidays)))</f>
        <v>46205</v>
      </c>
      <c r="Q10" s="21">
        <f>IF($A10="","",$B10+$O10+InternalDays)</f>
        <v>46190</v>
      </c>
      <c r="R10" s="22" t="s">
        <v>57</v>
      </c>
      <c r="S10" s="23"/>
      <c r="T10" s="20" t="str">
        <f t="shared" si="0"/>
        <v/>
      </c>
      <c r="U10" s="21">
        <f>IF($A10="","",IF($F10&lt;&gt;"Y",$Q10,IF(AND($R10="Y",$T10="Y"),WORKDAY(EDATE($B10,3)+$O10-1,1,Holidays),$P10)))</f>
        <v>46205</v>
      </c>
      <c r="V10" s="22" t="s">
        <v>97</v>
      </c>
      <c r="W10" s="22" t="s">
        <v>102</v>
      </c>
      <c r="X10" s="22" t="s">
        <v>57</v>
      </c>
      <c r="Y10" s="23">
        <v>46184</v>
      </c>
      <c r="Z10" s="20">
        <f>IF($A10="","",IF($Y10&lt;&gt;"",$Y10-$B10,ReportDate-$B10))</f>
        <v>9</v>
      </c>
      <c r="AA10" s="20" t="str">
        <f>IF(OR($A10="",$W10="Closed"),"",$U10-ReportDate)</f>
        <v/>
      </c>
      <c r="AB10" s="20" t="str">
        <f>IF($A10="","",IF($W10="Closed",IF($Y10&lt;=$U10,"Closed on time","Closed late"),IF($W10="Awaiting ID","Paused",IF($AA10&lt;0,"Overdue",IF($AA10&lt;=RedDays,"Red",IF($AA10&lt;=AmberDays,"Amber","Green"))))))</f>
        <v>Closed on time</v>
      </c>
      <c r="AC10" s="20" t="str">
        <f t="shared" si="1"/>
        <v>Y</v>
      </c>
      <c r="AD10" s="22" t="s">
        <v>57</v>
      </c>
      <c r="AE10" s="22"/>
      <c r="AF10" s="20" t="str">
        <f>IF($A10="","",IF(IF(OR($B10="",$C10="",$D10="",$V10="",$W10=""),"missing required field; ","")&amp;IF(COUNTIF($A$2:$A$201,$A10)&gt;1,"duplicate ID; ","")&amp;IF(AND($B10&lt;&gt;"",$B10&gt;ReportDate),"received after snapshot date; ","")&amp;IF(AND($I10&lt;&gt;"",$B10&lt;&gt;"",$I10&lt;$B10),"acknowledged before receipt; ","")&amp;IF(AND($K10="Y",$L10="",$W10&lt;&gt;"Logged"),"ID requested date missing; ","")&amp;IF(AND($L10&lt;&gt;"",$M10&lt;&gt;"",$M10&lt;$L10),"ID dates out of order; ","")&amp;IF(AND($K10&lt;&gt;"Y",OR($L10&lt;&gt;"",$W10="Awaiting ID")),"ID fields used but ID_Check_Needed is not Y; ","")&amp;IF(AND($R10="Y",$S10=""),"extension notice date missing; ","")&amp;IF(AND($R10&lt;&gt;"Y",$S10&lt;&gt;""),"notice date but Extended is not Y; ","")&amp;IF(AND($W10="Closed",$Y10=""),"closed without response date; ","")&amp;IF(AND($Y10&lt;&gt;"",$W10&lt;&gt;"Closed"),"response date but status not Closed; ","")&amp;IF(AND($Y10&lt;&gt;"",$B10&lt;&gt;"",$Y10&lt;$B10),"response before receipt; ","")&amp;IF(AND($AD10="Y",$AE10=""),"exemption needs a reason in Notes; ","")="","OK","Check: "&amp;IF(OR($B10="",$C10="",$D10="",$V10="",$W10=""),"missing required field; ","")&amp;IF(COUNTIF($A$2:$A$201,$A10)&gt;1,"duplicate ID; ","")&amp;IF(AND($B10&lt;&gt;"",$B10&gt;ReportDate),"received after snapshot date; ","")&amp;IF(AND($I10&lt;&gt;"",$B10&lt;&gt;"",$I10&lt;$B10),"acknowledged before receipt; ","")&amp;IF(AND($K10="Y",$L10="",$W10&lt;&gt;"Logged"),"ID requested date missing; ","")&amp;IF(AND($L10&lt;&gt;"",$M10&lt;&gt;"",$M10&lt;$L10),"ID dates out of order; ","")&amp;IF(AND($K10&lt;&gt;"Y",OR($L10&lt;&gt;"",$W10="Awaiting ID")),"ID fields used but ID_Check_Needed is not Y; ","")&amp;IF(AND($R10="Y",$S10=""),"extension notice date missing; ","")&amp;IF(AND($R10&lt;&gt;"Y",$S10&lt;&gt;""),"notice date but Extended is not Y; ","")&amp;IF(AND($W10="Closed",$Y10=""),"closed without response date; ","")&amp;IF(AND($Y10&lt;&gt;"",$W10&lt;&gt;"Closed"),"response date but status not Closed; ","")&amp;IF(AND($Y10&lt;&gt;"",$B10&lt;&gt;"",$Y10&lt;$B10),"response before receipt; ","")&amp;IF(AND($AD10="Y",$AE10=""),"exemption needs a reason in Notes; ","")))</f>
        <v>OK</v>
      </c>
    </row>
    <row r="11" spans="1:32" x14ac:dyDescent="0.35">
      <c r="A11" s="22" t="s">
        <v>188</v>
      </c>
      <c r="B11" s="23">
        <v>46178</v>
      </c>
      <c r="C11" s="22" t="s">
        <v>70</v>
      </c>
      <c r="D11" s="22" t="s">
        <v>51</v>
      </c>
      <c r="E11" s="20" t="str">
        <f>IF($A11="","",IFERROR(VLOOKUP($D11,ReqTypes,2,FALSE),"?"))</f>
        <v>Art 21(2)</v>
      </c>
      <c r="F11" s="20" t="str">
        <f>IF($A11="","",IFERROR(VLOOKUP($D11,ReqTypes,3,FALSE),"?"))</f>
        <v>Y</v>
      </c>
      <c r="G11" s="22" t="s">
        <v>71</v>
      </c>
      <c r="H11" s="22" t="s">
        <v>90</v>
      </c>
      <c r="I11" s="23">
        <v>46183</v>
      </c>
      <c r="J11" s="20" t="str">
        <f>IF(OR($A11="",$I11=""),"",IF(NETWORKDAYS($B11,$I11,Holidays)-1&lt;=AckDays,"Y","N"))</f>
        <v>N</v>
      </c>
      <c r="K11" s="22" t="s">
        <v>57</v>
      </c>
      <c r="L11" s="23"/>
      <c r="M11" s="23"/>
      <c r="N11" s="20" t="str">
        <f>IF(OR($A11="",$K11&lt;&gt;"Y"),"",IF($L11="","Pending",IF($L11-$B11&lt;=IDPromptDays,"Y","Check")))</f>
        <v/>
      </c>
      <c r="O11" s="20">
        <f>IF($A11="","",IF(OR($K11&lt;&gt;"Y",$L11=""),0,IF($M11="",MAX(0,ReportDate-$L11),$M11-$L11)))</f>
        <v>0</v>
      </c>
      <c r="P11" s="21">
        <f>IF($A11="","",IF($F11&lt;&gt;"Y","n/a",WORKDAY(EDATE($B11,1)+$O11-1,1,Holidays)))</f>
        <v>46209</v>
      </c>
      <c r="Q11" s="21">
        <f>IF($A11="","",$B11+$O11+InternalDays)</f>
        <v>46193</v>
      </c>
      <c r="R11" s="22" t="s">
        <v>57</v>
      </c>
      <c r="S11" s="23"/>
      <c r="T11" s="20" t="str">
        <f t="shared" si="0"/>
        <v/>
      </c>
      <c r="U11" s="21">
        <f>IF($A11="","",IF($F11&lt;&gt;"Y",$Q11,IF(AND($R11="Y",$T11="Y"),WORKDAY(EDATE($B11,3)+$O11-1,1,Holidays),$P11)))</f>
        <v>46209</v>
      </c>
      <c r="V11" s="22" t="s">
        <v>103</v>
      </c>
      <c r="W11" s="22" t="s">
        <v>102</v>
      </c>
      <c r="X11" s="22" t="s">
        <v>57</v>
      </c>
      <c r="Y11" s="23">
        <v>46184</v>
      </c>
      <c r="Z11" s="20">
        <f>IF($A11="","",IF($Y11&lt;&gt;"",$Y11-$B11,ReportDate-$B11))</f>
        <v>6</v>
      </c>
      <c r="AA11" s="20" t="str">
        <f>IF(OR($A11="",$W11="Closed"),"",$U11-ReportDate)</f>
        <v/>
      </c>
      <c r="AB11" s="20" t="str">
        <f>IF($A11="","",IF($W11="Closed",IF($Y11&lt;=$U11,"Closed on time","Closed late"),IF($W11="Awaiting ID","Paused",IF($AA11&lt;0,"Overdue",IF($AA11&lt;=RedDays,"Red",IF($AA11&lt;=AmberDays,"Amber","Green"))))))</f>
        <v>Closed on time</v>
      </c>
      <c r="AC11" s="20" t="str">
        <f t="shared" si="1"/>
        <v>Y</v>
      </c>
      <c r="AD11" s="22" t="s">
        <v>57</v>
      </c>
      <c r="AE11" s="22" t="s">
        <v>189</v>
      </c>
      <c r="AF11" s="20" t="str">
        <f>IF($A11="","",IF(IF(OR($B11="",$C11="",$D11="",$V11="",$W11=""),"missing required field; ","")&amp;IF(COUNTIF($A$2:$A$201,$A11)&gt;1,"duplicate ID; ","")&amp;IF(AND($B11&lt;&gt;"",$B11&gt;ReportDate),"received after snapshot date; ","")&amp;IF(AND($I11&lt;&gt;"",$B11&lt;&gt;"",$I11&lt;$B11),"acknowledged before receipt; ","")&amp;IF(AND($K11="Y",$L11="",$W11&lt;&gt;"Logged"),"ID requested date missing; ","")&amp;IF(AND($L11&lt;&gt;"",$M11&lt;&gt;"",$M11&lt;$L11),"ID dates out of order; ","")&amp;IF(AND($K11&lt;&gt;"Y",OR($L11&lt;&gt;"",$W11="Awaiting ID")),"ID fields used but ID_Check_Needed is not Y; ","")&amp;IF(AND($R11="Y",$S11=""),"extension notice date missing; ","")&amp;IF(AND($R11&lt;&gt;"Y",$S11&lt;&gt;""),"notice date but Extended is not Y; ","")&amp;IF(AND($W11="Closed",$Y11=""),"closed without response date; ","")&amp;IF(AND($Y11&lt;&gt;"",$W11&lt;&gt;"Closed"),"response date but status not Closed; ","")&amp;IF(AND($Y11&lt;&gt;"",$B11&lt;&gt;"",$Y11&lt;$B11),"response before receipt; ","")&amp;IF(AND($AD11="Y",$AE11=""),"exemption needs a reason in Notes; ","")="","OK","Check: "&amp;IF(OR($B11="",$C11="",$D11="",$V11="",$W11=""),"missing required field; ","")&amp;IF(COUNTIF($A$2:$A$201,$A11)&gt;1,"duplicate ID; ","")&amp;IF(AND($B11&lt;&gt;"",$B11&gt;ReportDate),"received after snapshot date; ","")&amp;IF(AND($I11&lt;&gt;"",$B11&lt;&gt;"",$I11&lt;$B11),"acknowledged before receipt; ","")&amp;IF(AND($K11="Y",$L11="",$W11&lt;&gt;"Logged"),"ID requested date missing; ","")&amp;IF(AND($L11&lt;&gt;"",$M11&lt;&gt;"",$M11&lt;$L11),"ID dates out of order; ","")&amp;IF(AND($K11&lt;&gt;"Y",OR($L11&lt;&gt;"",$W11="Awaiting ID")),"ID fields used but ID_Check_Needed is not Y; ","")&amp;IF(AND($R11="Y",$S11=""),"extension notice date missing; ","")&amp;IF(AND($R11&lt;&gt;"Y",$S11&lt;&gt;""),"notice date but Extended is not Y; ","")&amp;IF(AND($W11="Closed",$Y11=""),"closed without response date; ","")&amp;IF(AND($Y11&lt;&gt;"",$W11&lt;&gt;"Closed"),"response date but status not Closed; ","")&amp;IF(AND($Y11&lt;&gt;"",$B11&lt;&gt;"",$Y11&lt;$B11),"response before receipt; ","")&amp;IF(AND($AD11="Y",$AE11=""),"exemption needs a reason in Notes; ","")))</f>
        <v>OK</v>
      </c>
    </row>
    <row r="12" spans="1:32" x14ac:dyDescent="0.35">
      <c r="A12" s="22" t="s">
        <v>190</v>
      </c>
      <c r="B12" s="23">
        <v>46183</v>
      </c>
      <c r="C12" s="22" t="s">
        <v>88</v>
      </c>
      <c r="D12" s="22" t="s">
        <v>40</v>
      </c>
      <c r="E12" s="20" t="str">
        <f>IF($A12="","",IFERROR(VLOOKUP($D12,ReqTypes,2,FALSE),"?"))</f>
        <v>Art 15</v>
      </c>
      <c r="F12" s="20" t="str">
        <f>IF($A12="","",IFERROR(VLOOKUP($D12,ReqTypes,3,FALSE),"?"))</f>
        <v>Y</v>
      </c>
      <c r="G12" s="22" t="s">
        <v>71</v>
      </c>
      <c r="H12" s="22" t="s">
        <v>81</v>
      </c>
      <c r="I12" s="23">
        <v>46185</v>
      </c>
      <c r="J12" s="20" t="str">
        <f>IF(OR($A12="",$I12=""),"",IF(NETWORKDAYS($B12,$I12,Holidays)-1&lt;=AckDays,"Y","N"))</f>
        <v>Y</v>
      </c>
      <c r="K12" s="22" t="s">
        <v>42</v>
      </c>
      <c r="L12" s="23">
        <v>46189</v>
      </c>
      <c r="M12" s="23">
        <v>46195</v>
      </c>
      <c r="N12" s="20" t="str">
        <f>IF(OR($A12="",$K12&lt;&gt;"Y"),"",IF($L12="","Pending",IF($L12-$B12&lt;=IDPromptDays,"Y","Check")))</f>
        <v>Check</v>
      </c>
      <c r="O12" s="20">
        <f>IF($A12="","",IF(OR($K12&lt;&gt;"Y",$L12=""),0,IF($M12="",MAX(0,ReportDate-$L12),$M12-$L12)))</f>
        <v>6</v>
      </c>
      <c r="P12" s="21">
        <f>IF($A12="","",IF($F12&lt;&gt;"Y","n/a",WORKDAY(EDATE($B12,1)+$O12-1,1,Holidays)))</f>
        <v>46219</v>
      </c>
      <c r="Q12" s="21">
        <f>IF($A12="","",$B12+$O12+InternalDays)</f>
        <v>46204</v>
      </c>
      <c r="R12" s="22" t="s">
        <v>57</v>
      </c>
      <c r="S12" s="23"/>
      <c r="T12" s="20" t="str">
        <f t="shared" si="0"/>
        <v/>
      </c>
      <c r="U12" s="21">
        <f>IF($A12="","",IF($F12&lt;&gt;"Y",$Q12,IF(AND($R12="Y",$T12="Y"),WORKDAY(EDATE($B12,3)+$O12-1,1,Holidays),$P12)))</f>
        <v>46219</v>
      </c>
      <c r="V12" s="22" t="s">
        <v>74</v>
      </c>
      <c r="W12" s="22" t="s">
        <v>102</v>
      </c>
      <c r="X12" s="22" t="s">
        <v>57</v>
      </c>
      <c r="Y12" s="23">
        <v>46216</v>
      </c>
      <c r="Z12" s="20">
        <f>IF($A12="","",IF($Y12&lt;&gt;"",$Y12-$B12,ReportDate-$B12))</f>
        <v>33</v>
      </c>
      <c r="AA12" s="20" t="str">
        <f>IF(OR($A12="",$W12="Closed"),"",$U12-ReportDate)</f>
        <v/>
      </c>
      <c r="AB12" s="20" t="str">
        <f>IF($A12="","",IF($W12="Closed",IF($Y12&lt;=$U12,"Closed on time","Closed late"),IF($W12="Awaiting ID","Paused",IF($AA12&lt;0,"Overdue",IF($AA12&lt;=RedDays,"Red",IF($AA12&lt;=AmberDays,"Amber","Green"))))))</f>
        <v>Closed on time</v>
      </c>
      <c r="AC12" s="20" t="str">
        <f t="shared" si="1"/>
        <v>Y</v>
      </c>
      <c r="AD12" s="22" t="s">
        <v>57</v>
      </c>
      <c r="AE12" s="22" t="s">
        <v>191</v>
      </c>
      <c r="AF12" s="20" t="str">
        <f>IF($A12="","",IF(IF(OR($B12="",$C12="",$D12="",$V12="",$W12=""),"missing required field; ","")&amp;IF(COUNTIF($A$2:$A$201,$A12)&gt;1,"duplicate ID; ","")&amp;IF(AND($B12&lt;&gt;"",$B12&gt;ReportDate),"received after snapshot date; ","")&amp;IF(AND($I12&lt;&gt;"",$B12&lt;&gt;"",$I12&lt;$B12),"acknowledged before receipt; ","")&amp;IF(AND($K12="Y",$L12="",$W12&lt;&gt;"Logged"),"ID requested date missing; ","")&amp;IF(AND($L12&lt;&gt;"",$M12&lt;&gt;"",$M12&lt;$L12),"ID dates out of order; ","")&amp;IF(AND($K12&lt;&gt;"Y",OR($L12&lt;&gt;"",$W12="Awaiting ID")),"ID fields used but ID_Check_Needed is not Y; ","")&amp;IF(AND($R12="Y",$S12=""),"extension notice date missing; ","")&amp;IF(AND($R12&lt;&gt;"Y",$S12&lt;&gt;""),"notice date but Extended is not Y; ","")&amp;IF(AND($W12="Closed",$Y12=""),"closed without response date; ","")&amp;IF(AND($Y12&lt;&gt;"",$W12&lt;&gt;"Closed"),"response date but status not Closed; ","")&amp;IF(AND($Y12&lt;&gt;"",$B12&lt;&gt;"",$Y12&lt;$B12),"response before receipt; ","")&amp;IF(AND($AD12="Y",$AE12=""),"exemption needs a reason in Notes; ","")="","OK","Check: "&amp;IF(OR($B12="",$C12="",$D12="",$V12="",$W12=""),"missing required field; ","")&amp;IF(COUNTIF($A$2:$A$201,$A12)&gt;1,"duplicate ID; ","")&amp;IF(AND($B12&lt;&gt;"",$B12&gt;ReportDate),"received after snapshot date; ","")&amp;IF(AND($I12&lt;&gt;"",$B12&lt;&gt;"",$I12&lt;$B12),"acknowledged before receipt; ","")&amp;IF(AND($K12="Y",$L12="",$W12&lt;&gt;"Logged"),"ID requested date missing; ","")&amp;IF(AND($L12&lt;&gt;"",$M12&lt;&gt;"",$M12&lt;$L12),"ID dates out of order; ","")&amp;IF(AND($K12&lt;&gt;"Y",OR($L12&lt;&gt;"",$W12="Awaiting ID")),"ID fields used but ID_Check_Needed is not Y; ","")&amp;IF(AND($R12="Y",$S12=""),"extension notice date missing; ","")&amp;IF(AND($R12&lt;&gt;"Y",$S12&lt;&gt;""),"notice date but Extended is not Y; ","")&amp;IF(AND($W12="Closed",$Y12=""),"closed without response date; ","")&amp;IF(AND($Y12&lt;&gt;"",$W12&lt;&gt;"Closed"),"response date but status not Closed; ","")&amp;IF(AND($Y12&lt;&gt;"",$B12&lt;&gt;"",$Y12&lt;$B12),"response before receipt; ","")&amp;IF(AND($AD12="Y",$AE12=""),"exemption needs a reason in Notes; ","")))</f>
        <v>OK</v>
      </c>
    </row>
    <row r="13" spans="1:32" x14ac:dyDescent="0.35">
      <c r="A13" s="22" t="s">
        <v>192</v>
      </c>
      <c r="B13" s="23">
        <v>46188</v>
      </c>
      <c r="C13" s="22" t="s">
        <v>70</v>
      </c>
      <c r="D13" s="22" t="s">
        <v>49</v>
      </c>
      <c r="E13" s="20" t="str">
        <f>IF($A13="","",IFERROR(VLOOKUP($D13,ReqTypes,2,FALSE),"?"))</f>
        <v>Art 20</v>
      </c>
      <c r="F13" s="20" t="str">
        <f>IF($A13="","",IFERROR(VLOOKUP($D13,ReqTypes,3,FALSE),"?"))</f>
        <v>Y</v>
      </c>
      <c r="G13" s="22" t="s">
        <v>71</v>
      </c>
      <c r="H13" s="22" t="s">
        <v>72</v>
      </c>
      <c r="I13" s="23">
        <v>46189</v>
      </c>
      <c r="J13" s="20" t="str">
        <f>IF(OR($A13="",$I13=""),"",IF(NETWORKDAYS($B13,$I13,Holidays)-1&lt;=AckDays,"Y","N"))</f>
        <v>Y</v>
      </c>
      <c r="K13" s="22" t="s">
        <v>57</v>
      </c>
      <c r="L13" s="23"/>
      <c r="M13" s="23"/>
      <c r="N13" s="20" t="str">
        <f>IF(OR($A13="",$K13&lt;&gt;"Y"),"",IF($L13="","Pending",IF($L13-$B13&lt;=IDPromptDays,"Y","Check")))</f>
        <v/>
      </c>
      <c r="O13" s="20">
        <f>IF($A13="","",IF(OR($K13&lt;&gt;"Y",$L13=""),0,IF($M13="",MAX(0,ReportDate-$L13),$M13-$L13)))</f>
        <v>0</v>
      </c>
      <c r="P13" s="21">
        <f>IF($A13="","",IF($F13&lt;&gt;"Y","n/a",WORKDAY(EDATE($B13,1)+$O13-1,1,Holidays)))</f>
        <v>46218</v>
      </c>
      <c r="Q13" s="21">
        <f>IF($A13="","",$B13+$O13+InternalDays)</f>
        <v>46203</v>
      </c>
      <c r="R13" s="22" t="s">
        <v>57</v>
      </c>
      <c r="S13" s="23"/>
      <c r="T13" s="20" t="str">
        <f t="shared" si="0"/>
        <v/>
      </c>
      <c r="U13" s="21">
        <f>IF($A13="","",IF($F13&lt;&gt;"Y",$Q13,IF(AND($R13="Y",$T13="Y"),WORKDAY(EDATE($B13,3)+$O13-1,1,Holidays),$P13)))</f>
        <v>46218</v>
      </c>
      <c r="V13" s="22" t="s">
        <v>97</v>
      </c>
      <c r="W13" s="22" t="s">
        <v>102</v>
      </c>
      <c r="X13" s="22" t="s">
        <v>57</v>
      </c>
      <c r="Y13" s="23">
        <v>46202</v>
      </c>
      <c r="Z13" s="20">
        <f>IF($A13="","",IF($Y13&lt;&gt;"",$Y13-$B13,ReportDate-$B13))</f>
        <v>14</v>
      </c>
      <c r="AA13" s="20" t="str">
        <f>IF(OR($A13="",$W13="Closed"),"",$U13-ReportDate)</f>
        <v/>
      </c>
      <c r="AB13" s="20" t="str">
        <f>IF($A13="","",IF($W13="Closed",IF($Y13&lt;=$U13,"Closed on time","Closed late"),IF($W13="Awaiting ID","Paused",IF($AA13&lt;0,"Overdue",IF($AA13&lt;=RedDays,"Red",IF($AA13&lt;=AmberDays,"Amber","Green"))))))</f>
        <v>Closed on time</v>
      </c>
      <c r="AC13" s="20" t="str">
        <f t="shared" si="1"/>
        <v>Y</v>
      </c>
      <c r="AD13" s="22" t="s">
        <v>57</v>
      </c>
      <c r="AE13" s="22"/>
      <c r="AF13" s="20" t="str">
        <f>IF($A13="","",IF(IF(OR($B13="",$C13="",$D13="",$V13="",$W13=""),"missing required field; ","")&amp;IF(COUNTIF($A$2:$A$201,$A13)&gt;1,"duplicate ID; ","")&amp;IF(AND($B13&lt;&gt;"",$B13&gt;ReportDate),"received after snapshot date; ","")&amp;IF(AND($I13&lt;&gt;"",$B13&lt;&gt;"",$I13&lt;$B13),"acknowledged before receipt; ","")&amp;IF(AND($K13="Y",$L13="",$W13&lt;&gt;"Logged"),"ID requested date missing; ","")&amp;IF(AND($L13&lt;&gt;"",$M13&lt;&gt;"",$M13&lt;$L13),"ID dates out of order; ","")&amp;IF(AND($K13&lt;&gt;"Y",OR($L13&lt;&gt;"",$W13="Awaiting ID")),"ID fields used but ID_Check_Needed is not Y; ","")&amp;IF(AND($R13="Y",$S13=""),"extension notice date missing; ","")&amp;IF(AND($R13&lt;&gt;"Y",$S13&lt;&gt;""),"notice date but Extended is not Y; ","")&amp;IF(AND($W13="Closed",$Y13=""),"closed without response date; ","")&amp;IF(AND($Y13&lt;&gt;"",$W13&lt;&gt;"Closed"),"response date but status not Closed; ","")&amp;IF(AND($Y13&lt;&gt;"",$B13&lt;&gt;"",$Y13&lt;$B13),"response before receipt; ","")&amp;IF(AND($AD13="Y",$AE13=""),"exemption needs a reason in Notes; ","")="","OK","Check: "&amp;IF(OR($B13="",$C13="",$D13="",$V13="",$W13=""),"missing required field; ","")&amp;IF(COUNTIF($A$2:$A$201,$A13)&gt;1,"duplicate ID; ","")&amp;IF(AND($B13&lt;&gt;"",$B13&gt;ReportDate),"received after snapshot date; ","")&amp;IF(AND($I13&lt;&gt;"",$B13&lt;&gt;"",$I13&lt;$B13),"acknowledged before receipt; ","")&amp;IF(AND($K13="Y",$L13="",$W13&lt;&gt;"Logged"),"ID requested date missing; ","")&amp;IF(AND($L13&lt;&gt;"",$M13&lt;&gt;"",$M13&lt;$L13),"ID dates out of order; ","")&amp;IF(AND($K13&lt;&gt;"Y",OR($L13&lt;&gt;"",$W13="Awaiting ID")),"ID fields used but ID_Check_Needed is not Y; ","")&amp;IF(AND($R13="Y",$S13=""),"extension notice date missing; ","")&amp;IF(AND($R13&lt;&gt;"Y",$S13&lt;&gt;""),"notice date but Extended is not Y; ","")&amp;IF(AND($W13="Closed",$Y13=""),"closed without response date; ","")&amp;IF(AND($Y13&lt;&gt;"",$W13&lt;&gt;"Closed"),"response date but status not Closed; ","")&amp;IF(AND($Y13&lt;&gt;"",$B13&lt;&gt;"",$Y13&lt;$B13),"response before receipt; ","")&amp;IF(AND($AD13="Y",$AE13=""),"exemption needs a reason in Notes; ","")))</f>
        <v>OK</v>
      </c>
    </row>
    <row r="14" spans="1:32" x14ac:dyDescent="0.35">
      <c r="A14" s="22" t="s">
        <v>193</v>
      </c>
      <c r="B14" s="23">
        <v>46191</v>
      </c>
      <c r="C14" s="22" t="s">
        <v>79</v>
      </c>
      <c r="D14" s="22" t="s">
        <v>40</v>
      </c>
      <c r="E14" s="20" t="str">
        <f>IF($A14="","",IFERROR(VLOOKUP($D14,ReqTypes,2,FALSE),"?"))</f>
        <v>Art 15</v>
      </c>
      <c r="F14" s="20" t="str">
        <f>IF($A14="","",IFERROR(VLOOKUP($D14,ReqTypes,3,FALSE),"?"))</f>
        <v>Y</v>
      </c>
      <c r="G14" s="22" t="s">
        <v>71</v>
      </c>
      <c r="H14" s="22" t="s">
        <v>90</v>
      </c>
      <c r="I14" s="23">
        <v>46192</v>
      </c>
      <c r="J14" s="20" t="str">
        <f>IF(OR($A14="",$I14=""),"",IF(NETWORKDAYS($B14,$I14,Holidays)-1&lt;=AckDays,"Y","N"))</f>
        <v>Y</v>
      </c>
      <c r="K14" s="22" t="s">
        <v>57</v>
      </c>
      <c r="L14" s="23"/>
      <c r="M14" s="23"/>
      <c r="N14" s="20" t="str">
        <f>IF(OR($A14="",$K14&lt;&gt;"Y"),"",IF($L14="","Pending",IF($L14-$B14&lt;=IDPromptDays,"Y","Check")))</f>
        <v/>
      </c>
      <c r="O14" s="20">
        <f>IF($A14="","",IF(OR($K14&lt;&gt;"Y",$L14=""),0,IF($M14="",MAX(0,ReportDate-$L14),$M14-$L14)))</f>
        <v>0</v>
      </c>
      <c r="P14" s="21">
        <f>IF($A14="","",IF($F14&lt;&gt;"Y","n/a",WORKDAY(EDATE($B14,1)+$O14-1,1,Holidays)))</f>
        <v>46223</v>
      </c>
      <c r="Q14" s="21">
        <f>IF($A14="","",$B14+$O14+InternalDays)</f>
        <v>46206</v>
      </c>
      <c r="R14" s="22" t="s">
        <v>57</v>
      </c>
      <c r="S14" s="23"/>
      <c r="T14" s="20" t="str">
        <f t="shared" si="0"/>
        <v/>
      </c>
      <c r="U14" s="21">
        <f>IF($A14="","",IF($F14&lt;&gt;"Y",$Q14,IF(AND($R14="Y",$T14="Y"),WORKDAY(EDATE($B14,3)+$O14-1,1,Holidays),$P14)))</f>
        <v>46223</v>
      </c>
      <c r="V14" s="22" t="s">
        <v>74</v>
      </c>
      <c r="W14" s="22" t="s">
        <v>102</v>
      </c>
      <c r="X14" s="22" t="s">
        <v>57</v>
      </c>
      <c r="Y14" s="23">
        <v>46209</v>
      </c>
      <c r="Z14" s="20">
        <f>IF($A14="","",IF($Y14&lt;&gt;"",$Y14-$B14,ReportDate-$B14))</f>
        <v>18</v>
      </c>
      <c r="AA14" s="20" t="str">
        <f>IF(OR($A14="",$W14="Closed"),"",$U14-ReportDate)</f>
        <v/>
      </c>
      <c r="AB14" s="20" t="str">
        <f>IF($A14="","",IF($W14="Closed",IF($Y14&lt;=$U14,"Closed on time","Closed late"),IF($W14="Awaiting ID","Paused",IF($AA14&lt;0,"Overdue",IF($AA14&lt;=RedDays,"Red",IF($AA14&lt;=AmberDays,"Amber","Green"))))))</f>
        <v>Closed on time</v>
      </c>
      <c r="AC14" s="20" t="str">
        <f t="shared" si="1"/>
        <v>Y</v>
      </c>
      <c r="AD14" s="22" t="s">
        <v>57</v>
      </c>
      <c r="AE14" s="22"/>
      <c r="AF14" s="20" t="str">
        <f>IF($A14="","",IF(IF(OR($B14="",$C14="",$D14="",$V14="",$W14=""),"missing required field; ","")&amp;IF(COUNTIF($A$2:$A$201,$A14)&gt;1,"duplicate ID; ","")&amp;IF(AND($B14&lt;&gt;"",$B14&gt;ReportDate),"received after snapshot date; ","")&amp;IF(AND($I14&lt;&gt;"",$B14&lt;&gt;"",$I14&lt;$B14),"acknowledged before receipt; ","")&amp;IF(AND($K14="Y",$L14="",$W14&lt;&gt;"Logged"),"ID requested date missing; ","")&amp;IF(AND($L14&lt;&gt;"",$M14&lt;&gt;"",$M14&lt;$L14),"ID dates out of order; ","")&amp;IF(AND($K14&lt;&gt;"Y",OR($L14&lt;&gt;"",$W14="Awaiting ID")),"ID fields used but ID_Check_Needed is not Y; ","")&amp;IF(AND($R14="Y",$S14=""),"extension notice date missing; ","")&amp;IF(AND($R14&lt;&gt;"Y",$S14&lt;&gt;""),"notice date but Extended is not Y; ","")&amp;IF(AND($W14="Closed",$Y14=""),"closed without response date; ","")&amp;IF(AND($Y14&lt;&gt;"",$W14&lt;&gt;"Closed"),"response date but status not Closed; ","")&amp;IF(AND($Y14&lt;&gt;"",$B14&lt;&gt;"",$Y14&lt;$B14),"response before receipt; ","")&amp;IF(AND($AD14="Y",$AE14=""),"exemption needs a reason in Notes; ","")="","OK","Check: "&amp;IF(OR($B14="",$C14="",$D14="",$V14="",$W14=""),"missing required field; ","")&amp;IF(COUNTIF($A$2:$A$201,$A14)&gt;1,"duplicate ID; ","")&amp;IF(AND($B14&lt;&gt;"",$B14&gt;ReportDate),"received after snapshot date; ","")&amp;IF(AND($I14&lt;&gt;"",$B14&lt;&gt;"",$I14&lt;$B14),"acknowledged before receipt; ","")&amp;IF(AND($K14="Y",$L14="",$W14&lt;&gt;"Logged"),"ID requested date missing; ","")&amp;IF(AND($L14&lt;&gt;"",$M14&lt;&gt;"",$M14&lt;$L14),"ID dates out of order; ","")&amp;IF(AND($K14&lt;&gt;"Y",OR($L14&lt;&gt;"",$W14="Awaiting ID")),"ID fields used but ID_Check_Needed is not Y; ","")&amp;IF(AND($R14="Y",$S14=""),"extension notice date missing; ","")&amp;IF(AND($R14&lt;&gt;"Y",$S14&lt;&gt;""),"notice date but Extended is not Y; ","")&amp;IF(AND($W14="Closed",$Y14=""),"closed without response date; ","")&amp;IF(AND($Y14&lt;&gt;"",$W14&lt;&gt;"Closed"),"response date but status not Closed; ","")&amp;IF(AND($Y14&lt;&gt;"",$B14&lt;&gt;"",$Y14&lt;$B14),"response before receipt; ","")&amp;IF(AND($AD14="Y",$AE14=""),"exemption needs a reason in Notes; ","")))</f>
        <v>OK</v>
      </c>
    </row>
    <row r="15" spans="1:32" x14ac:dyDescent="0.35">
      <c r="A15" s="22" t="s">
        <v>194</v>
      </c>
      <c r="B15" s="23">
        <v>46197</v>
      </c>
      <c r="C15" s="22" t="s">
        <v>70</v>
      </c>
      <c r="D15" s="22" t="s">
        <v>55</v>
      </c>
      <c r="E15" s="20" t="str">
        <f>IF($A15="","",IFERROR(VLOOKUP($D15,ReqTypes,2,FALSE),"?"))</f>
        <v>n/a</v>
      </c>
      <c r="F15" s="20" t="str">
        <f>IF($A15="","",IFERROR(VLOOKUP($D15,ReqTypes,3,FALSE),"?"))</f>
        <v>N</v>
      </c>
      <c r="G15" s="22" t="s">
        <v>71</v>
      </c>
      <c r="H15" s="22" t="s">
        <v>104</v>
      </c>
      <c r="I15" s="23">
        <v>46198</v>
      </c>
      <c r="J15" s="20" t="str">
        <f>IF(OR($A15="",$I15=""),"",IF(NETWORKDAYS($B15,$I15,Holidays)-1&lt;=AckDays,"Y","N"))</f>
        <v>Y</v>
      </c>
      <c r="K15" s="22" t="s">
        <v>57</v>
      </c>
      <c r="L15" s="23"/>
      <c r="M15" s="23"/>
      <c r="N15" s="20" t="str">
        <f>IF(OR($A15="",$K15&lt;&gt;"Y"),"",IF($L15="","Pending",IF($L15-$B15&lt;=IDPromptDays,"Y","Check")))</f>
        <v/>
      </c>
      <c r="O15" s="20">
        <f>IF($A15="","",IF(OR($K15&lt;&gt;"Y",$L15=""),0,IF($M15="",MAX(0,ReportDate-$L15),$M15-$L15)))</f>
        <v>0</v>
      </c>
      <c r="P15" s="21" t="str">
        <f>IF($A15="","",IF($F15&lt;&gt;"Y","n/a",WORKDAY(EDATE($B15,1)+$O15-1,1,Holidays)))</f>
        <v>n/a</v>
      </c>
      <c r="Q15" s="21">
        <f>IF($A15="","",$B15+$O15+InternalDays)</f>
        <v>46212</v>
      </c>
      <c r="R15" s="22" t="s">
        <v>57</v>
      </c>
      <c r="S15" s="23"/>
      <c r="T15" s="20" t="str">
        <f t="shared" si="0"/>
        <v/>
      </c>
      <c r="U15" s="21">
        <f>IF($A15="","",IF($F15&lt;&gt;"Y",$Q15,IF(AND($R15="Y",$T15="Y"),WORKDAY(EDATE($B15,3)+$O15-1,1,Holidays),$P15)))</f>
        <v>46212</v>
      </c>
      <c r="V15" s="22" t="s">
        <v>83</v>
      </c>
      <c r="W15" s="22" t="s">
        <v>102</v>
      </c>
      <c r="X15" s="22" t="s">
        <v>57</v>
      </c>
      <c r="Y15" s="23">
        <v>46209</v>
      </c>
      <c r="Z15" s="20">
        <f>IF($A15="","",IF($Y15&lt;&gt;"",$Y15-$B15,ReportDate-$B15))</f>
        <v>12</v>
      </c>
      <c r="AA15" s="20" t="str">
        <f>IF(OR($A15="",$W15="Closed"),"",$U15-ReportDate)</f>
        <v/>
      </c>
      <c r="AB15" s="20" t="str">
        <f>IF($A15="","",IF($W15="Closed",IF($Y15&lt;=$U15,"Closed on time","Closed late"),IF($W15="Awaiting ID","Paused",IF($AA15&lt;0,"Overdue",IF($AA15&lt;=RedDays,"Red",IF($AA15&lt;=AmberDays,"Amber","Green"))))))</f>
        <v>Closed on time</v>
      </c>
      <c r="AC15" s="20" t="str">
        <f t="shared" si="1"/>
        <v>Y</v>
      </c>
      <c r="AD15" s="22" t="s">
        <v>57</v>
      </c>
      <c r="AE15" s="22" t="s">
        <v>195</v>
      </c>
      <c r="AF15" s="20" t="str">
        <f>IF($A15="","",IF(IF(OR($B15="",$C15="",$D15="",$V15="",$W15=""),"missing required field; ","")&amp;IF(COUNTIF($A$2:$A$201,$A15)&gt;1,"duplicate ID; ","")&amp;IF(AND($B15&lt;&gt;"",$B15&gt;ReportDate),"received after snapshot date; ","")&amp;IF(AND($I15&lt;&gt;"",$B15&lt;&gt;"",$I15&lt;$B15),"acknowledged before receipt; ","")&amp;IF(AND($K15="Y",$L15="",$W15&lt;&gt;"Logged"),"ID requested date missing; ","")&amp;IF(AND($L15&lt;&gt;"",$M15&lt;&gt;"",$M15&lt;$L15),"ID dates out of order; ","")&amp;IF(AND($K15&lt;&gt;"Y",OR($L15&lt;&gt;"",$W15="Awaiting ID")),"ID fields used but ID_Check_Needed is not Y; ","")&amp;IF(AND($R15="Y",$S15=""),"extension notice date missing; ","")&amp;IF(AND($R15&lt;&gt;"Y",$S15&lt;&gt;""),"notice date but Extended is not Y; ","")&amp;IF(AND($W15="Closed",$Y15=""),"closed without response date; ","")&amp;IF(AND($Y15&lt;&gt;"",$W15&lt;&gt;"Closed"),"response date but status not Closed; ","")&amp;IF(AND($Y15&lt;&gt;"",$B15&lt;&gt;"",$Y15&lt;$B15),"response before receipt; ","")&amp;IF(AND($AD15="Y",$AE15=""),"exemption needs a reason in Notes; ","")="","OK","Check: "&amp;IF(OR($B15="",$C15="",$D15="",$V15="",$W15=""),"missing required field; ","")&amp;IF(COUNTIF($A$2:$A$201,$A15)&gt;1,"duplicate ID; ","")&amp;IF(AND($B15&lt;&gt;"",$B15&gt;ReportDate),"received after snapshot date; ","")&amp;IF(AND($I15&lt;&gt;"",$B15&lt;&gt;"",$I15&lt;$B15),"acknowledged before receipt; ","")&amp;IF(AND($K15="Y",$L15="",$W15&lt;&gt;"Logged"),"ID requested date missing; ","")&amp;IF(AND($L15&lt;&gt;"",$M15&lt;&gt;"",$M15&lt;$L15),"ID dates out of order; ","")&amp;IF(AND($K15&lt;&gt;"Y",OR($L15&lt;&gt;"",$W15="Awaiting ID")),"ID fields used but ID_Check_Needed is not Y; ","")&amp;IF(AND($R15="Y",$S15=""),"extension notice date missing; ","")&amp;IF(AND($R15&lt;&gt;"Y",$S15&lt;&gt;""),"notice date but Extended is not Y; ","")&amp;IF(AND($W15="Closed",$Y15=""),"closed without response date; ","")&amp;IF(AND($Y15&lt;&gt;"",$W15&lt;&gt;"Closed"),"response date but status not Closed; ","")&amp;IF(AND($Y15&lt;&gt;"",$B15&lt;&gt;"",$Y15&lt;$B15),"response before receipt; ","")&amp;IF(AND($AD15="Y",$AE15=""),"exemption needs a reason in Notes; ","")))</f>
        <v>OK</v>
      </c>
    </row>
    <row r="16" spans="1:32" x14ac:dyDescent="0.35">
      <c r="A16" s="22" t="s">
        <v>196</v>
      </c>
      <c r="B16" s="23">
        <v>46202</v>
      </c>
      <c r="C16" s="22" t="s">
        <v>70</v>
      </c>
      <c r="D16" s="22" t="s">
        <v>40</v>
      </c>
      <c r="E16" s="20" t="str">
        <f>IF($A16="","",IFERROR(VLOOKUP($D16,ReqTypes,2,FALSE),"?"))</f>
        <v>Art 15</v>
      </c>
      <c r="F16" s="20" t="str">
        <f>IF($A16="","",IFERROR(VLOOKUP($D16,ReqTypes,3,FALSE),"?"))</f>
        <v>Y</v>
      </c>
      <c r="G16" s="22" t="s">
        <v>89</v>
      </c>
      <c r="H16" s="22" t="s">
        <v>91</v>
      </c>
      <c r="I16" s="23">
        <v>46203</v>
      </c>
      <c r="J16" s="20" t="str">
        <f>IF(OR($A16="",$I16=""),"",IF(NETWORKDAYS($B16,$I16,Holidays)-1&lt;=AckDays,"Y","N"))</f>
        <v>Y</v>
      </c>
      <c r="K16" s="22" t="s">
        <v>42</v>
      </c>
      <c r="L16" s="23">
        <v>46203</v>
      </c>
      <c r="M16" s="23">
        <v>46206</v>
      </c>
      <c r="N16" s="20" t="str">
        <f>IF(OR($A16="",$K16&lt;&gt;"Y"),"",IF($L16="","Pending",IF($L16-$B16&lt;=IDPromptDays,"Y","Check")))</f>
        <v>Y</v>
      </c>
      <c r="O16" s="20">
        <f>IF($A16="","",IF(OR($K16&lt;&gt;"Y",$L16=""),0,IF($M16="",MAX(0,ReportDate-$L16),$M16-$L16)))</f>
        <v>3</v>
      </c>
      <c r="P16" s="21">
        <f>IF($A16="","",IF($F16&lt;&gt;"Y","n/a",WORKDAY(EDATE($B16,1)+$O16-1,1,Holidays)))</f>
        <v>46238</v>
      </c>
      <c r="Q16" s="21">
        <f>IF($A16="","",$B16+$O16+InternalDays)</f>
        <v>46220</v>
      </c>
      <c r="R16" s="22" t="s">
        <v>42</v>
      </c>
      <c r="S16" s="23">
        <v>46222</v>
      </c>
      <c r="T16" s="20" t="str">
        <f t="shared" si="0"/>
        <v>Y</v>
      </c>
      <c r="U16" s="21">
        <f>IF($A16="","",IF($F16&lt;&gt;"Y",$Q16,IF(AND($R16="Y",$T16="Y"),WORKDAY(EDATE($B16,3)+$O16-1,1,Holidays),$P16)))</f>
        <v>46297</v>
      </c>
      <c r="V16" s="22" t="s">
        <v>91</v>
      </c>
      <c r="W16" s="22" t="s">
        <v>102</v>
      </c>
      <c r="X16" s="22" t="s">
        <v>42</v>
      </c>
      <c r="Y16" s="23">
        <v>46272</v>
      </c>
      <c r="Z16" s="20">
        <f>IF($A16="","",IF($Y16&lt;&gt;"",$Y16-$B16,ReportDate-$B16))</f>
        <v>70</v>
      </c>
      <c r="AA16" s="20" t="str">
        <f>IF(OR($A16="",$W16="Closed"),"",$U16-ReportDate)</f>
        <v/>
      </c>
      <c r="AB16" s="20" t="str">
        <f>IF($A16="","",IF($W16="Closed",IF($Y16&lt;=$U16,"Closed on time","Closed late"),IF($W16="Awaiting ID","Paused",IF($AA16&lt;0,"Overdue",IF($AA16&lt;=RedDays,"Red",IF($AA16&lt;=AmberDays,"Amber","Green"))))))</f>
        <v>Closed on time</v>
      </c>
      <c r="AC16" s="20" t="str">
        <f t="shared" si="1"/>
        <v>Y</v>
      </c>
      <c r="AD16" s="22" t="s">
        <v>42</v>
      </c>
      <c r="AE16" s="22" t="s">
        <v>197</v>
      </c>
      <c r="AF16" s="20" t="str">
        <f>IF($A16="","",IF(IF(OR($B16="",$C16="",$D16="",$V16="",$W16=""),"missing required field; ","")&amp;IF(COUNTIF($A$2:$A$201,$A16)&gt;1,"duplicate ID; ","")&amp;IF(AND($B16&lt;&gt;"",$B16&gt;ReportDate),"received after snapshot date; ","")&amp;IF(AND($I16&lt;&gt;"",$B16&lt;&gt;"",$I16&lt;$B16),"acknowledged before receipt; ","")&amp;IF(AND($K16="Y",$L16="",$W16&lt;&gt;"Logged"),"ID requested date missing; ","")&amp;IF(AND($L16&lt;&gt;"",$M16&lt;&gt;"",$M16&lt;$L16),"ID dates out of order; ","")&amp;IF(AND($K16&lt;&gt;"Y",OR($L16&lt;&gt;"",$W16="Awaiting ID")),"ID fields used but ID_Check_Needed is not Y; ","")&amp;IF(AND($R16="Y",$S16=""),"extension notice date missing; ","")&amp;IF(AND($R16&lt;&gt;"Y",$S16&lt;&gt;""),"notice date but Extended is not Y; ","")&amp;IF(AND($W16="Closed",$Y16=""),"closed without response date; ","")&amp;IF(AND($Y16&lt;&gt;"",$W16&lt;&gt;"Closed"),"response date but status not Closed; ","")&amp;IF(AND($Y16&lt;&gt;"",$B16&lt;&gt;"",$Y16&lt;$B16),"response before receipt; ","")&amp;IF(AND($AD16="Y",$AE16=""),"exemption needs a reason in Notes; ","")="","OK","Check: "&amp;IF(OR($B16="",$C16="",$D16="",$V16="",$W16=""),"missing required field; ","")&amp;IF(COUNTIF($A$2:$A$201,$A16)&gt;1,"duplicate ID; ","")&amp;IF(AND($B16&lt;&gt;"",$B16&gt;ReportDate),"received after snapshot date; ","")&amp;IF(AND($I16&lt;&gt;"",$B16&lt;&gt;"",$I16&lt;$B16),"acknowledged before receipt; ","")&amp;IF(AND($K16="Y",$L16="",$W16&lt;&gt;"Logged"),"ID requested date missing; ","")&amp;IF(AND($L16&lt;&gt;"",$M16&lt;&gt;"",$M16&lt;$L16),"ID dates out of order; ","")&amp;IF(AND($K16&lt;&gt;"Y",OR($L16&lt;&gt;"",$W16="Awaiting ID")),"ID fields used but ID_Check_Needed is not Y; ","")&amp;IF(AND($R16="Y",$S16=""),"extension notice date missing; ","")&amp;IF(AND($R16&lt;&gt;"Y",$S16&lt;&gt;""),"notice date but Extended is not Y; ","")&amp;IF(AND($W16="Closed",$Y16=""),"closed without response date; ","")&amp;IF(AND($Y16&lt;&gt;"",$W16&lt;&gt;"Closed"),"response date but status not Closed; ","")&amp;IF(AND($Y16&lt;&gt;"",$B16&lt;&gt;"",$Y16&lt;$B16),"response before receipt; ","")&amp;IF(AND($AD16="Y",$AE16=""),"exemption needs a reason in Notes; ","")))</f>
        <v>OK</v>
      </c>
    </row>
    <row r="17" spans="1:32" x14ac:dyDescent="0.35">
      <c r="A17" s="22" t="s">
        <v>198</v>
      </c>
      <c r="B17" s="23">
        <v>46205</v>
      </c>
      <c r="C17" s="22" t="s">
        <v>79</v>
      </c>
      <c r="D17" s="22" t="s">
        <v>45</v>
      </c>
      <c r="E17" s="20" t="str">
        <f>IF($A17="","",IFERROR(VLOOKUP($D17,ReqTypes,2,FALSE),"?"))</f>
        <v>Art 17</v>
      </c>
      <c r="F17" s="20" t="str">
        <f>IF($A17="","",IFERROR(VLOOKUP($D17,ReqTypes,3,FALSE),"?"))</f>
        <v>Y</v>
      </c>
      <c r="G17" s="22" t="s">
        <v>71</v>
      </c>
      <c r="H17" s="22" t="s">
        <v>72</v>
      </c>
      <c r="I17" s="23">
        <v>46206</v>
      </c>
      <c r="J17" s="20" t="str">
        <f>IF(OR($A17="",$I17=""),"",IF(NETWORKDAYS($B17,$I17,Holidays)-1&lt;=AckDays,"Y","N"))</f>
        <v>Y</v>
      </c>
      <c r="K17" s="22" t="s">
        <v>57</v>
      </c>
      <c r="L17" s="23"/>
      <c r="M17" s="23"/>
      <c r="N17" s="20" t="str">
        <f>IF(OR($A17="",$K17&lt;&gt;"Y"),"",IF($L17="","Pending",IF($L17-$B17&lt;=IDPromptDays,"Y","Check")))</f>
        <v/>
      </c>
      <c r="O17" s="20">
        <f>IF($A17="","",IF(OR($K17&lt;&gt;"Y",$L17=""),0,IF($M17="",MAX(0,ReportDate-$L17),$M17-$L17)))</f>
        <v>0</v>
      </c>
      <c r="P17" s="21">
        <f>IF($A17="","",IF($F17&lt;&gt;"Y","n/a",WORKDAY(EDATE($B17,1)+$O17-1,1,Holidays)))</f>
        <v>46238</v>
      </c>
      <c r="Q17" s="21">
        <f>IF($A17="","",$B17+$O17+InternalDays)</f>
        <v>46220</v>
      </c>
      <c r="R17" s="22" t="s">
        <v>57</v>
      </c>
      <c r="S17" s="23"/>
      <c r="T17" s="20" t="str">
        <f t="shared" si="0"/>
        <v/>
      </c>
      <c r="U17" s="21">
        <f>IF($A17="","",IF($F17&lt;&gt;"Y",$Q17,IF(AND($R17="Y",$T17="Y"),WORKDAY(EDATE($B17,3)+$O17-1,1,Holidays),$P17)))</f>
        <v>46238</v>
      </c>
      <c r="V17" s="22" t="s">
        <v>97</v>
      </c>
      <c r="W17" s="22" t="s">
        <v>102</v>
      </c>
      <c r="X17" s="22" t="s">
        <v>57</v>
      </c>
      <c r="Y17" s="23">
        <v>46213</v>
      </c>
      <c r="Z17" s="20">
        <f>IF($A17="","",IF($Y17&lt;&gt;"",$Y17-$B17,ReportDate-$B17))</f>
        <v>8</v>
      </c>
      <c r="AA17" s="20" t="str">
        <f>IF(OR($A17="",$W17="Closed"),"",$U17-ReportDate)</f>
        <v/>
      </c>
      <c r="AB17" s="20" t="str">
        <f>IF($A17="","",IF($W17="Closed",IF($Y17&lt;=$U17,"Closed on time","Closed late"),IF($W17="Awaiting ID","Paused",IF($AA17&lt;0,"Overdue",IF($AA17&lt;=RedDays,"Red",IF($AA17&lt;=AmberDays,"Amber","Green"))))))</f>
        <v>Closed on time</v>
      </c>
      <c r="AC17" s="20" t="str">
        <f t="shared" si="1"/>
        <v>Y</v>
      </c>
      <c r="AD17" s="22" t="s">
        <v>57</v>
      </c>
      <c r="AE17" s="22"/>
      <c r="AF17" s="20" t="str">
        <f>IF($A17="","",IF(IF(OR($B17="",$C17="",$D17="",$V17="",$W17=""),"missing required field; ","")&amp;IF(COUNTIF($A$2:$A$201,$A17)&gt;1,"duplicate ID; ","")&amp;IF(AND($B17&lt;&gt;"",$B17&gt;ReportDate),"received after snapshot date; ","")&amp;IF(AND($I17&lt;&gt;"",$B17&lt;&gt;"",$I17&lt;$B17),"acknowledged before receipt; ","")&amp;IF(AND($K17="Y",$L17="",$W17&lt;&gt;"Logged"),"ID requested date missing; ","")&amp;IF(AND($L17&lt;&gt;"",$M17&lt;&gt;"",$M17&lt;$L17),"ID dates out of order; ","")&amp;IF(AND($K17&lt;&gt;"Y",OR($L17&lt;&gt;"",$W17="Awaiting ID")),"ID fields used but ID_Check_Needed is not Y; ","")&amp;IF(AND($R17="Y",$S17=""),"extension notice date missing; ","")&amp;IF(AND($R17&lt;&gt;"Y",$S17&lt;&gt;""),"notice date but Extended is not Y; ","")&amp;IF(AND($W17="Closed",$Y17=""),"closed without response date; ","")&amp;IF(AND($Y17&lt;&gt;"",$W17&lt;&gt;"Closed"),"response date but status not Closed; ","")&amp;IF(AND($Y17&lt;&gt;"",$B17&lt;&gt;"",$Y17&lt;$B17),"response before receipt; ","")&amp;IF(AND($AD17="Y",$AE17=""),"exemption needs a reason in Notes; ","")="","OK","Check: "&amp;IF(OR($B17="",$C17="",$D17="",$V17="",$W17=""),"missing required field; ","")&amp;IF(COUNTIF($A$2:$A$201,$A17)&gt;1,"duplicate ID; ","")&amp;IF(AND($B17&lt;&gt;"",$B17&gt;ReportDate),"received after snapshot date; ","")&amp;IF(AND($I17&lt;&gt;"",$B17&lt;&gt;"",$I17&lt;$B17),"acknowledged before receipt; ","")&amp;IF(AND($K17="Y",$L17="",$W17&lt;&gt;"Logged"),"ID requested date missing; ","")&amp;IF(AND($L17&lt;&gt;"",$M17&lt;&gt;"",$M17&lt;$L17),"ID dates out of order; ","")&amp;IF(AND($K17&lt;&gt;"Y",OR($L17&lt;&gt;"",$W17="Awaiting ID")),"ID fields used but ID_Check_Needed is not Y; ","")&amp;IF(AND($R17="Y",$S17=""),"extension notice date missing; ","")&amp;IF(AND($R17&lt;&gt;"Y",$S17&lt;&gt;""),"notice date but Extended is not Y; ","")&amp;IF(AND($W17="Closed",$Y17=""),"closed without response date; ","")&amp;IF(AND($Y17&lt;&gt;"",$W17&lt;&gt;"Closed"),"response date but status not Closed; ","")&amp;IF(AND($Y17&lt;&gt;"",$B17&lt;&gt;"",$Y17&lt;$B17),"response before receipt; ","")&amp;IF(AND($AD17="Y",$AE17=""),"exemption needs a reason in Notes; ","")))</f>
        <v>OK</v>
      </c>
    </row>
    <row r="18" spans="1:32" x14ac:dyDescent="0.35">
      <c r="A18" s="22" t="s">
        <v>199</v>
      </c>
      <c r="B18" s="23">
        <v>46210</v>
      </c>
      <c r="C18" s="22" t="s">
        <v>70</v>
      </c>
      <c r="D18" s="22" t="s">
        <v>51</v>
      </c>
      <c r="E18" s="20" t="str">
        <f>IF($A18="","",IFERROR(VLOOKUP($D18,ReqTypes,2,FALSE),"?"))</f>
        <v>Art 21(2)</v>
      </c>
      <c r="F18" s="20" t="str">
        <f>IF($A18="","",IFERROR(VLOOKUP($D18,ReqTypes,3,FALSE),"?"))</f>
        <v>Y</v>
      </c>
      <c r="G18" s="22" t="s">
        <v>71</v>
      </c>
      <c r="H18" s="22" t="s">
        <v>90</v>
      </c>
      <c r="I18" s="23">
        <v>46211</v>
      </c>
      <c r="J18" s="20" t="str">
        <f>IF(OR($A18="",$I18=""),"",IF(NETWORKDAYS($B18,$I18,Holidays)-1&lt;=AckDays,"Y","N"))</f>
        <v>Y</v>
      </c>
      <c r="K18" s="22" t="s">
        <v>57</v>
      </c>
      <c r="L18" s="23"/>
      <c r="M18" s="23"/>
      <c r="N18" s="20" t="str">
        <f>IF(OR($A18="",$K18&lt;&gt;"Y"),"",IF($L18="","Pending",IF($L18-$B18&lt;=IDPromptDays,"Y","Check")))</f>
        <v/>
      </c>
      <c r="O18" s="20">
        <f>IF($A18="","",IF(OR($K18&lt;&gt;"Y",$L18=""),0,IF($M18="",MAX(0,ReportDate-$L18),$M18-$L18)))</f>
        <v>0</v>
      </c>
      <c r="P18" s="21">
        <f>IF($A18="","",IF($F18&lt;&gt;"Y","n/a",WORKDAY(EDATE($B18,1)+$O18-1,1,Holidays)))</f>
        <v>46241</v>
      </c>
      <c r="Q18" s="21">
        <f>IF($A18="","",$B18+$O18+InternalDays)</f>
        <v>46225</v>
      </c>
      <c r="R18" s="22" t="s">
        <v>57</v>
      </c>
      <c r="S18" s="23"/>
      <c r="T18" s="20" t="str">
        <f t="shared" si="0"/>
        <v/>
      </c>
      <c r="U18" s="21">
        <f>IF($A18="","",IF($F18&lt;&gt;"Y",$Q18,IF(AND($R18="Y",$T18="Y"),WORKDAY(EDATE($B18,3)+$O18-1,1,Holidays),$P18)))</f>
        <v>46241</v>
      </c>
      <c r="V18" s="22" t="s">
        <v>103</v>
      </c>
      <c r="W18" s="22" t="s">
        <v>102</v>
      </c>
      <c r="X18" s="22" t="s">
        <v>57</v>
      </c>
      <c r="Y18" s="23">
        <v>46212</v>
      </c>
      <c r="Z18" s="20">
        <f>IF($A18="","",IF($Y18&lt;&gt;"",$Y18-$B18,ReportDate-$B18))</f>
        <v>2</v>
      </c>
      <c r="AA18" s="20" t="str">
        <f>IF(OR($A18="",$W18="Closed"),"",$U18-ReportDate)</f>
        <v/>
      </c>
      <c r="AB18" s="20" t="str">
        <f>IF($A18="","",IF($W18="Closed",IF($Y18&lt;=$U18,"Closed on time","Closed late"),IF($W18="Awaiting ID","Paused",IF($AA18&lt;0,"Overdue",IF($AA18&lt;=RedDays,"Red",IF($AA18&lt;=AmberDays,"Amber","Green"))))))</f>
        <v>Closed on time</v>
      </c>
      <c r="AC18" s="20" t="str">
        <f t="shared" si="1"/>
        <v>Y</v>
      </c>
      <c r="AD18" s="22" t="s">
        <v>57</v>
      </c>
      <c r="AE18" s="22"/>
      <c r="AF18" s="20" t="str">
        <f>IF($A18="","",IF(IF(OR($B18="",$C18="",$D18="",$V18="",$W18=""),"missing required field; ","")&amp;IF(COUNTIF($A$2:$A$201,$A18)&gt;1,"duplicate ID; ","")&amp;IF(AND($B18&lt;&gt;"",$B18&gt;ReportDate),"received after snapshot date; ","")&amp;IF(AND($I18&lt;&gt;"",$B18&lt;&gt;"",$I18&lt;$B18),"acknowledged before receipt; ","")&amp;IF(AND($K18="Y",$L18="",$W18&lt;&gt;"Logged"),"ID requested date missing; ","")&amp;IF(AND($L18&lt;&gt;"",$M18&lt;&gt;"",$M18&lt;$L18),"ID dates out of order; ","")&amp;IF(AND($K18&lt;&gt;"Y",OR($L18&lt;&gt;"",$W18="Awaiting ID")),"ID fields used but ID_Check_Needed is not Y; ","")&amp;IF(AND($R18="Y",$S18=""),"extension notice date missing; ","")&amp;IF(AND($R18&lt;&gt;"Y",$S18&lt;&gt;""),"notice date but Extended is not Y; ","")&amp;IF(AND($W18="Closed",$Y18=""),"closed without response date; ","")&amp;IF(AND($Y18&lt;&gt;"",$W18&lt;&gt;"Closed"),"response date but status not Closed; ","")&amp;IF(AND($Y18&lt;&gt;"",$B18&lt;&gt;"",$Y18&lt;$B18),"response before receipt; ","")&amp;IF(AND($AD18="Y",$AE18=""),"exemption needs a reason in Notes; ","")="","OK","Check: "&amp;IF(OR($B18="",$C18="",$D18="",$V18="",$W18=""),"missing required field; ","")&amp;IF(COUNTIF($A$2:$A$201,$A18)&gt;1,"duplicate ID; ","")&amp;IF(AND($B18&lt;&gt;"",$B18&gt;ReportDate),"received after snapshot date; ","")&amp;IF(AND($I18&lt;&gt;"",$B18&lt;&gt;"",$I18&lt;$B18),"acknowledged before receipt; ","")&amp;IF(AND($K18="Y",$L18="",$W18&lt;&gt;"Logged"),"ID requested date missing; ","")&amp;IF(AND($L18&lt;&gt;"",$M18&lt;&gt;"",$M18&lt;$L18),"ID dates out of order; ","")&amp;IF(AND($K18&lt;&gt;"Y",OR($L18&lt;&gt;"",$W18="Awaiting ID")),"ID fields used but ID_Check_Needed is not Y; ","")&amp;IF(AND($R18="Y",$S18=""),"extension notice date missing; ","")&amp;IF(AND($R18&lt;&gt;"Y",$S18&lt;&gt;""),"notice date but Extended is not Y; ","")&amp;IF(AND($W18="Closed",$Y18=""),"closed without response date; ","")&amp;IF(AND($Y18&lt;&gt;"",$W18&lt;&gt;"Closed"),"response date but status not Closed; ","")&amp;IF(AND($Y18&lt;&gt;"",$B18&lt;&gt;"",$Y18&lt;$B18),"response before receipt; ","")&amp;IF(AND($AD18="Y",$AE18=""),"exemption needs a reason in Notes; ","")))</f>
        <v>OK</v>
      </c>
    </row>
    <row r="19" spans="1:32" x14ac:dyDescent="0.35">
      <c r="A19" s="22" t="s">
        <v>200</v>
      </c>
      <c r="B19" s="23">
        <v>46214</v>
      </c>
      <c r="C19" s="22" t="s">
        <v>70</v>
      </c>
      <c r="D19" s="22" t="s">
        <v>40</v>
      </c>
      <c r="E19" s="20" t="str">
        <f>IF($A19="","",IFERROR(VLOOKUP($D19,ReqTypes,2,FALSE),"?"))</f>
        <v>Art 15</v>
      </c>
      <c r="F19" s="20" t="str">
        <f>IF($A19="","",IFERROR(VLOOKUP($D19,ReqTypes,3,FALSE),"?"))</f>
        <v>Y</v>
      </c>
      <c r="G19" s="22" t="s">
        <v>71</v>
      </c>
      <c r="H19" s="22" t="s">
        <v>72</v>
      </c>
      <c r="I19" s="23">
        <v>46216</v>
      </c>
      <c r="J19" s="20" t="str">
        <f>IF(OR($A19="",$I19=""),"",IF(NETWORKDAYS($B19,$I19,Holidays)-1&lt;=AckDays,"Y","N"))</f>
        <v>Y</v>
      </c>
      <c r="K19" s="22" t="s">
        <v>57</v>
      </c>
      <c r="L19" s="23"/>
      <c r="M19" s="23"/>
      <c r="N19" s="20" t="str">
        <f>IF(OR($A19="",$K19&lt;&gt;"Y"),"",IF($L19="","Pending",IF($L19-$B19&lt;=IDPromptDays,"Y","Check")))</f>
        <v/>
      </c>
      <c r="O19" s="20">
        <f>IF($A19="","",IF(OR($K19&lt;&gt;"Y",$L19=""),0,IF($M19="",MAX(0,ReportDate-$L19),$M19-$L19)))</f>
        <v>0</v>
      </c>
      <c r="P19" s="21">
        <f>IF($A19="","",IF($F19&lt;&gt;"Y","n/a",WORKDAY(EDATE($B19,1)+$O19-1,1,Holidays)))</f>
        <v>46245</v>
      </c>
      <c r="Q19" s="21">
        <f>IF($A19="","",$B19+$O19+InternalDays)</f>
        <v>46229</v>
      </c>
      <c r="R19" s="22" t="s">
        <v>57</v>
      </c>
      <c r="S19" s="23"/>
      <c r="T19" s="20" t="str">
        <f t="shared" si="0"/>
        <v/>
      </c>
      <c r="U19" s="21">
        <f>IF($A19="","",IF($F19&lt;&gt;"Y",$Q19,IF(AND($R19="Y",$T19="Y"),WORKDAY(EDATE($B19,3)+$O19-1,1,Holidays),$P19)))</f>
        <v>46245</v>
      </c>
      <c r="V19" s="22" t="s">
        <v>74</v>
      </c>
      <c r="W19" s="22" t="s">
        <v>102</v>
      </c>
      <c r="X19" s="22" t="s">
        <v>57</v>
      </c>
      <c r="Y19" s="23">
        <v>46232</v>
      </c>
      <c r="Z19" s="20">
        <f>IF($A19="","",IF($Y19&lt;&gt;"",$Y19-$B19,ReportDate-$B19))</f>
        <v>18</v>
      </c>
      <c r="AA19" s="20" t="str">
        <f>IF(OR($A19="",$W19="Closed"),"",$U19-ReportDate)</f>
        <v/>
      </c>
      <c r="AB19" s="20" t="str">
        <f>IF($A19="","",IF($W19="Closed",IF($Y19&lt;=$U19,"Closed on time","Closed late"),IF($W19="Awaiting ID","Paused",IF($AA19&lt;0,"Overdue",IF($AA19&lt;=RedDays,"Red",IF($AA19&lt;=AmberDays,"Amber","Green"))))))</f>
        <v>Closed on time</v>
      </c>
      <c r="AC19" s="20" t="str">
        <f t="shared" si="1"/>
        <v>Y</v>
      </c>
      <c r="AD19" s="22" t="s">
        <v>57</v>
      </c>
      <c r="AE19" s="22" t="s">
        <v>178</v>
      </c>
      <c r="AF19" s="20" t="str">
        <f>IF($A19="","",IF(IF(OR($B19="",$C19="",$D19="",$V19="",$W19=""),"missing required field; ","")&amp;IF(COUNTIF($A$2:$A$201,$A19)&gt;1,"duplicate ID; ","")&amp;IF(AND($B19&lt;&gt;"",$B19&gt;ReportDate),"received after snapshot date; ","")&amp;IF(AND($I19&lt;&gt;"",$B19&lt;&gt;"",$I19&lt;$B19),"acknowledged before receipt; ","")&amp;IF(AND($K19="Y",$L19="",$W19&lt;&gt;"Logged"),"ID requested date missing; ","")&amp;IF(AND($L19&lt;&gt;"",$M19&lt;&gt;"",$M19&lt;$L19),"ID dates out of order; ","")&amp;IF(AND($K19&lt;&gt;"Y",OR($L19&lt;&gt;"",$W19="Awaiting ID")),"ID fields used but ID_Check_Needed is not Y; ","")&amp;IF(AND($R19="Y",$S19=""),"extension notice date missing; ","")&amp;IF(AND($R19&lt;&gt;"Y",$S19&lt;&gt;""),"notice date but Extended is not Y; ","")&amp;IF(AND($W19="Closed",$Y19=""),"closed without response date; ","")&amp;IF(AND($Y19&lt;&gt;"",$W19&lt;&gt;"Closed"),"response date but status not Closed; ","")&amp;IF(AND($Y19&lt;&gt;"",$B19&lt;&gt;"",$Y19&lt;$B19),"response before receipt; ","")&amp;IF(AND($AD19="Y",$AE19=""),"exemption needs a reason in Notes; ","")="","OK","Check: "&amp;IF(OR($B19="",$C19="",$D19="",$V19="",$W19=""),"missing required field; ","")&amp;IF(COUNTIF($A$2:$A$201,$A19)&gt;1,"duplicate ID; ","")&amp;IF(AND($B19&lt;&gt;"",$B19&gt;ReportDate),"received after snapshot date; ","")&amp;IF(AND($I19&lt;&gt;"",$B19&lt;&gt;"",$I19&lt;$B19),"acknowledged before receipt; ","")&amp;IF(AND($K19="Y",$L19="",$W19&lt;&gt;"Logged"),"ID requested date missing; ","")&amp;IF(AND($L19&lt;&gt;"",$M19&lt;&gt;"",$M19&lt;$L19),"ID dates out of order; ","")&amp;IF(AND($K19&lt;&gt;"Y",OR($L19&lt;&gt;"",$W19="Awaiting ID")),"ID fields used but ID_Check_Needed is not Y; ","")&amp;IF(AND($R19="Y",$S19=""),"extension notice date missing; ","")&amp;IF(AND($R19&lt;&gt;"Y",$S19&lt;&gt;""),"notice date but Extended is not Y; ","")&amp;IF(AND($W19="Closed",$Y19=""),"closed without response date; ","")&amp;IF(AND($Y19&lt;&gt;"",$W19&lt;&gt;"Closed"),"response date but status not Closed; ","")&amp;IF(AND($Y19&lt;&gt;"",$B19&lt;&gt;"",$Y19&lt;$B19),"response before receipt; ","")&amp;IF(AND($AD19="Y",$AE19=""),"exemption needs a reason in Notes; ","")))</f>
        <v>OK</v>
      </c>
    </row>
    <row r="20" spans="1:32" x14ac:dyDescent="0.35">
      <c r="A20" s="22" t="s">
        <v>201</v>
      </c>
      <c r="B20" s="23">
        <v>46218</v>
      </c>
      <c r="C20" s="22" t="s">
        <v>99</v>
      </c>
      <c r="D20" s="22" t="s">
        <v>43</v>
      </c>
      <c r="E20" s="20" t="str">
        <f>IF($A20="","",IFERROR(VLOOKUP($D20,ReqTypes,2,FALSE),"?"))</f>
        <v>Art 16</v>
      </c>
      <c r="F20" s="20" t="str">
        <f>IF($A20="","",IFERROR(VLOOKUP($D20,ReqTypes,3,FALSE),"?"))</f>
        <v>Y</v>
      </c>
      <c r="G20" s="22" t="s">
        <v>71</v>
      </c>
      <c r="H20" s="22" t="s">
        <v>81</v>
      </c>
      <c r="I20" s="23">
        <v>46219</v>
      </c>
      <c r="J20" s="20" t="str">
        <f>IF(OR($A20="",$I20=""),"",IF(NETWORKDAYS($B20,$I20,Holidays)-1&lt;=AckDays,"Y","N"))</f>
        <v>Y</v>
      </c>
      <c r="K20" s="22" t="s">
        <v>57</v>
      </c>
      <c r="L20" s="23"/>
      <c r="M20" s="23"/>
      <c r="N20" s="20" t="str">
        <f>IF(OR($A20="",$K20&lt;&gt;"Y"),"",IF($L20="","Pending",IF($L20-$B20&lt;=IDPromptDays,"Y","Check")))</f>
        <v/>
      </c>
      <c r="O20" s="20">
        <f>IF($A20="","",IF(OR($K20&lt;&gt;"Y",$L20=""),0,IF($M20="",MAX(0,ReportDate-$L20),$M20-$L20)))</f>
        <v>0</v>
      </c>
      <c r="P20" s="21">
        <f>IF($A20="","",IF($F20&lt;&gt;"Y","n/a",WORKDAY(EDATE($B20,1)+$O20-1,1,Holidays)))</f>
        <v>46251</v>
      </c>
      <c r="Q20" s="21">
        <f>IF($A20="","",$B20+$O20+InternalDays)</f>
        <v>46233</v>
      </c>
      <c r="R20" s="22" t="s">
        <v>57</v>
      </c>
      <c r="S20" s="23"/>
      <c r="T20" s="20" t="str">
        <f t="shared" si="0"/>
        <v/>
      </c>
      <c r="U20" s="21">
        <f>IF($A20="","",IF($F20&lt;&gt;"Y",$Q20,IF(AND($R20="Y",$T20="Y"),WORKDAY(EDATE($B20,3)+$O20-1,1,Holidays),$P20)))</f>
        <v>46251</v>
      </c>
      <c r="V20" s="22" t="s">
        <v>74</v>
      </c>
      <c r="W20" s="22" t="s">
        <v>102</v>
      </c>
      <c r="X20" s="22" t="s">
        <v>57</v>
      </c>
      <c r="Y20" s="23">
        <v>46225</v>
      </c>
      <c r="Z20" s="20">
        <f>IF($A20="","",IF($Y20&lt;&gt;"",$Y20-$B20,ReportDate-$B20))</f>
        <v>7</v>
      </c>
      <c r="AA20" s="20" t="str">
        <f>IF(OR($A20="",$W20="Closed"),"",$U20-ReportDate)</f>
        <v/>
      </c>
      <c r="AB20" s="20" t="str">
        <f>IF($A20="","",IF($W20="Closed",IF($Y20&lt;=$U20,"Closed on time","Closed late"),IF($W20="Awaiting ID","Paused",IF($AA20&lt;0,"Overdue",IF($AA20&lt;=RedDays,"Red",IF($AA20&lt;=AmberDays,"Amber","Green"))))))</f>
        <v>Closed on time</v>
      </c>
      <c r="AC20" s="20" t="str">
        <f t="shared" si="1"/>
        <v>Y</v>
      </c>
      <c r="AD20" s="22" t="s">
        <v>57</v>
      </c>
      <c r="AE20" s="22"/>
      <c r="AF20" s="20" t="str">
        <f>IF($A20="","",IF(IF(OR($B20="",$C20="",$D20="",$V20="",$W20=""),"missing required field; ","")&amp;IF(COUNTIF($A$2:$A$201,$A20)&gt;1,"duplicate ID; ","")&amp;IF(AND($B20&lt;&gt;"",$B20&gt;ReportDate),"received after snapshot date; ","")&amp;IF(AND($I20&lt;&gt;"",$B20&lt;&gt;"",$I20&lt;$B20),"acknowledged before receipt; ","")&amp;IF(AND($K20="Y",$L20="",$W20&lt;&gt;"Logged"),"ID requested date missing; ","")&amp;IF(AND($L20&lt;&gt;"",$M20&lt;&gt;"",$M20&lt;$L20),"ID dates out of order; ","")&amp;IF(AND($K20&lt;&gt;"Y",OR($L20&lt;&gt;"",$W20="Awaiting ID")),"ID fields used but ID_Check_Needed is not Y; ","")&amp;IF(AND($R20="Y",$S20=""),"extension notice date missing; ","")&amp;IF(AND($R20&lt;&gt;"Y",$S20&lt;&gt;""),"notice date but Extended is not Y; ","")&amp;IF(AND($W20="Closed",$Y20=""),"closed without response date; ","")&amp;IF(AND($Y20&lt;&gt;"",$W20&lt;&gt;"Closed"),"response date but status not Closed; ","")&amp;IF(AND($Y20&lt;&gt;"",$B20&lt;&gt;"",$Y20&lt;$B20),"response before receipt; ","")&amp;IF(AND($AD20="Y",$AE20=""),"exemption needs a reason in Notes; ","")="","OK","Check: "&amp;IF(OR($B20="",$C20="",$D20="",$V20="",$W20=""),"missing required field; ","")&amp;IF(COUNTIF($A$2:$A$201,$A20)&gt;1,"duplicate ID; ","")&amp;IF(AND($B20&lt;&gt;"",$B20&gt;ReportDate),"received after snapshot date; ","")&amp;IF(AND($I20&lt;&gt;"",$B20&lt;&gt;"",$I20&lt;$B20),"acknowledged before receipt; ","")&amp;IF(AND($K20="Y",$L20="",$W20&lt;&gt;"Logged"),"ID requested date missing; ","")&amp;IF(AND($L20&lt;&gt;"",$M20&lt;&gt;"",$M20&lt;$L20),"ID dates out of order; ","")&amp;IF(AND($K20&lt;&gt;"Y",OR($L20&lt;&gt;"",$W20="Awaiting ID")),"ID fields used but ID_Check_Needed is not Y; ","")&amp;IF(AND($R20="Y",$S20=""),"extension notice date missing; ","")&amp;IF(AND($R20&lt;&gt;"Y",$S20&lt;&gt;""),"notice date but Extended is not Y; ","")&amp;IF(AND($W20="Closed",$Y20=""),"closed without response date; ","")&amp;IF(AND($Y20&lt;&gt;"",$W20&lt;&gt;"Closed"),"response date but status not Closed; ","")&amp;IF(AND($Y20&lt;&gt;"",$B20&lt;&gt;"",$Y20&lt;$B20),"response before receipt; ","")&amp;IF(AND($AD20="Y",$AE20=""),"exemption needs a reason in Notes; ","")))</f>
        <v>OK</v>
      </c>
    </row>
    <row r="21" spans="1:32" x14ac:dyDescent="0.35">
      <c r="A21" s="22" t="s">
        <v>202</v>
      </c>
      <c r="B21" s="23">
        <v>46224</v>
      </c>
      <c r="C21" s="22" t="s">
        <v>70</v>
      </c>
      <c r="D21" s="22" t="s">
        <v>40</v>
      </c>
      <c r="E21" s="20" t="str">
        <f>IF($A21="","",IFERROR(VLOOKUP($D21,ReqTypes,2,FALSE),"?"))</f>
        <v>Art 15</v>
      </c>
      <c r="F21" s="20" t="str">
        <f>IF($A21="","",IFERROR(VLOOKUP($D21,ReqTypes,3,FALSE),"?"))</f>
        <v>Y</v>
      </c>
      <c r="G21" s="22" t="s">
        <v>95</v>
      </c>
      <c r="H21" s="22" t="s">
        <v>91</v>
      </c>
      <c r="I21" s="23">
        <v>46225</v>
      </c>
      <c r="J21" s="20" t="str">
        <f>IF(OR($A21="",$I21=""),"",IF(NETWORKDAYS($B21,$I21,Holidays)-1&lt;=AckDays,"Y","N"))</f>
        <v>Y</v>
      </c>
      <c r="K21" s="22" t="s">
        <v>57</v>
      </c>
      <c r="L21" s="23"/>
      <c r="M21" s="23"/>
      <c r="N21" s="20" t="str">
        <f>IF(OR($A21="",$K21&lt;&gt;"Y"),"",IF($L21="","Pending",IF($L21-$B21&lt;=IDPromptDays,"Y","Check")))</f>
        <v/>
      </c>
      <c r="O21" s="20">
        <f>IF($A21="","",IF(OR($K21&lt;&gt;"Y",$L21=""),0,IF($M21="",MAX(0,ReportDate-$L21),$M21-$L21)))</f>
        <v>0</v>
      </c>
      <c r="P21" s="21">
        <f>IF($A21="","",IF($F21&lt;&gt;"Y","n/a",WORKDAY(EDATE($B21,1)+$O21-1,1,Holidays)))</f>
        <v>46255</v>
      </c>
      <c r="Q21" s="21">
        <f>IF($A21="","",$B21+$O21+InternalDays)</f>
        <v>46239</v>
      </c>
      <c r="R21" s="22" t="s">
        <v>57</v>
      </c>
      <c r="S21" s="23"/>
      <c r="T21" s="20" t="str">
        <f t="shared" si="0"/>
        <v/>
      </c>
      <c r="U21" s="21">
        <f>IF($A21="","",IF($F21&lt;&gt;"Y",$Q21,IF(AND($R21="Y",$T21="Y"),WORKDAY(EDATE($B21,3)+$O21-1,1,Holidays),$P21)))</f>
        <v>46255</v>
      </c>
      <c r="V21" s="22" t="s">
        <v>91</v>
      </c>
      <c r="W21" s="22" t="s">
        <v>102</v>
      </c>
      <c r="X21" s="22" t="s">
        <v>42</v>
      </c>
      <c r="Y21" s="23">
        <v>46259</v>
      </c>
      <c r="Z21" s="20">
        <f>IF($A21="","",IF($Y21&lt;&gt;"",$Y21-$B21,ReportDate-$B21))</f>
        <v>35</v>
      </c>
      <c r="AA21" s="20" t="str">
        <f>IF(OR($A21="",$W21="Closed"),"",$U21-ReportDate)</f>
        <v/>
      </c>
      <c r="AB21" s="20" t="str">
        <f>IF($A21="","",IF($W21="Closed",IF($Y21&lt;=$U21,"Closed on time","Closed late"),IF($W21="Awaiting ID","Paused",IF($AA21&lt;0,"Overdue",IF($AA21&lt;=RedDays,"Red",IF($AA21&lt;=AmberDays,"Amber","Green"))))))</f>
        <v>Closed late</v>
      </c>
      <c r="AC21" s="20" t="str">
        <f t="shared" si="1"/>
        <v>N</v>
      </c>
      <c r="AD21" s="22" t="s">
        <v>57</v>
      </c>
      <c r="AE21" s="22" t="s">
        <v>203</v>
      </c>
      <c r="AF21" s="20" t="str">
        <f>IF($A21="","",IF(IF(OR($B21="",$C21="",$D21="",$V21="",$W21=""),"missing required field; ","")&amp;IF(COUNTIF($A$2:$A$201,$A21)&gt;1,"duplicate ID; ","")&amp;IF(AND($B21&lt;&gt;"",$B21&gt;ReportDate),"received after snapshot date; ","")&amp;IF(AND($I21&lt;&gt;"",$B21&lt;&gt;"",$I21&lt;$B21),"acknowledged before receipt; ","")&amp;IF(AND($K21="Y",$L21="",$W21&lt;&gt;"Logged"),"ID requested date missing; ","")&amp;IF(AND($L21&lt;&gt;"",$M21&lt;&gt;"",$M21&lt;$L21),"ID dates out of order; ","")&amp;IF(AND($K21&lt;&gt;"Y",OR($L21&lt;&gt;"",$W21="Awaiting ID")),"ID fields used but ID_Check_Needed is not Y; ","")&amp;IF(AND($R21="Y",$S21=""),"extension notice date missing; ","")&amp;IF(AND($R21&lt;&gt;"Y",$S21&lt;&gt;""),"notice date but Extended is not Y; ","")&amp;IF(AND($W21="Closed",$Y21=""),"closed without response date; ","")&amp;IF(AND($Y21&lt;&gt;"",$W21&lt;&gt;"Closed"),"response date but status not Closed; ","")&amp;IF(AND($Y21&lt;&gt;"",$B21&lt;&gt;"",$Y21&lt;$B21),"response before receipt; ","")&amp;IF(AND($AD21="Y",$AE21=""),"exemption needs a reason in Notes; ","")="","OK","Check: "&amp;IF(OR($B21="",$C21="",$D21="",$V21="",$W21=""),"missing required field; ","")&amp;IF(COUNTIF($A$2:$A$201,$A21)&gt;1,"duplicate ID; ","")&amp;IF(AND($B21&lt;&gt;"",$B21&gt;ReportDate),"received after snapshot date; ","")&amp;IF(AND($I21&lt;&gt;"",$B21&lt;&gt;"",$I21&lt;$B21),"acknowledged before receipt; ","")&amp;IF(AND($K21="Y",$L21="",$W21&lt;&gt;"Logged"),"ID requested date missing; ","")&amp;IF(AND($L21&lt;&gt;"",$M21&lt;&gt;"",$M21&lt;$L21),"ID dates out of order; ","")&amp;IF(AND($K21&lt;&gt;"Y",OR($L21&lt;&gt;"",$W21="Awaiting ID")),"ID fields used but ID_Check_Needed is not Y; ","")&amp;IF(AND($R21="Y",$S21=""),"extension notice date missing; ","")&amp;IF(AND($R21&lt;&gt;"Y",$S21&lt;&gt;""),"notice date but Extended is not Y; ","")&amp;IF(AND($W21="Closed",$Y21=""),"closed without response date; ","")&amp;IF(AND($Y21&lt;&gt;"",$W21&lt;&gt;"Closed"),"response date but status not Closed; ","")&amp;IF(AND($Y21&lt;&gt;"",$B21&lt;&gt;"",$Y21&lt;$B21),"response before receipt; ","")&amp;IF(AND($AD21="Y",$AE21=""),"exemption needs a reason in Notes; ","")))</f>
        <v>OK</v>
      </c>
    </row>
    <row r="22" spans="1:32" x14ac:dyDescent="0.35">
      <c r="A22" s="22" t="s">
        <v>204</v>
      </c>
      <c r="B22" s="23">
        <v>46230</v>
      </c>
      <c r="C22" s="22" t="s">
        <v>79</v>
      </c>
      <c r="D22" s="22" t="s">
        <v>45</v>
      </c>
      <c r="E22" s="20" t="str">
        <f>IF($A22="","",IFERROR(VLOOKUP($D22,ReqTypes,2,FALSE),"?"))</f>
        <v>Art 17</v>
      </c>
      <c r="F22" s="20" t="str">
        <f>IF($A22="","",IFERROR(VLOOKUP($D22,ReqTypes,3,FALSE),"?"))</f>
        <v>Y</v>
      </c>
      <c r="G22" s="22" t="s">
        <v>71</v>
      </c>
      <c r="H22" s="22" t="s">
        <v>90</v>
      </c>
      <c r="I22" s="23">
        <v>46231</v>
      </c>
      <c r="J22" s="20" t="str">
        <f>IF(OR($A22="",$I22=""),"",IF(NETWORKDAYS($B22,$I22,Holidays)-1&lt;=AckDays,"Y","N"))</f>
        <v>Y</v>
      </c>
      <c r="K22" s="22" t="s">
        <v>57</v>
      </c>
      <c r="L22" s="23"/>
      <c r="M22" s="23"/>
      <c r="N22" s="20" t="str">
        <f>IF(OR($A22="",$K22&lt;&gt;"Y"),"",IF($L22="","Pending",IF($L22-$B22&lt;=IDPromptDays,"Y","Check")))</f>
        <v/>
      </c>
      <c r="O22" s="20">
        <f>IF($A22="","",IF(OR($K22&lt;&gt;"Y",$L22=""),0,IF($M22="",MAX(0,ReportDate-$L22),$M22-$L22)))</f>
        <v>0</v>
      </c>
      <c r="P22" s="21">
        <f>IF($A22="","",IF($F22&lt;&gt;"Y","n/a",WORKDAY(EDATE($B22,1)+$O22-1,1,Holidays)))</f>
        <v>46261</v>
      </c>
      <c r="Q22" s="21">
        <f>IF($A22="","",$B22+$O22+InternalDays)</f>
        <v>46245</v>
      </c>
      <c r="R22" s="22" t="s">
        <v>57</v>
      </c>
      <c r="S22" s="23"/>
      <c r="T22" s="20" t="str">
        <f t="shared" si="0"/>
        <v/>
      </c>
      <c r="U22" s="21">
        <f>IF($A22="","",IF($F22&lt;&gt;"Y",$Q22,IF(AND($R22="Y",$T22="Y"),WORKDAY(EDATE($B22,3)+$O22-1,1,Holidays),$P22)))</f>
        <v>46261</v>
      </c>
      <c r="V22" s="22" t="s">
        <v>97</v>
      </c>
      <c r="W22" s="22" t="s">
        <v>102</v>
      </c>
      <c r="X22" s="22" t="s">
        <v>57</v>
      </c>
      <c r="Y22" s="23">
        <v>46241</v>
      </c>
      <c r="Z22" s="20">
        <f>IF($A22="","",IF($Y22&lt;&gt;"",$Y22-$B22,ReportDate-$B22))</f>
        <v>11</v>
      </c>
      <c r="AA22" s="20" t="str">
        <f>IF(OR($A22="",$W22="Closed"),"",$U22-ReportDate)</f>
        <v/>
      </c>
      <c r="AB22" s="20" t="str">
        <f>IF($A22="","",IF($W22="Closed",IF($Y22&lt;=$U22,"Closed on time","Closed late"),IF($W22="Awaiting ID","Paused",IF($AA22&lt;0,"Overdue",IF($AA22&lt;=RedDays,"Red",IF($AA22&lt;=AmberDays,"Amber","Green"))))))</f>
        <v>Closed on time</v>
      </c>
      <c r="AC22" s="20" t="str">
        <f t="shared" si="1"/>
        <v>Y</v>
      </c>
      <c r="AD22" s="22" t="s">
        <v>57</v>
      </c>
      <c r="AE22" s="22"/>
      <c r="AF22" s="20" t="str">
        <f>IF($A22="","",IF(IF(OR($B22="",$C22="",$D22="",$V22="",$W22=""),"missing required field; ","")&amp;IF(COUNTIF($A$2:$A$201,$A22)&gt;1,"duplicate ID; ","")&amp;IF(AND($B22&lt;&gt;"",$B22&gt;ReportDate),"received after snapshot date; ","")&amp;IF(AND($I22&lt;&gt;"",$B22&lt;&gt;"",$I22&lt;$B22),"acknowledged before receipt; ","")&amp;IF(AND($K22="Y",$L22="",$W22&lt;&gt;"Logged"),"ID requested date missing; ","")&amp;IF(AND($L22&lt;&gt;"",$M22&lt;&gt;"",$M22&lt;$L22),"ID dates out of order; ","")&amp;IF(AND($K22&lt;&gt;"Y",OR($L22&lt;&gt;"",$W22="Awaiting ID")),"ID fields used but ID_Check_Needed is not Y; ","")&amp;IF(AND($R22="Y",$S22=""),"extension notice date missing; ","")&amp;IF(AND($R22&lt;&gt;"Y",$S22&lt;&gt;""),"notice date but Extended is not Y; ","")&amp;IF(AND($W22="Closed",$Y22=""),"closed without response date; ","")&amp;IF(AND($Y22&lt;&gt;"",$W22&lt;&gt;"Closed"),"response date but status not Closed; ","")&amp;IF(AND($Y22&lt;&gt;"",$B22&lt;&gt;"",$Y22&lt;$B22),"response before receipt; ","")&amp;IF(AND($AD22="Y",$AE22=""),"exemption needs a reason in Notes; ","")="","OK","Check: "&amp;IF(OR($B22="",$C22="",$D22="",$V22="",$W22=""),"missing required field; ","")&amp;IF(COUNTIF($A$2:$A$201,$A22)&gt;1,"duplicate ID; ","")&amp;IF(AND($B22&lt;&gt;"",$B22&gt;ReportDate),"received after snapshot date; ","")&amp;IF(AND($I22&lt;&gt;"",$B22&lt;&gt;"",$I22&lt;$B22),"acknowledged before receipt; ","")&amp;IF(AND($K22="Y",$L22="",$W22&lt;&gt;"Logged"),"ID requested date missing; ","")&amp;IF(AND($L22&lt;&gt;"",$M22&lt;&gt;"",$M22&lt;$L22),"ID dates out of order; ","")&amp;IF(AND($K22&lt;&gt;"Y",OR($L22&lt;&gt;"",$W22="Awaiting ID")),"ID fields used but ID_Check_Needed is not Y; ","")&amp;IF(AND($R22="Y",$S22=""),"extension notice date missing; ","")&amp;IF(AND($R22&lt;&gt;"Y",$S22&lt;&gt;""),"notice date but Extended is not Y; ","")&amp;IF(AND($W22="Closed",$Y22=""),"closed without response date; ","")&amp;IF(AND($Y22&lt;&gt;"",$W22&lt;&gt;"Closed"),"response date but status not Closed; ","")&amp;IF(AND($Y22&lt;&gt;"",$B22&lt;&gt;"",$Y22&lt;$B22),"response before receipt; ","")&amp;IF(AND($AD22="Y",$AE22=""),"exemption needs a reason in Notes; ","")))</f>
        <v>OK</v>
      </c>
    </row>
    <row r="23" spans="1:32" x14ac:dyDescent="0.35">
      <c r="A23" s="22" t="s">
        <v>205</v>
      </c>
      <c r="B23" s="23">
        <v>46234</v>
      </c>
      <c r="C23" s="22" t="s">
        <v>70</v>
      </c>
      <c r="D23" s="22" t="s">
        <v>47</v>
      </c>
      <c r="E23" s="20" t="str">
        <f>IF($A23="","",IFERROR(VLOOKUP($D23,ReqTypes,2,FALSE),"?"))</f>
        <v>Art 18</v>
      </c>
      <c r="F23" s="20" t="str">
        <f>IF($A23="","",IFERROR(VLOOKUP($D23,ReqTypes,3,FALSE),"?"))</f>
        <v>Y</v>
      </c>
      <c r="G23" s="22" t="s">
        <v>71</v>
      </c>
      <c r="H23" s="22" t="s">
        <v>72</v>
      </c>
      <c r="I23" s="23">
        <v>46237</v>
      </c>
      <c r="J23" s="20" t="str">
        <f>IF(OR($A23="",$I23=""),"",IF(NETWORKDAYS($B23,$I23,Holidays)-1&lt;=AckDays,"Y","N"))</f>
        <v>Y</v>
      </c>
      <c r="K23" s="22" t="s">
        <v>57</v>
      </c>
      <c r="L23" s="23"/>
      <c r="M23" s="23"/>
      <c r="N23" s="20" t="str">
        <f>IF(OR($A23="",$K23&lt;&gt;"Y"),"",IF($L23="","Pending",IF($L23-$B23&lt;=IDPromptDays,"Y","Check")))</f>
        <v/>
      </c>
      <c r="O23" s="20">
        <f>IF($A23="","",IF(OR($K23&lt;&gt;"Y",$L23=""),0,IF($M23="",MAX(0,ReportDate-$L23),$M23-$L23)))</f>
        <v>0</v>
      </c>
      <c r="P23" s="21">
        <f>IF($A23="","",IF($F23&lt;&gt;"Y","n/a",WORKDAY(EDATE($B23,1)+$O23-1,1,Holidays)))</f>
        <v>46265</v>
      </c>
      <c r="Q23" s="21">
        <f>IF($A23="","",$B23+$O23+InternalDays)</f>
        <v>46249</v>
      </c>
      <c r="R23" s="22" t="s">
        <v>57</v>
      </c>
      <c r="S23" s="23"/>
      <c r="T23" s="20" t="str">
        <f t="shared" si="0"/>
        <v/>
      </c>
      <c r="U23" s="21">
        <f>IF($A23="","",IF($F23&lt;&gt;"Y",$Q23,IF(AND($R23="Y",$T23="Y"),WORKDAY(EDATE($B23,3)+$O23-1,1,Holidays),$P23)))</f>
        <v>46265</v>
      </c>
      <c r="V23" s="22" t="s">
        <v>74</v>
      </c>
      <c r="W23" s="22" t="s">
        <v>102</v>
      </c>
      <c r="X23" s="22" t="s">
        <v>57</v>
      </c>
      <c r="Y23" s="23">
        <v>46246</v>
      </c>
      <c r="Z23" s="20">
        <f>IF($A23="","",IF($Y23&lt;&gt;"",$Y23-$B23,ReportDate-$B23))</f>
        <v>12</v>
      </c>
      <c r="AA23" s="20" t="str">
        <f>IF(OR($A23="",$W23="Closed"),"",$U23-ReportDate)</f>
        <v/>
      </c>
      <c r="AB23" s="20" t="str">
        <f>IF($A23="","",IF($W23="Closed",IF($Y23&lt;=$U23,"Closed on time","Closed late"),IF($W23="Awaiting ID","Paused",IF($AA23&lt;0,"Overdue",IF($AA23&lt;=RedDays,"Red",IF($AA23&lt;=AmberDays,"Amber","Green"))))))</f>
        <v>Closed on time</v>
      </c>
      <c r="AC23" s="20" t="str">
        <f t="shared" si="1"/>
        <v>Y</v>
      </c>
      <c r="AD23" s="22" t="s">
        <v>57</v>
      </c>
      <c r="AE23" s="22" t="s">
        <v>206</v>
      </c>
      <c r="AF23" s="20" t="str">
        <f>IF($A23="","",IF(IF(OR($B23="",$C23="",$D23="",$V23="",$W23=""),"missing required field; ","")&amp;IF(COUNTIF($A$2:$A$201,$A23)&gt;1,"duplicate ID; ","")&amp;IF(AND($B23&lt;&gt;"",$B23&gt;ReportDate),"received after snapshot date; ","")&amp;IF(AND($I23&lt;&gt;"",$B23&lt;&gt;"",$I23&lt;$B23),"acknowledged before receipt; ","")&amp;IF(AND($K23="Y",$L23="",$W23&lt;&gt;"Logged"),"ID requested date missing; ","")&amp;IF(AND($L23&lt;&gt;"",$M23&lt;&gt;"",$M23&lt;$L23),"ID dates out of order; ","")&amp;IF(AND($K23&lt;&gt;"Y",OR($L23&lt;&gt;"",$W23="Awaiting ID")),"ID fields used but ID_Check_Needed is not Y; ","")&amp;IF(AND($R23="Y",$S23=""),"extension notice date missing; ","")&amp;IF(AND($R23&lt;&gt;"Y",$S23&lt;&gt;""),"notice date but Extended is not Y; ","")&amp;IF(AND($W23="Closed",$Y23=""),"closed without response date; ","")&amp;IF(AND($Y23&lt;&gt;"",$W23&lt;&gt;"Closed"),"response date but status not Closed; ","")&amp;IF(AND($Y23&lt;&gt;"",$B23&lt;&gt;"",$Y23&lt;$B23),"response before receipt; ","")&amp;IF(AND($AD23="Y",$AE23=""),"exemption needs a reason in Notes; ","")="","OK","Check: "&amp;IF(OR($B23="",$C23="",$D23="",$V23="",$W23=""),"missing required field; ","")&amp;IF(COUNTIF($A$2:$A$201,$A23)&gt;1,"duplicate ID; ","")&amp;IF(AND($B23&lt;&gt;"",$B23&gt;ReportDate),"received after snapshot date; ","")&amp;IF(AND($I23&lt;&gt;"",$B23&lt;&gt;"",$I23&lt;$B23),"acknowledged before receipt; ","")&amp;IF(AND($K23="Y",$L23="",$W23&lt;&gt;"Logged"),"ID requested date missing; ","")&amp;IF(AND($L23&lt;&gt;"",$M23&lt;&gt;"",$M23&lt;$L23),"ID dates out of order; ","")&amp;IF(AND($K23&lt;&gt;"Y",OR($L23&lt;&gt;"",$W23="Awaiting ID")),"ID fields used but ID_Check_Needed is not Y; ","")&amp;IF(AND($R23="Y",$S23=""),"extension notice date missing; ","")&amp;IF(AND($R23&lt;&gt;"Y",$S23&lt;&gt;""),"notice date but Extended is not Y; ","")&amp;IF(AND($W23="Closed",$Y23=""),"closed without response date; ","")&amp;IF(AND($Y23&lt;&gt;"",$W23&lt;&gt;"Closed"),"response date but status not Closed; ","")&amp;IF(AND($Y23&lt;&gt;"",$B23&lt;&gt;"",$Y23&lt;$B23),"response before receipt; ","")&amp;IF(AND($AD23="Y",$AE23=""),"exemption needs a reason in Notes; ","")))</f>
        <v>OK</v>
      </c>
    </row>
    <row r="24" spans="1:32" x14ac:dyDescent="0.35">
      <c r="A24" s="22" t="s">
        <v>207</v>
      </c>
      <c r="B24" s="23">
        <v>46239</v>
      </c>
      <c r="C24" s="22" t="s">
        <v>70</v>
      </c>
      <c r="D24" s="22" t="s">
        <v>40</v>
      </c>
      <c r="E24" s="20" t="str">
        <f>IF($A24="","",IFERROR(VLOOKUP($D24,ReqTypes,2,FALSE),"?"))</f>
        <v>Art 15</v>
      </c>
      <c r="F24" s="20" t="str">
        <f>IF($A24="","",IFERROR(VLOOKUP($D24,ReqTypes,3,FALSE),"?"))</f>
        <v>Y</v>
      </c>
      <c r="G24" s="22" t="s">
        <v>71</v>
      </c>
      <c r="H24" s="22" t="s">
        <v>101</v>
      </c>
      <c r="I24" s="23">
        <v>46240</v>
      </c>
      <c r="J24" s="20" t="str">
        <f>IF(OR($A24="",$I24=""),"",IF(NETWORKDAYS($B24,$I24,Holidays)-1&lt;=AckDays,"Y","N"))</f>
        <v>Y</v>
      </c>
      <c r="K24" s="22" t="s">
        <v>42</v>
      </c>
      <c r="L24" s="23">
        <v>46240</v>
      </c>
      <c r="M24" s="23">
        <v>46244</v>
      </c>
      <c r="N24" s="20" t="str">
        <f>IF(OR($A24="",$K24&lt;&gt;"Y"),"",IF($L24="","Pending",IF($L24-$B24&lt;=IDPromptDays,"Y","Check")))</f>
        <v>Y</v>
      </c>
      <c r="O24" s="20">
        <f>IF($A24="","",IF(OR($K24&lt;&gt;"Y",$L24=""),0,IF($M24="",MAX(0,ReportDate-$L24),$M24-$L24)))</f>
        <v>4</v>
      </c>
      <c r="P24" s="21">
        <f>IF($A24="","",IF($F24&lt;&gt;"Y","n/a",WORKDAY(EDATE($B24,1)+$O24-1,1,Holidays)))</f>
        <v>46274</v>
      </c>
      <c r="Q24" s="21">
        <f>IF($A24="","",$B24+$O24+InternalDays)</f>
        <v>46258</v>
      </c>
      <c r="R24" s="22" t="s">
        <v>57</v>
      </c>
      <c r="S24" s="23"/>
      <c r="T24" s="20" t="str">
        <f t="shared" si="0"/>
        <v/>
      </c>
      <c r="U24" s="21">
        <f>IF($A24="","",IF($F24&lt;&gt;"Y",$Q24,IF(AND($R24="Y",$T24="Y"),WORKDAY(EDATE($B24,3)+$O24-1,1,Holidays),$P24)))</f>
        <v>46274</v>
      </c>
      <c r="V24" s="22" t="s">
        <v>74</v>
      </c>
      <c r="W24" s="22" t="s">
        <v>102</v>
      </c>
      <c r="X24" s="22" t="s">
        <v>57</v>
      </c>
      <c r="Y24" s="23">
        <v>46261</v>
      </c>
      <c r="Z24" s="20">
        <f>IF($A24="","",IF($Y24&lt;&gt;"",$Y24-$B24,ReportDate-$B24))</f>
        <v>22</v>
      </c>
      <c r="AA24" s="20" t="str">
        <f>IF(OR($A24="",$W24="Closed"),"",$U24-ReportDate)</f>
        <v/>
      </c>
      <c r="AB24" s="20" t="str">
        <f>IF($A24="","",IF($W24="Closed",IF($Y24&lt;=$U24,"Closed on time","Closed late"),IF($W24="Awaiting ID","Paused",IF($AA24&lt;0,"Overdue",IF($AA24&lt;=RedDays,"Red",IF($AA24&lt;=AmberDays,"Amber","Green"))))))</f>
        <v>Closed on time</v>
      </c>
      <c r="AC24" s="20" t="str">
        <f t="shared" si="1"/>
        <v>Y</v>
      </c>
      <c r="AD24" s="22" t="s">
        <v>42</v>
      </c>
      <c r="AE24" s="22" t="s">
        <v>208</v>
      </c>
      <c r="AF24" s="20" t="str">
        <f>IF($A24="","",IF(IF(OR($B24="",$C24="",$D24="",$V24="",$W24=""),"missing required field; ","")&amp;IF(COUNTIF($A$2:$A$201,$A24)&gt;1,"duplicate ID; ","")&amp;IF(AND($B24&lt;&gt;"",$B24&gt;ReportDate),"received after snapshot date; ","")&amp;IF(AND($I24&lt;&gt;"",$B24&lt;&gt;"",$I24&lt;$B24),"acknowledged before receipt; ","")&amp;IF(AND($K24="Y",$L24="",$W24&lt;&gt;"Logged"),"ID requested date missing; ","")&amp;IF(AND($L24&lt;&gt;"",$M24&lt;&gt;"",$M24&lt;$L24),"ID dates out of order; ","")&amp;IF(AND($K24&lt;&gt;"Y",OR($L24&lt;&gt;"",$W24="Awaiting ID")),"ID fields used but ID_Check_Needed is not Y; ","")&amp;IF(AND($R24="Y",$S24=""),"extension notice date missing; ","")&amp;IF(AND($R24&lt;&gt;"Y",$S24&lt;&gt;""),"notice date but Extended is not Y; ","")&amp;IF(AND($W24="Closed",$Y24=""),"closed without response date; ","")&amp;IF(AND($Y24&lt;&gt;"",$W24&lt;&gt;"Closed"),"response date but status not Closed; ","")&amp;IF(AND($Y24&lt;&gt;"",$B24&lt;&gt;"",$Y24&lt;$B24),"response before receipt; ","")&amp;IF(AND($AD24="Y",$AE24=""),"exemption needs a reason in Notes; ","")="","OK","Check: "&amp;IF(OR($B24="",$C24="",$D24="",$V24="",$W24=""),"missing required field; ","")&amp;IF(COUNTIF($A$2:$A$201,$A24)&gt;1,"duplicate ID; ","")&amp;IF(AND($B24&lt;&gt;"",$B24&gt;ReportDate),"received after snapshot date; ","")&amp;IF(AND($I24&lt;&gt;"",$B24&lt;&gt;"",$I24&lt;$B24),"acknowledged before receipt; ","")&amp;IF(AND($K24="Y",$L24="",$W24&lt;&gt;"Logged"),"ID requested date missing; ","")&amp;IF(AND($L24&lt;&gt;"",$M24&lt;&gt;"",$M24&lt;$L24),"ID dates out of order; ","")&amp;IF(AND($K24&lt;&gt;"Y",OR($L24&lt;&gt;"",$W24="Awaiting ID")),"ID fields used but ID_Check_Needed is not Y; ","")&amp;IF(AND($R24="Y",$S24=""),"extension notice date missing; ","")&amp;IF(AND($R24&lt;&gt;"Y",$S24&lt;&gt;""),"notice date but Extended is not Y; ","")&amp;IF(AND($W24="Closed",$Y24=""),"closed without response date; ","")&amp;IF(AND($Y24&lt;&gt;"",$W24&lt;&gt;"Closed"),"response date but status not Closed; ","")&amp;IF(AND($Y24&lt;&gt;"",$B24&lt;&gt;"",$Y24&lt;$B24),"response before receipt; ","")&amp;IF(AND($AD24="Y",$AE24=""),"exemption needs a reason in Notes; ","")))</f>
        <v>OK</v>
      </c>
    </row>
    <row r="25" spans="1:32" x14ac:dyDescent="0.35">
      <c r="A25" s="22" t="s">
        <v>209</v>
      </c>
      <c r="B25" s="23">
        <v>46245</v>
      </c>
      <c r="C25" s="22" t="s">
        <v>79</v>
      </c>
      <c r="D25" s="22" t="s">
        <v>51</v>
      </c>
      <c r="E25" s="20" t="str">
        <f>IF($A25="","",IFERROR(VLOOKUP($D25,ReqTypes,2,FALSE),"?"))</f>
        <v>Art 21(2)</v>
      </c>
      <c r="F25" s="20" t="str">
        <f>IF($A25="","",IFERROR(VLOOKUP($D25,ReqTypes,3,FALSE),"?"))</f>
        <v>Y</v>
      </c>
      <c r="G25" s="22" t="s">
        <v>71</v>
      </c>
      <c r="H25" s="22" t="s">
        <v>90</v>
      </c>
      <c r="I25" s="23">
        <v>46246</v>
      </c>
      <c r="J25" s="20" t="str">
        <f>IF(OR($A25="",$I25=""),"",IF(NETWORKDAYS($B25,$I25,Holidays)-1&lt;=AckDays,"Y","N"))</f>
        <v>Y</v>
      </c>
      <c r="K25" s="22" t="s">
        <v>57</v>
      </c>
      <c r="L25" s="23"/>
      <c r="M25" s="23"/>
      <c r="N25" s="20" t="str">
        <f>IF(OR($A25="",$K25&lt;&gt;"Y"),"",IF($L25="","Pending",IF($L25-$B25&lt;=IDPromptDays,"Y","Check")))</f>
        <v/>
      </c>
      <c r="O25" s="20">
        <f>IF($A25="","",IF(OR($K25&lt;&gt;"Y",$L25=""),0,IF($M25="",MAX(0,ReportDate-$L25),$M25-$L25)))</f>
        <v>0</v>
      </c>
      <c r="P25" s="21">
        <f>IF($A25="","",IF($F25&lt;&gt;"Y","n/a",WORKDAY(EDATE($B25,1)+$O25-1,1,Holidays)))</f>
        <v>46276</v>
      </c>
      <c r="Q25" s="21">
        <f>IF($A25="","",$B25+$O25+InternalDays)</f>
        <v>46260</v>
      </c>
      <c r="R25" s="22" t="s">
        <v>57</v>
      </c>
      <c r="S25" s="23"/>
      <c r="T25" s="20" t="str">
        <f t="shared" si="0"/>
        <v/>
      </c>
      <c r="U25" s="21">
        <f>IF($A25="","",IF($F25&lt;&gt;"Y",$Q25,IF(AND($R25="Y",$T25="Y"),WORKDAY(EDATE($B25,3)+$O25-1,1,Holidays),$P25)))</f>
        <v>46276</v>
      </c>
      <c r="V25" s="22" t="s">
        <v>103</v>
      </c>
      <c r="W25" s="22" t="s">
        <v>102</v>
      </c>
      <c r="X25" s="22" t="s">
        <v>57</v>
      </c>
      <c r="Y25" s="23">
        <v>46248</v>
      </c>
      <c r="Z25" s="20">
        <f>IF($A25="","",IF($Y25&lt;&gt;"",$Y25-$B25,ReportDate-$B25))</f>
        <v>3</v>
      </c>
      <c r="AA25" s="20" t="str">
        <f>IF(OR($A25="",$W25="Closed"),"",$U25-ReportDate)</f>
        <v/>
      </c>
      <c r="AB25" s="20" t="str">
        <f>IF($A25="","",IF($W25="Closed",IF($Y25&lt;=$U25,"Closed on time","Closed late"),IF($W25="Awaiting ID","Paused",IF($AA25&lt;0,"Overdue",IF($AA25&lt;=RedDays,"Red",IF($AA25&lt;=AmberDays,"Amber","Green"))))))</f>
        <v>Closed on time</v>
      </c>
      <c r="AC25" s="20" t="str">
        <f t="shared" si="1"/>
        <v>Y</v>
      </c>
      <c r="AD25" s="22" t="s">
        <v>57</v>
      </c>
      <c r="AE25" s="22"/>
      <c r="AF25" s="20" t="str">
        <f>IF($A25="","",IF(IF(OR($B25="",$C25="",$D25="",$V25="",$W25=""),"missing required field; ","")&amp;IF(COUNTIF($A$2:$A$201,$A25)&gt;1,"duplicate ID; ","")&amp;IF(AND($B25&lt;&gt;"",$B25&gt;ReportDate),"received after snapshot date; ","")&amp;IF(AND($I25&lt;&gt;"",$B25&lt;&gt;"",$I25&lt;$B25),"acknowledged before receipt; ","")&amp;IF(AND($K25="Y",$L25="",$W25&lt;&gt;"Logged"),"ID requested date missing; ","")&amp;IF(AND($L25&lt;&gt;"",$M25&lt;&gt;"",$M25&lt;$L25),"ID dates out of order; ","")&amp;IF(AND($K25&lt;&gt;"Y",OR($L25&lt;&gt;"",$W25="Awaiting ID")),"ID fields used but ID_Check_Needed is not Y; ","")&amp;IF(AND($R25="Y",$S25=""),"extension notice date missing; ","")&amp;IF(AND($R25&lt;&gt;"Y",$S25&lt;&gt;""),"notice date but Extended is not Y; ","")&amp;IF(AND($W25="Closed",$Y25=""),"closed without response date; ","")&amp;IF(AND($Y25&lt;&gt;"",$W25&lt;&gt;"Closed"),"response date but status not Closed; ","")&amp;IF(AND($Y25&lt;&gt;"",$B25&lt;&gt;"",$Y25&lt;$B25),"response before receipt; ","")&amp;IF(AND($AD25="Y",$AE25=""),"exemption needs a reason in Notes; ","")="","OK","Check: "&amp;IF(OR($B25="",$C25="",$D25="",$V25="",$W25=""),"missing required field; ","")&amp;IF(COUNTIF($A$2:$A$201,$A25)&gt;1,"duplicate ID; ","")&amp;IF(AND($B25&lt;&gt;"",$B25&gt;ReportDate),"received after snapshot date; ","")&amp;IF(AND($I25&lt;&gt;"",$B25&lt;&gt;"",$I25&lt;$B25),"acknowledged before receipt; ","")&amp;IF(AND($K25="Y",$L25="",$W25&lt;&gt;"Logged"),"ID requested date missing; ","")&amp;IF(AND($L25&lt;&gt;"",$M25&lt;&gt;"",$M25&lt;$L25),"ID dates out of order; ","")&amp;IF(AND($K25&lt;&gt;"Y",OR($L25&lt;&gt;"",$W25="Awaiting ID")),"ID fields used but ID_Check_Needed is not Y; ","")&amp;IF(AND($R25="Y",$S25=""),"extension notice date missing; ","")&amp;IF(AND($R25&lt;&gt;"Y",$S25&lt;&gt;""),"notice date but Extended is not Y; ","")&amp;IF(AND($W25="Closed",$Y25=""),"closed without response date; ","")&amp;IF(AND($Y25&lt;&gt;"",$W25&lt;&gt;"Closed"),"response date but status not Closed; ","")&amp;IF(AND($Y25&lt;&gt;"",$B25&lt;&gt;"",$Y25&lt;$B25),"response before receipt; ","")&amp;IF(AND($AD25="Y",$AE25=""),"exemption needs a reason in Notes; ","")))</f>
        <v>OK</v>
      </c>
    </row>
    <row r="26" spans="1:32" x14ac:dyDescent="0.35">
      <c r="A26" s="22" t="s">
        <v>210</v>
      </c>
      <c r="B26" s="23">
        <v>46251</v>
      </c>
      <c r="C26" s="22" t="s">
        <v>88</v>
      </c>
      <c r="D26" s="22" t="s">
        <v>40</v>
      </c>
      <c r="E26" s="20" t="str">
        <f>IF($A26="","",IFERROR(VLOOKUP($D26,ReqTypes,2,FALSE),"?"))</f>
        <v>Art 15</v>
      </c>
      <c r="F26" s="20" t="str">
        <f>IF($A26="","",IFERROR(VLOOKUP($D26,ReqTypes,3,FALSE),"?"))</f>
        <v>Y</v>
      </c>
      <c r="G26" s="22" t="s">
        <v>71</v>
      </c>
      <c r="H26" s="22" t="s">
        <v>81</v>
      </c>
      <c r="I26" s="23">
        <v>46254</v>
      </c>
      <c r="J26" s="20" t="str">
        <f>IF(OR($A26="",$I26=""),"",IF(NETWORKDAYS($B26,$I26,Holidays)-1&lt;=AckDays,"Y","N"))</f>
        <v>N</v>
      </c>
      <c r="K26" s="22" t="s">
        <v>42</v>
      </c>
      <c r="L26" s="23">
        <v>46252</v>
      </c>
      <c r="M26" s="23">
        <v>46260</v>
      </c>
      <c r="N26" s="20" t="str">
        <f>IF(OR($A26="",$K26&lt;&gt;"Y"),"",IF($L26="","Pending",IF($L26-$B26&lt;=IDPromptDays,"Y","Check")))</f>
        <v>Y</v>
      </c>
      <c r="O26" s="20">
        <f>IF($A26="","",IF(OR($K26&lt;&gt;"Y",$L26=""),0,IF($M26="",MAX(0,ReportDate-$L26),$M26-$L26)))</f>
        <v>8</v>
      </c>
      <c r="P26" s="21">
        <f>IF($A26="","",IF($F26&lt;&gt;"Y","n/a",WORKDAY(EDATE($B26,1)+$O26-1,1,Holidays)))</f>
        <v>46290</v>
      </c>
      <c r="Q26" s="21">
        <f>IF($A26="","",$B26+$O26+InternalDays)</f>
        <v>46274</v>
      </c>
      <c r="R26" s="22" t="s">
        <v>42</v>
      </c>
      <c r="S26" s="23">
        <v>46291</v>
      </c>
      <c r="T26" s="20" t="str">
        <f t="shared" si="0"/>
        <v>Late</v>
      </c>
      <c r="U26" s="21">
        <f>IF($A26="","",IF($F26&lt;&gt;"Y",$Q26,IF(AND($R26="Y",$T26="Y"),WORKDAY(EDATE($B26,3)+$O26-1,1,Holidays),$P26)))</f>
        <v>46290</v>
      </c>
      <c r="V26" s="22" t="s">
        <v>74</v>
      </c>
      <c r="W26" s="22" t="s">
        <v>102</v>
      </c>
      <c r="X26" s="22" t="s">
        <v>57</v>
      </c>
      <c r="Y26" s="23">
        <v>46303</v>
      </c>
      <c r="Z26" s="20">
        <f>IF($A26="","",IF($Y26&lt;&gt;"",$Y26-$B26,ReportDate-$B26))</f>
        <v>52</v>
      </c>
      <c r="AA26" s="20" t="str">
        <f>IF(OR($A26="",$W26="Closed"),"",$U26-ReportDate)</f>
        <v/>
      </c>
      <c r="AB26" s="20" t="str">
        <f>IF($A26="","",IF($W26="Closed",IF($Y26&lt;=$U26,"Closed on time","Closed late"),IF($W26="Awaiting ID","Paused",IF($AA26&lt;0,"Overdue",IF($AA26&lt;=RedDays,"Red",IF($AA26&lt;=AmberDays,"Amber","Green"))))))</f>
        <v>Closed late</v>
      </c>
      <c r="AC26" s="20" t="str">
        <f t="shared" si="1"/>
        <v>N</v>
      </c>
      <c r="AD26" s="22" t="s">
        <v>57</v>
      </c>
      <c r="AE26" s="22" t="s">
        <v>211</v>
      </c>
      <c r="AF26" s="20" t="str">
        <f>IF($A26="","",IF(IF(OR($B26="",$C26="",$D26="",$V26="",$W26=""),"missing required field; ","")&amp;IF(COUNTIF($A$2:$A$201,$A26)&gt;1,"duplicate ID; ","")&amp;IF(AND($B26&lt;&gt;"",$B26&gt;ReportDate),"received after snapshot date; ","")&amp;IF(AND($I26&lt;&gt;"",$B26&lt;&gt;"",$I26&lt;$B26),"acknowledged before receipt; ","")&amp;IF(AND($K26="Y",$L26="",$W26&lt;&gt;"Logged"),"ID requested date missing; ","")&amp;IF(AND($L26&lt;&gt;"",$M26&lt;&gt;"",$M26&lt;$L26),"ID dates out of order; ","")&amp;IF(AND($K26&lt;&gt;"Y",OR($L26&lt;&gt;"",$W26="Awaiting ID")),"ID fields used but ID_Check_Needed is not Y; ","")&amp;IF(AND($R26="Y",$S26=""),"extension notice date missing; ","")&amp;IF(AND($R26&lt;&gt;"Y",$S26&lt;&gt;""),"notice date but Extended is not Y; ","")&amp;IF(AND($W26="Closed",$Y26=""),"closed without response date; ","")&amp;IF(AND($Y26&lt;&gt;"",$W26&lt;&gt;"Closed"),"response date but status not Closed; ","")&amp;IF(AND($Y26&lt;&gt;"",$B26&lt;&gt;"",$Y26&lt;$B26),"response before receipt; ","")&amp;IF(AND($AD26="Y",$AE26=""),"exemption needs a reason in Notes; ","")="","OK","Check: "&amp;IF(OR($B26="",$C26="",$D26="",$V26="",$W26=""),"missing required field; ","")&amp;IF(COUNTIF($A$2:$A$201,$A26)&gt;1,"duplicate ID; ","")&amp;IF(AND($B26&lt;&gt;"",$B26&gt;ReportDate),"received after snapshot date; ","")&amp;IF(AND($I26&lt;&gt;"",$B26&lt;&gt;"",$I26&lt;$B26),"acknowledged before receipt; ","")&amp;IF(AND($K26="Y",$L26="",$W26&lt;&gt;"Logged"),"ID requested date missing; ","")&amp;IF(AND($L26&lt;&gt;"",$M26&lt;&gt;"",$M26&lt;$L26),"ID dates out of order; ","")&amp;IF(AND($K26&lt;&gt;"Y",OR($L26&lt;&gt;"",$W26="Awaiting ID")),"ID fields used but ID_Check_Needed is not Y; ","")&amp;IF(AND($R26="Y",$S26=""),"extension notice date missing; ","")&amp;IF(AND($R26&lt;&gt;"Y",$S26&lt;&gt;""),"notice date but Extended is not Y; ","")&amp;IF(AND($W26="Closed",$Y26=""),"closed without response date; ","")&amp;IF(AND($Y26&lt;&gt;"",$W26&lt;&gt;"Closed"),"response date but status not Closed; ","")&amp;IF(AND($Y26&lt;&gt;"",$B26&lt;&gt;"",$Y26&lt;$B26),"response before receipt; ","")&amp;IF(AND($AD26="Y",$AE26=""),"exemption needs a reason in Notes; ","")))</f>
        <v>OK</v>
      </c>
    </row>
    <row r="27" spans="1:32" x14ac:dyDescent="0.35">
      <c r="A27" s="22" t="s">
        <v>212</v>
      </c>
      <c r="B27" s="23">
        <v>46258</v>
      </c>
      <c r="C27" s="22" t="s">
        <v>70</v>
      </c>
      <c r="D27" s="22" t="s">
        <v>45</v>
      </c>
      <c r="E27" s="20" t="str">
        <f>IF($A27="","",IFERROR(VLOOKUP($D27,ReqTypes,2,FALSE),"?"))</f>
        <v>Art 17</v>
      </c>
      <c r="F27" s="20" t="str">
        <f>IF($A27="","",IFERROR(VLOOKUP($D27,ReqTypes,3,FALSE),"?"))</f>
        <v>Y</v>
      </c>
      <c r="G27" s="22" t="s">
        <v>71</v>
      </c>
      <c r="H27" s="22" t="s">
        <v>72</v>
      </c>
      <c r="I27" s="23">
        <v>46259</v>
      </c>
      <c r="J27" s="20" t="str">
        <f>IF(OR($A27="",$I27=""),"",IF(NETWORKDAYS($B27,$I27,Holidays)-1&lt;=AckDays,"Y","N"))</f>
        <v>Y</v>
      </c>
      <c r="K27" s="22" t="s">
        <v>57</v>
      </c>
      <c r="L27" s="23"/>
      <c r="M27" s="23"/>
      <c r="N27" s="20" t="str">
        <f>IF(OR($A27="",$K27&lt;&gt;"Y"),"",IF($L27="","Pending",IF($L27-$B27&lt;=IDPromptDays,"Y","Check")))</f>
        <v/>
      </c>
      <c r="O27" s="20">
        <f>IF($A27="","",IF(OR($K27&lt;&gt;"Y",$L27=""),0,IF($M27="",MAX(0,ReportDate-$L27),$M27-$L27)))</f>
        <v>0</v>
      </c>
      <c r="P27" s="21">
        <f>IF($A27="","",IF($F27&lt;&gt;"Y","n/a",WORKDAY(EDATE($B27,1)+$O27-1,1,Holidays)))</f>
        <v>46289</v>
      </c>
      <c r="Q27" s="21">
        <f>IF($A27="","",$B27+$O27+InternalDays)</f>
        <v>46273</v>
      </c>
      <c r="R27" s="22" t="s">
        <v>57</v>
      </c>
      <c r="S27" s="23"/>
      <c r="T27" s="20" t="str">
        <f t="shared" si="0"/>
        <v/>
      </c>
      <c r="U27" s="21">
        <f>IF($A27="","",IF($F27&lt;&gt;"Y",$Q27,IF(AND($R27="Y",$T27="Y"),WORKDAY(EDATE($B27,3)+$O27-1,1,Holidays),$P27)))</f>
        <v>46289</v>
      </c>
      <c r="V27" s="22" t="s">
        <v>97</v>
      </c>
      <c r="W27" s="22" t="s">
        <v>102</v>
      </c>
      <c r="X27" s="22" t="s">
        <v>57</v>
      </c>
      <c r="Y27" s="23">
        <v>46265</v>
      </c>
      <c r="Z27" s="20">
        <f>IF($A27="","",IF($Y27&lt;&gt;"",$Y27-$B27,ReportDate-$B27))</f>
        <v>7</v>
      </c>
      <c r="AA27" s="20" t="str">
        <f>IF(OR($A27="",$W27="Closed"),"",$U27-ReportDate)</f>
        <v/>
      </c>
      <c r="AB27" s="20" t="str">
        <f>IF($A27="","",IF($W27="Closed",IF($Y27&lt;=$U27,"Closed on time","Closed late"),IF($W27="Awaiting ID","Paused",IF($AA27&lt;0,"Overdue",IF($AA27&lt;=RedDays,"Red",IF($AA27&lt;=AmberDays,"Amber","Green"))))))</f>
        <v>Closed on time</v>
      </c>
      <c r="AC27" s="20" t="str">
        <f t="shared" si="1"/>
        <v>Y</v>
      </c>
      <c r="AD27" s="22" t="s">
        <v>57</v>
      </c>
      <c r="AE27" s="22"/>
      <c r="AF27" s="20" t="str">
        <f>IF($A27="","",IF(IF(OR($B27="",$C27="",$D27="",$V27="",$W27=""),"missing required field; ","")&amp;IF(COUNTIF($A$2:$A$201,$A27)&gt;1,"duplicate ID; ","")&amp;IF(AND($B27&lt;&gt;"",$B27&gt;ReportDate),"received after snapshot date; ","")&amp;IF(AND($I27&lt;&gt;"",$B27&lt;&gt;"",$I27&lt;$B27),"acknowledged before receipt; ","")&amp;IF(AND($K27="Y",$L27="",$W27&lt;&gt;"Logged"),"ID requested date missing; ","")&amp;IF(AND($L27&lt;&gt;"",$M27&lt;&gt;"",$M27&lt;$L27),"ID dates out of order; ","")&amp;IF(AND($K27&lt;&gt;"Y",OR($L27&lt;&gt;"",$W27="Awaiting ID")),"ID fields used but ID_Check_Needed is not Y; ","")&amp;IF(AND($R27="Y",$S27=""),"extension notice date missing; ","")&amp;IF(AND($R27&lt;&gt;"Y",$S27&lt;&gt;""),"notice date but Extended is not Y; ","")&amp;IF(AND($W27="Closed",$Y27=""),"closed without response date; ","")&amp;IF(AND($Y27&lt;&gt;"",$W27&lt;&gt;"Closed"),"response date but status not Closed; ","")&amp;IF(AND($Y27&lt;&gt;"",$B27&lt;&gt;"",$Y27&lt;$B27),"response before receipt; ","")&amp;IF(AND($AD27="Y",$AE27=""),"exemption needs a reason in Notes; ","")="","OK","Check: "&amp;IF(OR($B27="",$C27="",$D27="",$V27="",$W27=""),"missing required field; ","")&amp;IF(COUNTIF($A$2:$A$201,$A27)&gt;1,"duplicate ID; ","")&amp;IF(AND($B27&lt;&gt;"",$B27&gt;ReportDate),"received after snapshot date; ","")&amp;IF(AND($I27&lt;&gt;"",$B27&lt;&gt;"",$I27&lt;$B27),"acknowledged before receipt; ","")&amp;IF(AND($K27="Y",$L27="",$W27&lt;&gt;"Logged"),"ID requested date missing; ","")&amp;IF(AND($L27&lt;&gt;"",$M27&lt;&gt;"",$M27&lt;$L27),"ID dates out of order; ","")&amp;IF(AND($K27&lt;&gt;"Y",OR($L27&lt;&gt;"",$W27="Awaiting ID")),"ID fields used but ID_Check_Needed is not Y; ","")&amp;IF(AND($R27="Y",$S27=""),"extension notice date missing; ","")&amp;IF(AND($R27&lt;&gt;"Y",$S27&lt;&gt;""),"notice date but Extended is not Y; ","")&amp;IF(AND($W27="Closed",$Y27=""),"closed without response date; ","")&amp;IF(AND($Y27&lt;&gt;"",$W27&lt;&gt;"Closed"),"response date but status not Closed; ","")&amp;IF(AND($Y27&lt;&gt;"",$B27&lt;&gt;"",$Y27&lt;$B27),"response before receipt; ","")&amp;IF(AND($AD27="Y",$AE27=""),"exemption needs a reason in Notes; ","")))</f>
        <v>OK</v>
      </c>
    </row>
    <row r="28" spans="1:32" x14ac:dyDescent="0.35">
      <c r="A28" s="22" t="s">
        <v>213</v>
      </c>
      <c r="B28" s="23">
        <v>46262</v>
      </c>
      <c r="C28" s="22" t="s">
        <v>99</v>
      </c>
      <c r="D28" s="22" t="s">
        <v>58</v>
      </c>
      <c r="E28" s="20" t="str">
        <f>IF($A28="","",IFERROR(VLOOKUP($D28,ReqTypes,2,FALSE),"?"))</f>
        <v>n/a</v>
      </c>
      <c r="F28" s="20" t="str">
        <f>IF($A28="","",IFERROR(VLOOKUP($D28,ReqTypes,3,FALSE),"?"))</f>
        <v>N</v>
      </c>
      <c r="G28" s="22" t="s">
        <v>71</v>
      </c>
      <c r="H28" s="22" t="s">
        <v>104</v>
      </c>
      <c r="I28" s="23">
        <v>46265</v>
      </c>
      <c r="J28" s="20" t="str">
        <f>IF(OR($A28="",$I28=""),"",IF(NETWORKDAYS($B28,$I28,Holidays)-1&lt;=AckDays,"Y","N"))</f>
        <v>Y</v>
      </c>
      <c r="K28" s="22" t="s">
        <v>57</v>
      </c>
      <c r="L28" s="23"/>
      <c r="M28" s="23"/>
      <c r="N28" s="20" t="str">
        <f>IF(OR($A28="",$K28&lt;&gt;"Y"),"",IF($L28="","Pending",IF($L28-$B28&lt;=IDPromptDays,"Y","Check")))</f>
        <v/>
      </c>
      <c r="O28" s="20">
        <f>IF($A28="","",IF(OR($K28&lt;&gt;"Y",$L28=""),0,IF($M28="",MAX(0,ReportDate-$L28),$M28-$L28)))</f>
        <v>0</v>
      </c>
      <c r="P28" s="21" t="str">
        <f>IF($A28="","",IF($F28&lt;&gt;"Y","n/a",WORKDAY(EDATE($B28,1)+$O28-1,1,Holidays)))</f>
        <v>n/a</v>
      </c>
      <c r="Q28" s="21">
        <f>IF($A28="","",$B28+$O28+InternalDays)</f>
        <v>46277</v>
      </c>
      <c r="R28" s="22" t="s">
        <v>57</v>
      </c>
      <c r="S28" s="23"/>
      <c r="T28" s="20" t="str">
        <f t="shared" si="0"/>
        <v/>
      </c>
      <c r="U28" s="21">
        <f>IF($A28="","",IF($F28&lt;&gt;"Y",$Q28,IF(AND($R28="Y",$T28="Y"),WORKDAY(EDATE($B28,3)+$O28-1,1,Holidays),$P28)))</f>
        <v>46277</v>
      </c>
      <c r="V28" s="22" t="s">
        <v>74</v>
      </c>
      <c r="W28" s="22" t="s">
        <v>102</v>
      </c>
      <c r="X28" s="22" t="s">
        <v>57</v>
      </c>
      <c r="Y28" s="23">
        <v>46266</v>
      </c>
      <c r="Z28" s="20">
        <f>IF($A28="","",IF($Y28&lt;&gt;"",$Y28-$B28,ReportDate-$B28))</f>
        <v>4</v>
      </c>
      <c r="AA28" s="20" t="str">
        <f>IF(OR($A28="",$W28="Closed"),"",$U28-ReportDate)</f>
        <v/>
      </c>
      <c r="AB28" s="20" t="str">
        <f>IF($A28="","",IF($W28="Closed",IF($Y28&lt;=$U28,"Closed on time","Closed late"),IF($W28="Awaiting ID","Paused",IF($AA28&lt;0,"Overdue",IF($AA28&lt;=RedDays,"Red",IF($AA28&lt;=AmberDays,"Amber","Green"))))))</f>
        <v>Closed on time</v>
      </c>
      <c r="AC28" s="20" t="str">
        <f t="shared" si="1"/>
        <v>Y</v>
      </c>
      <c r="AD28" s="22" t="s">
        <v>57</v>
      </c>
      <c r="AE28" s="22"/>
      <c r="AF28" s="20" t="str">
        <f>IF($A28="","",IF(IF(OR($B28="",$C28="",$D28="",$V28="",$W28=""),"missing required field; ","")&amp;IF(COUNTIF($A$2:$A$201,$A28)&gt;1,"duplicate ID; ","")&amp;IF(AND($B28&lt;&gt;"",$B28&gt;ReportDate),"received after snapshot date; ","")&amp;IF(AND($I28&lt;&gt;"",$B28&lt;&gt;"",$I28&lt;$B28),"acknowledged before receipt; ","")&amp;IF(AND($K28="Y",$L28="",$W28&lt;&gt;"Logged"),"ID requested date missing; ","")&amp;IF(AND($L28&lt;&gt;"",$M28&lt;&gt;"",$M28&lt;$L28),"ID dates out of order; ","")&amp;IF(AND($K28&lt;&gt;"Y",OR($L28&lt;&gt;"",$W28="Awaiting ID")),"ID fields used but ID_Check_Needed is not Y; ","")&amp;IF(AND($R28="Y",$S28=""),"extension notice date missing; ","")&amp;IF(AND($R28&lt;&gt;"Y",$S28&lt;&gt;""),"notice date but Extended is not Y; ","")&amp;IF(AND($W28="Closed",$Y28=""),"closed without response date; ","")&amp;IF(AND($Y28&lt;&gt;"",$W28&lt;&gt;"Closed"),"response date but status not Closed; ","")&amp;IF(AND($Y28&lt;&gt;"",$B28&lt;&gt;"",$Y28&lt;$B28),"response before receipt; ","")&amp;IF(AND($AD28="Y",$AE28=""),"exemption needs a reason in Notes; ","")="","OK","Check: "&amp;IF(OR($B28="",$C28="",$D28="",$V28="",$W28=""),"missing required field; ","")&amp;IF(COUNTIF($A$2:$A$201,$A28)&gt;1,"duplicate ID; ","")&amp;IF(AND($B28&lt;&gt;"",$B28&gt;ReportDate),"received after snapshot date; ","")&amp;IF(AND($I28&lt;&gt;"",$B28&lt;&gt;"",$I28&lt;$B28),"acknowledged before receipt; ","")&amp;IF(AND($K28="Y",$L28="",$W28&lt;&gt;"Logged"),"ID requested date missing; ","")&amp;IF(AND($L28&lt;&gt;"",$M28&lt;&gt;"",$M28&lt;$L28),"ID dates out of order; ","")&amp;IF(AND($K28&lt;&gt;"Y",OR($L28&lt;&gt;"",$W28="Awaiting ID")),"ID fields used but ID_Check_Needed is not Y; ","")&amp;IF(AND($R28="Y",$S28=""),"extension notice date missing; ","")&amp;IF(AND($R28&lt;&gt;"Y",$S28&lt;&gt;""),"notice date but Extended is not Y; ","")&amp;IF(AND($W28="Closed",$Y28=""),"closed without response date; ","")&amp;IF(AND($Y28&lt;&gt;"",$W28&lt;&gt;"Closed"),"response date but status not Closed; ","")&amp;IF(AND($Y28&lt;&gt;"",$B28&lt;&gt;"",$Y28&lt;$B28),"response before receipt; ","")&amp;IF(AND($AD28="Y",$AE28=""),"exemption needs a reason in Notes; ","")))</f>
        <v>OK</v>
      </c>
    </row>
    <row r="29" spans="1:32" x14ac:dyDescent="0.35">
      <c r="A29" s="22" t="s">
        <v>214</v>
      </c>
      <c r="B29" s="23">
        <v>46268</v>
      </c>
      <c r="C29" s="22" t="s">
        <v>70</v>
      </c>
      <c r="D29" s="22" t="s">
        <v>40</v>
      </c>
      <c r="E29" s="20" t="str">
        <f>IF($A29="","",IFERROR(VLOOKUP($D29,ReqTypes,2,FALSE),"?"))</f>
        <v>Art 15</v>
      </c>
      <c r="F29" s="20" t="str">
        <f>IF($A29="","",IFERROR(VLOOKUP($D29,ReqTypes,3,FALSE),"?"))</f>
        <v>Y</v>
      </c>
      <c r="G29" s="22" t="s">
        <v>80</v>
      </c>
      <c r="H29" s="22" t="s">
        <v>91</v>
      </c>
      <c r="I29" s="23">
        <v>46269</v>
      </c>
      <c r="J29" s="20" t="str">
        <f>IF(OR($A29="",$I29=""),"",IF(NETWORKDAYS($B29,$I29,Holidays)-1&lt;=AckDays,"Y","N"))</f>
        <v>Y</v>
      </c>
      <c r="K29" s="22" t="s">
        <v>57</v>
      </c>
      <c r="L29" s="23"/>
      <c r="M29" s="23"/>
      <c r="N29" s="20" t="str">
        <f>IF(OR($A29="",$K29&lt;&gt;"Y"),"",IF($L29="","Pending",IF($L29-$B29&lt;=IDPromptDays,"Y","Check")))</f>
        <v/>
      </c>
      <c r="O29" s="20">
        <f>IF($A29="","",IF(OR($K29&lt;&gt;"Y",$L29=""),0,IF($M29="",MAX(0,ReportDate-$L29),$M29-$L29)))</f>
        <v>0</v>
      </c>
      <c r="P29" s="21">
        <f>IF($A29="","",IF($F29&lt;&gt;"Y","n/a",WORKDAY(EDATE($B29,1)+$O29-1,1,Holidays)))</f>
        <v>46300</v>
      </c>
      <c r="Q29" s="21">
        <f>IF($A29="","",$B29+$O29+InternalDays)</f>
        <v>46283</v>
      </c>
      <c r="R29" s="22" t="s">
        <v>57</v>
      </c>
      <c r="S29" s="23"/>
      <c r="T29" s="20" t="str">
        <f t="shared" si="0"/>
        <v/>
      </c>
      <c r="U29" s="21">
        <f>IF($A29="","",IF($F29&lt;&gt;"Y",$Q29,IF(AND($R29="Y",$T29="Y"),WORKDAY(EDATE($B29,3)+$O29-1,1,Holidays),$P29)))</f>
        <v>46300</v>
      </c>
      <c r="V29" s="22" t="s">
        <v>91</v>
      </c>
      <c r="W29" s="22" t="s">
        <v>102</v>
      </c>
      <c r="X29" s="22" t="s">
        <v>57</v>
      </c>
      <c r="Y29" s="23">
        <v>46293</v>
      </c>
      <c r="Z29" s="20">
        <f>IF($A29="","",IF($Y29&lt;&gt;"",$Y29-$B29,ReportDate-$B29))</f>
        <v>25</v>
      </c>
      <c r="AA29" s="20" t="str">
        <f>IF(OR($A29="",$W29="Closed"),"",$U29-ReportDate)</f>
        <v/>
      </c>
      <c r="AB29" s="20" t="str">
        <f>IF($A29="","",IF($W29="Closed",IF($Y29&lt;=$U29,"Closed on time","Closed late"),IF($W29="Awaiting ID","Paused",IF($AA29&lt;0,"Overdue",IF($AA29&lt;=RedDays,"Red",IF($AA29&lt;=AmberDays,"Amber","Green"))))))</f>
        <v>Closed on time</v>
      </c>
      <c r="AC29" s="20" t="str">
        <f t="shared" si="1"/>
        <v>Y</v>
      </c>
      <c r="AD29" s="22" t="s">
        <v>57</v>
      </c>
      <c r="AE29" s="22"/>
      <c r="AF29" s="20" t="str">
        <f>IF($A29="","",IF(IF(OR($B29="",$C29="",$D29="",$V29="",$W29=""),"missing required field; ","")&amp;IF(COUNTIF($A$2:$A$201,$A29)&gt;1,"duplicate ID; ","")&amp;IF(AND($B29&lt;&gt;"",$B29&gt;ReportDate),"received after snapshot date; ","")&amp;IF(AND($I29&lt;&gt;"",$B29&lt;&gt;"",$I29&lt;$B29),"acknowledged before receipt; ","")&amp;IF(AND($K29="Y",$L29="",$W29&lt;&gt;"Logged"),"ID requested date missing; ","")&amp;IF(AND($L29&lt;&gt;"",$M29&lt;&gt;"",$M29&lt;$L29),"ID dates out of order; ","")&amp;IF(AND($K29&lt;&gt;"Y",OR($L29&lt;&gt;"",$W29="Awaiting ID")),"ID fields used but ID_Check_Needed is not Y; ","")&amp;IF(AND($R29="Y",$S29=""),"extension notice date missing; ","")&amp;IF(AND($R29&lt;&gt;"Y",$S29&lt;&gt;""),"notice date but Extended is not Y; ","")&amp;IF(AND($W29="Closed",$Y29=""),"closed without response date; ","")&amp;IF(AND($Y29&lt;&gt;"",$W29&lt;&gt;"Closed"),"response date but status not Closed; ","")&amp;IF(AND($Y29&lt;&gt;"",$B29&lt;&gt;"",$Y29&lt;$B29),"response before receipt; ","")&amp;IF(AND($AD29="Y",$AE29=""),"exemption needs a reason in Notes; ","")="","OK","Check: "&amp;IF(OR($B29="",$C29="",$D29="",$V29="",$W29=""),"missing required field; ","")&amp;IF(COUNTIF($A$2:$A$201,$A29)&gt;1,"duplicate ID; ","")&amp;IF(AND($B29&lt;&gt;"",$B29&gt;ReportDate),"received after snapshot date; ","")&amp;IF(AND($I29&lt;&gt;"",$B29&lt;&gt;"",$I29&lt;$B29),"acknowledged before receipt; ","")&amp;IF(AND($K29="Y",$L29="",$W29&lt;&gt;"Logged"),"ID requested date missing; ","")&amp;IF(AND($L29&lt;&gt;"",$M29&lt;&gt;"",$M29&lt;$L29),"ID dates out of order; ","")&amp;IF(AND($K29&lt;&gt;"Y",OR($L29&lt;&gt;"",$W29="Awaiting ID")),"ID fields used but ID_Check_Needed is not Y; ","")&amp;IF(AND($R29="Y",$S29=""),"extension notice date missing; ","")&amp;IF(AND($R29&lt;&gt;"Y",$S29&lt;&gt;""),"notice date but Extended is not Y; ","")&amp;IF(AND($W29="Closed",$Y29=""),"closed without response date; ","")&amp;IF(AND($Y29&lt;&gt;"",$W29&lt;&gt;"Closed"),"response date but status not Closed; ","")&amp;IF(AND($Y29&lt;&gt;"",$B29&lt;&gt;"",$Y29&lt;$B29),"response before receipt; ","")&amp;IF(AND($AD29="Y",$AE29=""),"exemption needs a reason in Notes; ","")))</f>
        <v>OK</v>
      </c>
    </row>
    <row r="30" spans="1:32" x14ac:dyDescent="0.35">
      <c r="A30" s="22" t="s">
        <v>215</v>
      </c>
      <c r="B30" s="23">
        <v>46273</v>
      </c>
      <c r="C30" s="22" t="s">
        <v>79</v>
      </c>
      <c r="D30" s="22" t="s">
        <v>43</v>
      </c>
      <c r="E30" s="20" t="str">
        <f>IF($A30="","",IFERROR(VLOOKUP($D30,ReqTypes,2,FALSE),"?"))</f>
        <v>Art 16</v>
      </c>
      <c r="F30" s="20" t="str">
        <f>IF($A30="","",IFERROR(VLOOKUP($D30,ReqTypes,3,FALSE),"?"))</f>
        <v>Y</v>
      </c>
      <c r="G30" s="22" t="s">
        <v>71</v>
      </c>
      <c r="H30" s="22" t="s">
        <v>72</v>
      </c>
      <c r="I30" s="23">
        <v>46274</v>
      </c>
      <c r="J30" s="20" t="str">
        <f>IF(OR($A30="",$I30=""),"",IF(NETWORKDAYS($B30,$I30,Holidays)-1&lt;=AckDays,"Y","N"))</f>
        <v>Y</v>
      </c>
      <c r="K30" s="22" t="s">
        <v>57</v>
      </c>
      <c r="L30" s="23"/>
      <c r="M30" s="23"/>
      <c r="N30" s="20" t="str">
        <f>IF(OR($A30="",$K30&lt;&gt;"Y"),"",IF($L30="","Pending",IF($L30-$B30&lt;=IDPromptDays,"Y","Check")))</f>
        <v/>
      </c>
      <c r="O30" s="20">
        <f>IF($A30="","",IF(OR($K30&lt;&gt;"Y",$L30=""),0,IF($M30="",MAX(0,ReportDate-$L30),$M30-$L30)))</f>
        <v>0</v>
      </c>
      <c r="P30" s="21">
        <f>IF($A30="","",IF($F30&lt;&gt;"Y","n/a",WORKDAY(EDATE($B30,1)+$O30-1,1,Holidays)))</f>
        <v>46303</v>
      </c>
      <c r="Q30" s="21">
        <f>IF($A30="","",$B30+$O30+InternalDays)</f>
        <v>46288</v>
      </c>
      <c r="R30" s="22" t="s">
        <v>57</v>
      </c>
      <c r="S30" s="23"/>
      <c r="T30" s="20" t="str">
        <f t="shared" si="0"/>
        <v/>
      </c>
      <c r="U30" s="21">
        <f>IF($A30="","",IF($F30&lt;&gt;"Y",$Q30,IF(AND($R30="Y",$T30="Y"),WORKDAY(EDATE($B30,3)+$O30-1,1,Holidays),$P30)))</f>
        <v>46303</v>
      </c>
      <c r="V30" s="22" t="s">
        <v>74</v>
      </c>
      <c r="W30" s="22" t="s">
        <v>102</v>
      </c>
      <c r="X30" s="22" t="s">
        <v>57</v>
      </c>
      <c r="Y30" s="23">
        <v>46279</v>
      </c>
      <c r="Z30" s="20">
        <f>IF($A30="","",IF($Y30&lt;&gt;"",$Y30-$B30,ReportDate-$B30))</f>
        <v>6</v>
      </c>
      <c r="AA30" s="20" t="str">
        <f>IF(OR($A30="",$W30="Closed"),"",$U30-ReportDate)</f>
        <v/>
      </c>
      <c r="AB30" s="20" t="str">
        <f>IF($A30="","",IF($W30="Closed",IF($Y30&lt;=$U30,"Closed on time","Closed late"),IF($W30="Awaiting ID","Paused",IF($AA30&lt;0,"Overdue",IF($AA30&lt;=RedDays,"Red",IF($AA30&lt;=AmberDays,"Amber","Green"))))))</f>
        <v>Closed on time</v>
      </c>
      <c r="AC30" s="20" t="str">
        <f t="shared" si="1"/>
        <v>Y</v>
      </c>
      <c r="AD30" s="22" t="s">
        <v>57</v>
      </c>
      <c r="AE30" s="22"/>
      <c r="AF30" s="20" t="str">
        <f>IF($A30="","",IF(IF(OR($B30="",$C30="",$D30="",$V30="",$W30=""),"missing required field; ","")&amp;IF(COUNTIF($A$2:$A$201,$A30)&gt;1,"duplicate ID; ","")&amp;IF(AND($B30&lt;&gt;"",$B30&gt;ReportDate),"received after snapshot date; ","")&amp;IF(AND($I30&lt;&gt;"",$B30&lt;&gt;"",$I30&lt;$B30),"acknowledged before receipt; ","")&amp;IF(AND($K30="Y",$L30="",$W30&lt;&gt;"Logged"),"ID requested date missing; ","")&amp;IF(AND($L30&lt;&gt;"",$M30&lt;&gt;"",$M30&lt;$L30),"ID dates out of order; ","")&amp;IF(AND($K30&lt;&gt;"Y",OR($L30&lt;&gt;"",$W30="Awaiting ID")),"ID fields used but ID_Check_Needed is not Y; ","")&amp;IF(AND($R30="Y",$S30=""),"extension notice date missing; ","")&amp;IF(AND($R30&lt;&gt;"Y",$S30&lt;&gt;""),"notice date but Extended is not Y; ","")&amp;IF(AND($W30="Closed",$Y30=""),"closed without response date; ","")&amp;IF(AND($Y30&lt;&gt;"",$W30&lt;&gt;"Closed"),"response date but status not Closed; ","")&amp;IF(AND($Y30&lt;&gt;"",$B30&lt;&gt;"",$Y30&lt;$B30),"response before receipt; ","")&amp;IF(AND($AD30="Y",$AE30=""),"exemption needs a reason in Notes; ","")="","OK","Check: "&amp;IF(OR($B30="",$C30="",$D30="",$V30="",$W30=""),"missing required field; ","")&amp;IF(COUNTIF($A$2:$A$201,$A30)&gt;1,"duplicate ID; ","")&amp;IF(AND($B30&lt;&gt;"",$B30&gt;ReportDate),"received after snapshot date; ","")&amp;IF(AND($I30&lt;&gt;"",$B30&lt;&gt;"",$I30&lt;$B30),"acknowledged before receipt; ","")&amp;IF(AND($K30="Y",$L30="",$W30&lt;&gt;"Logged"),"ID requested date missing; ","")&amp;IF(AND($L30&lt;&gt;"",$M30&lt;&gt;"",$M30&lt;$L30),"ID dates out of order; ","")&amp;IF(AND($K30&lt;&gt;"Y",OR($L30&lt;&gt;"",$W30="Awaiting ID")),"ID fields used but ID_Check_Needed is not Y; ","")&amp;IF(AND($R30="Y",$S30=""),"extension notice date missing; ","")&amp;IF(AND($R30&lt;&gt;"Y",$S30&lt;&gt;""),"notice date but Extended is not Y; ","")&amp;IF(AND($W30="Closed",$Y30=""),"closed without response date; ","")&amp;IF(AND($Y30&lt;&gt;"",$W30&lt;&gt;"Closed"),"response date but status not Closed; ","")&amp;IF(AND($Y30&lt;&gt;"",$B30&lt;&gt;"",$Y30&lt;$B30),"response before receipt; ","")&amp;IF(AND($AD30="Y",$AE30=""),"exemption needs a reason in Notes; ","")))</f>
        <v>OK</v>
      </c>
    </row>
    <row r="31" spans="1:32" x14ac:dyDescent="0.35">
      <c r="A31" s="22" t="s">
        <v>216</v>
      </c>
      <c r="B31" s="23">
        <v>46279</v>
      </c>
      <c r="C31" s="22" t="s">
        <v>70</v>
      </c>
      <c r="D31" s="22" t="s">
        <v>40</v>
      </c>
      <c r="E31" s="20" t="str">
        <f>IF($A31="","",IFERROR(VLOOKUP($D31,ReqTypes,2,FALSE),"?"))</f>
        <v>Art 15</v>
      </c>
      <c r="F31" s="20" t="str">
        <f>IF($A31="","",IFERROR(VLOOKUP($D31,ReqTypes,3,FALSE),"?"))</f>
        <v>Y</v>
      </c>
      <c r="G31" s="22" t="s">
        <v>89</v>
      </c>
      <c r="H31" s="22" t="s">
        <v>91</v>
      </c>
      <c r="I31" s="23">
        <v>46281</v>
      </c>
      <c r="J31" s="20" t="str">
        <f>IF(OR($A31="",$I31=""),"",IF(NETWORKDAYS($B31,$I31,Holidays)-1&lt;=AckDays,"Y","N"))</f>
        <v>Y</v>
      </c>
      <c r="K31" s="22" t="s">
        <v>57</v>
      </c>
      <c r="L31" s="23"/>
      <c r="M31" s="23"/>
      <c r="N31" s="20" t="str">
        <f>IF(OR($A31="",$K31&lt;&gt;"Y"),"",IF($L31="","Pending",IF($L31-$B31&lt;=IDPromptDays,"Y","Check")))</f>
        <v/>
      </c>
      <c r="O31" s="20">
        <f>IF($A31="","",IF(OR($K31&lt;&gt;"Y",$L31=""),0,IF($M31="",MAX(0,ReportDate-$L31),$M31-$L31)))</f>
        <v>0</v>
      </c>
      <c r="P31" s="21">
        <f>IF($A31="","",IF($F31&lt;&gt;"Y","n/a",WORKDAY(EDATE($B31,1)+$O31-1,1,Holidays)))</f>
        <v>46309</v>
      </c>
      <c r="Q31" s="21">
        <f>IF($A31="","",$B31+$O31+InternalDays)</f>
        <v>46294</v>
      </c>
      <c r="R31" s="22" t="s">
        <v>57</v>
      </c>
      <c r="S31" s="23"/>
      <c r="T31" s="20" t="str">
        <f t="shared" si="0"/>
        <v/>
      </c>
      <c r="U31" s="21">
        <f>IF($A31="","",IF($F31&lt;&gt;"Y",$Q31,IF(AND($R31="Y",$T31="Y"),WORKDAY(EDATE($B31,3)+$O31-1,1,Holidays),$P31)))</f>
        <v>46309</v>
      </c>
      <c r="V31" s="22" t="s">
        <v>91</v>
      </c>
      <c r="W31" s="22" t="s">
        <v>96</v>
      </c>
      <c r="X31" s="22" t="s">
        <v>42</v>
      </c>
      <c r="Y31" s="23"/>
      <c r="Z31" s="20">
        <f>IF($A31="","",IF($Y31&lt;&gt;"",$Y31-$B31,ReportDate-$B31))</f>
        <v>46</v>
      </c>
      <c r="AA31" s="20">
        <f>IF(OR($A31="",$W31="Closed"),"",$U31-ReportDate)</f>
        <v>-16</v>
      </c>
      <c r="AB31" s="20" t="str">
        <f>IF($A31="","",IF($W31="Closed",IF($Y31&lt;=$U31,"Closed on time","Closed late"),IF($W31="Awaiting ID","Paused",IF($AA31&lt;0,"Overdue",IF($AA31&lt;=RedDays,"Red",IF($AA31&lt;=AmberDays,"Amber","Green"))))))</f>
        <v>Overdue</v>
      </c>
      <c r="AC31" s="20" t="str">
        <f t="shared" si="1"/>
        <v/>
      </c>
      <c r="AD31" s="22" t="s">
        <v>57</v>
      </c>
      <c r="AE31" s="22" t="s">
        <v>217</v>
      </c>
      <c r="AF31" s="20" t="str">
        <f>IF($A31="","",IF(IF(OR($B31="",$C31="",$D31="",$V31="",$W31=""),"missing required field; ","")&amp;IF(COUNTIF($A$2:$A$201,$A31)&gt;1,"duplicate ID; ","")&amp;IF(AND($B31&lt;&gt;"",$B31&gt;ReportDate),"received after snapshot date; ","")&amp;IF(AND($I31&lt;&gt;"",$B31&lt;&gt;"",$I31&lt;$B31),"acknowledged before receipt; ","")&amp;IF(AND($K31="Y",$L31="",$W31&lt;&gt;"Logged"),"ID requested date missing; ","")&amp;IF(AND($L31&lt;&gt;"",$M31&lt;&gt;"",$M31&lt;$L31),"ID dates out of order; ","")&amp;IF(AND($K31&lt;&gt;"Y",OR($L31&lt;&gt;"",$W31="Awaiting ID")),"ID fields used but ID_Check_Needed is not Y; ","")&amp;IF(AND($R31="Y",$S31=""),"extension notice date missing; ","")&amp;IF(AND($R31&lt;&gt;"Y",$S31&lt;&gt;""),"notice date but Extended is not Y; ","")&amp;IF(AND($W31="Closed",$Y31=""),"closed without response date; ","")&amp;IF(AND($Y31&lt;&gt;"",$W31&lt;&gt;"Closed"),"response date but status not Closed; ","")&amp;IF(AND($Y31&lt;&gt;"",$B31&lt;&gt;"",$Y31&lt;$B31),"response before receipt; ","")&amp;IF(AND($AD31="Y",$AE31=""),"exemption needs a reason in Notes; ","")="","OK","Check: "&amp;IF(OR($B31="",$C31="",$D31="",$V31="",$W31=""),"missing required field; ","")&amp;IF(COUNTIF($A$2:$A$201,$A31)&gt;1,"duplicate ID; ","")&amp;IF(AND($B31&lt;&gt;"",$B31&gt;ReportDate),"received after snapshot date; ","")&amp;IF(AND($I31&lt;&gt;"",$B31&lt;&gt;"",$I31&lt;$B31),"acknowledged before receipt; ","")&amp;IF(AND($K31="Y",$L31="",$W31&lt;&gt;"Logged"),"ID requested date missing; ","")&amp;IF(AND($L31&lt;&gt;"",$M31&lt;&gt;"",$M31&lt;$L31),"ID dates out of order; ","")&amp;IF(AND($K31&lt;&gt;"Y",OR($L31&lt;&gt;"",$W31="Awaiting ID")),"ID fields used but ID_Check_Needed is not Y; ","")&amp;IF(AND($R31="Y",$S31=""),"extension notice date missing; ","")&amp;IF(AND($R31&lt;&gt;"Y",$S31&lt;&gt;""),"notice date but Extended is not Y; ","")&amp;IF(AND($W31="Closed",$Y31=""),"closed without response date; ","")&amp;IF(AND($Y31&lt;&gt;"",$W31&lt;&gt;"Closed"),"response date but status not Closed; ","")&amp;IF(AND($Y31&lt;&gt;"",$B31&lt;&gt;"",$Y31&lt;$B31),"response before receipt; ","")&amp;IF(AND($AD31="Y",$AE31=""),"exemption needs a reason in Notes; ","")))</f>
        <v>OK</v>
      </c>
    </row>
    <row r="32" spans="1:32" x14ac:dyDescent="0.35">
      <c r="A32" s="22" t="s">
        <v>218</v>
      </c>
      <c r="B32" s="23">
        <v>46286</v>
      </c>
      <c r="C32" s="22" t="s">
        <v>70</v>
      </c>
      <c r="D32" s="22" t="s">
        <v>53</v>
      </c>
      <c r="E32" s="20" t="str">
        <f>IF($A32="","",IFERROR(VLOOKUP($D32,ReqTypes,2,FALSE),"?"))</f>
        <v>Art 21(1)</v>
      </c>
      <c r="F32" s="20" t="str">
        <f>IF($A32="","",IFERROR(VLOOKUP($D32,ReqTypes,3,FALSE),"?"))</f>
        <v>Y</v>
      </c>
      <c r="G32" s="22" t="s">
        <v>71</v>
      </c>
      <c r="H32" s="22" t="s">
        <v>90</v>
      </c>
      <c r="I32" s="23">
        <v>46287</v>
      </c>
      <c r="J32" s="20" t="str">
        <f>IF(OR($A32="",$I32=""),"",IF(NETWORKDAYS($B32,$I32,Holidays)-1&lt;=AckDays,"Y","N"))</f>
        <v>Y</v>
      </c>
      <c r="K32" s="22" t="s">
        <v>57</v>
      </c>
      <c r="L32" s="23"/>
      <c r="M32" s="23"/>
      <c r="N32" s="20" t="str">
        <f>IF(OR($A32="",$K32&lt;&gt;"Y"),"",IF($L32="","Pending",IF($L32-$B32&lt;=IDPromptDays,"Y","Check")))</f>
        <v/>
      </c>
      <c r="O32" s="20">
        <f>IF($A32="","",IF(OR($K32&lt;&gt;"Y",$L32=""),0,IF($M32="",MAX(0,ReportDate-$L32),$M32-$L32)))</f>
        <v>0</v>
      </c>
      <c r="P32" s="21">
        <f>IF($A32="","",IF($F32&lt;&gt;"Y","n/a",WORKDAY(EDATE($B32,1)+$O32-1,1,Holidays)))</f>
        <v>46316</v>
      </c>
      <c r="Q32" s="21">
        <f>IF($A32="","",$B32+$O32+InternalDays)</f>
        <v>46301</v>
      </c>
      <c r="R32" s="22" t="s">
        <v>57</v>
      </c>
      <c r="S32" s="23"/>
      <c r="T32" s="20" t="str">
        <f t="shared" si="0"/>
        <v/>
      </c>
      <c r="U32" s="21">
        <f>IF($A32="","",IF($F32&lt;&gt;"Y",$Q32,IF(AND($R32="Y",$T32="Y"),WORKDAY(EDATE($B32,3)+$O32-1,1,Holidays),$P32)))</f>
        <v>46316</v>
      </c>
      <c r="V32" s="22" t="s">
        <v>103</v>
      </c>
      <c r="W32" s="22" t="s">
        <v>102</v>
      </c>
      <c r="X32" s="22" t="s">
        <v>57</v>
      </c>
      <c r="Y32" s="23">
        <v>46295</v>
      </c>
      <c r="Z32" s="20">
        <f>IF($A32="","",IF($Y32&lt;&gt;"",$Y32-$B32,ReportDate-$B32))</f>
        <v>9</v>
      </c>
      <c r="AA32" s="20" t="str">
        <f>IF(OR($A32="",$W32="Closed"),"",$U32-ReportDate)</f>
        <v/>
      </c>
      <c r="AB32" s="20" t="str">
        <f>IF($A32="","",IF($W32="Closed",IF($Y32&lt;=$U32,"Closed on time","Closed late"),IF($W32="Awaiting ID","Paused",IF($AA32&lt;0,"Overdue",IF($AA32&lt;=RedDays,"Red",IF($AA32&lt;=AmberDays,"Amber","Green"))))))</f>
        <v>Closed on time</v>
      </c>
      <c r="AC32" s="20" t="str">
        <f t="shared" si="1"/>
        <v>Y</v>
      </c>
      <c r="AD32" s="22" t="s">
        <v>57</v>
      </c>
      <c r="AE32" s="22"/>
      <c r="AF32" s="20" t="str">
        <f>IF($A32="","",IF(IF(OR($B32="",$C32="",$D32="",$V32="",$W32=""),"missing required field; ","")&amp;IF(COUNTIF($A$2:$A$201,$A32)&gt;1,"duplicate ID; ","")&amp;IF(AND($B32&lt;&gt;"",$B32&gt;ReportDate),"received after snapshot date; ","")&amp;IF(AND($I32&lt;&gt;"",$B32&lt;&gt;"",$I32&lt;$B32),"acknowledged before receipt; ","")&amp;IF(AND($K32="Y",$L32="",$W32&lt;&gt;"Logged"),"ID requested date missing; ","")&amp;IF(AND($L32&lt;&gt;"",$M32&lt;&gt;"",$M32&lt;$L32),"ID dates out of order; ","")&amp;IF(AND($K32&lt;&gt;"Y",OR($L32&lt;&gt;"",$W32="Awaiting ID")),"ID fields used but ID_Check_Needed is not Y; ","")&amp;IF(AND($R32="Y",$S32=""),"extension notice date missing; ","")&amp;IF(AND($R32&lt;&gt;"Y",$S32&lt;&gt;""),"notice date but Extended is not Y; ","")&amp;IF(AND($W32="Closed",$Y32=""),"closed without response date; ","")&amp;IF(AND($Y32&lt;&gt;"",$W32&lt;&gt;"Closed"),"response date but status not Closed; ","")&amp;IF(AND($Y32&lt;&gt;"",$B32&lt;&gt;"",$Y32&lt;$B32),"response before receipt; ","")&amp;IF(AND($AD32="Y",$AE32=""),"exemption needs a reason in Notes; ","")="","OK","Check: "&amp;IF(OR($B32="",$C32="",$D32="",$V32="",$W32=""),"missing required field; ","")&amp;IF(COUNTIF($A$2:$A$201,$A32)&gt;1,"duplicate ID; ","")&amp;IF(AND($B32&lt;&gt;"",$B32&gt;ReportDate),"received after snapshot date; ","")&amp;IF(AND($I32&lt;&gt;"",$B32&lt;&gt;"",$I32&lt;$B32),"acknowledged before receipt; ","")&amp;IF(AND($K32="Y",$L32="",$W32&lt;&gt;"Logged"),"ID requested date missing; ","")&amp;IF(AND($L32&lt;&gt;"",$M32&lt;&gt;"",$M32&lt;$L32),"ID dates out of order; ","")&amp;IF(AND($K32&lt;&gt;"Y",OR($L32&lt;&gt;"",$W32="Awaiting ID")),"ID fields used but ID_Check_Needed is not Y; ","")&amp;IF(AND($R32="Y",$S32=""),"extension notice date missing; ","")&amp;IF(AND($R32&lt;&gt;"Y",$S32&lt;&gt;""),"notice date but Extended is not Y; ","")&amp;IF(AND($W32="Closed",$Y32=""),"closed without response date; ","")&amp;IF(AND($Y32&lt;&gt;"",$W32&lt;&gt;"Closed"),"response date but status not Closed; ","")&amp;IF(AND($Y32&lt;&gt;"",$B32&lt;&gt;"",$Y32&lt;$B32),"response before receipt; ","")&amp;IF(AND($AD32="Y",$AE32=""),"exemption needs a reason in Notes; ","")))</f>
        <v>OK</v>
      </c>
    </row>
    <row r="33" spans="1:32" x14ac:dyDescent="0.35">
      <c r="A33" s="22" t="s">
        <v>219</v>
      </c>
      <c r="B33" s="23">
        <v>46293</v>
      </c>
      <c r="C33" s="22" t="s">
        <v>88</v>
      </c>
      <c r="D33" s="22" t="s">
        <v>40</v>
      </c>
      <c r="E33" s="20" t="str">
        <f>IF($A33="","",IFERROR(VLOOKUP($D33,ReqTypes,2,FALSE),"?"))</f>
        <v>Art 15</v>
      </c>
      <c r="F33" s="20" t="str">
        <f>IF($A33="","",IFERROR(VLOOKUP($D33,ReqTypes,3,FALSE),"?"))</f>
        <v>Y</v>
      </c>
      <c r="G33" s="22" t="s">
        <v>71</v>
      </c>
      <c r="H33" s="22" t="s">
        <v>81</v>
      </c>
      <c r="I33" s="23">
        <v>46295</v>
      </c>
      <c r="J33" s="20" t="str">
        <f>IF(OR($A33="",$I33=""),"",IF(NETWORKDAYS($B33,$I33,Holidays)-1&lt;=AckDays,"Y","N"))</f>
        <v>Y</v>
      </c>
      <c r="K33" s="22" t="s">
        <v>42</v>
      </c>
      <c r="L33" s="23">
        <v>46294</v>
      </c>
      <c r="M33" s="23">
        <v>46299</v>
      </c>
      <c r="N33" s="20" t="str">
        <f>IF(OR($A33="",$K33&lt;&gt;"Y"),"",IF($L33="","Pending",IF($L33-$B33&lt;=IDPromptDays,"Y","Check")))</f>
        <v>Y</v>
      </c>
      <c r="O33" s="20">
        <f>IF($A33="","",IF(OR($K33&lt;&gt;"Y",$L33=""),0,IF($M33="",MAX(0,ReportDate-$L33),$M33-$L33)))</f>
        <v>5</v>
      </c>
      <c r="P33" s="21">
        <f>IF($A33="","",IF($F33&lt;&gt;"Y","n/a",WORKDAY(EDATE($B33,1)+$O33-1,1,Holidays)))</f>
        <v>46328</v>
      </c>
      <c r="Q33" s="21">
        <f>IF($A33="","",$B33+$O33+InternalDays)</f>
        <v>46313</v>
      </c>
      <c r="R33" s="22" t="s">
        <v>57</v>
      </c>
      <c r="S33" s="23"/>
      <c r="T33" s="20" t="str">
        <f t="shared" si="0"/>
        <v/>
      </c>
      <c r="U33" s="21">
        <f>IF($A33="","",IF($F33&lt;&gt;"Y",$Q33,IF(AND($R33="Y",$T33="Y"),WORKDAY(EDATE($B33,3)+$O33-1,1,Holidays),$P33)))</f>
        <v>46328</v>
      </c>
      <c r="V33" s="22" t="s">
        <v>74</v>
      </c>
      <c r="W33" s="22" t="s">
        <v>87</v>
      </c>
      <c r="X33" s="22" t="s">
        <v>57</v>
      </c>
      <c r="Y33" s="23"/>
      <c r="Z33" s="20">
        <f>IF($A33="","",IF($Y33&lt;&gt;"",$Y33-$B33,ReportDate-$B33))</f>
        <v>32</v>
      </c>
      <c r="AA33" s="20">
        <f>IF(OR($A33="",$W33="Closed"),"",$U33-ReportDate)</f>
        <v>3</v>
      </c>
      <c r="AB33" s="20" t="str">
        <f>IF($A33="","",IF($W33="Closed",IF($Y33&lt;=$U33,"Closed on time","Closed late"),IF($W33="Awaiting ID","Paused",IF($AA33&lt;0,"Overdue",IF($AA33&lt;=RedDays,"Red",IF($AA33&lt;=AmberDays,"Amber","Green"))))))</f>
        <v>Red</v>
      </c>
      <c r="AC33" s="20" t="str">
        <f t="shared" si="1"/>
        <v/>
      </c>
      <c r="AD33" s="22" t="s">
        <v>57</v>
      </c>
      <c r="AE33" s="22"/>
      <c r="AF33" s="20" t="str">
        <f>IF($A33="","",IF(IF(OR($B33="",$C33="",$D33="",$V33="",$W33=""),"missing required field; ","")&amp;IF(COUNTIF($A$2:$A$201,$A33)&gt;1,"duplicate ID; ","")&amp;IF(AND($B33&lt;&gt;"",$B33&gt;ReportDate),"received after snapshot date; ","")&amp;IF(AND($I33&lt;&gt;"",$B33&lt;&gt;"",$I33&lt;$B33),"acknowledged before receipt; ","")&amp;IF(AND($K33="Y",$L33="",$W33&lt;&gt;"Logged"),"ID requested date missing; ","")&amp;IF(AND($L33&lt;&gt;"",$M33&lt;&gt;"",$M33&lt;$L33),"ID dates out of order; ","")&amp;IF(AND($K33&lt;&gt;"Y",OR($L33&lt;&gt;"",$W33="Awaiting ID")),"ID fields used but ID_Check_Needed is not Y; ","")&amp;IF(AND($R33="Y",$S33=""),"extension notice date missing; ","")&amp;IF(AND($R33&lt;&gt;"Y",$S33&lt;&gt;""),"notice date but Extended is not Y; ","")&amp;IF(AND($W33="Closed",$Y33=""),"closed without response date; ","")&amp;IF(AND($Y33&lt;&gt;"",$W33&lt;&gt;"Closed"),"response date but status not Closed; ","")&amp;IF(AND($Y33&lt;&gt;"",$B33&lt;&gt;"",$Y33&lt;$B33),"response before receipt; ","")&amp;IF(AND($AD33="Y",$AE33=""),"exemption needs a reason in Notes; ","")="","OK","Check: "&amp;IF(OR($B33="",$C33="",$D33="",$V33="",$W33=""),"missing required field; ","")&amp;IF(COUNTIF($A$2:$A$201,$A33)&gt;1,"duplicate ID; ","")&amp;IF(AND($B33&lt;&gt;"",$B33&gt;ReportDate),"received after snapshot date; ","")&amp;IF(AND($I33&lt;&gt;"",$B33&lt;&gt;"",$I33&lt;$B33),"acknowledged before receipt; ","")&amp;IF(AND($K33="Y",$L33="",$W33&lt;&gt;"Logged"),"ID requested date missing; ","")&amp;IF(AND($L33&lt;&gt;"",$M33&lt;&gt;"",$M33&lt;$L33),"ID dates out of order; ","")&amp;IF(AND($K33&lt;&gt;"Y",OR($L33&lt;&gt;"",$W33="Awaiting ID")),"ID fields used but ID_Check_Needed is not Y; ","")&amp;IF(AND($R33="Y",$S33=""),"extension notice date missing; ","")&amp;IF(AND($R33&lt;&gt;"Y",$S33&lt;&gt;""),"notice date but Extended is not Y; ","")&amp;IF(AND($W33="Closed",$Y33=""),"closed without response date; ","")&amp;IF(AND($Y33&lt;&gt;"",$W33&lt;&gt;"Closed"),"response date but status not Closed; ","")&amp;IF(AND($Y33&lt;&gt;"",$B33&lt;&gt;"",$Y33&lt;$B33),"response before receipt; ","")&amp;IF(AND($AD33="Y",$AE33=""),"exemption needs a reason in Notes; ","")))</f>
        <v>OK</v>
      </c>
    </row>
    <row r="34" spans="1:32" x14ac:dyDescent="0.35">
      <c r="A34" s="22" t="s">
        <v>220</v>
      </c>
      <c r="B34" s="23">
        <v>46296</v>
      </c>
      <c r="C34" s="22" t="s">
        <v>79</v>
      </c>
      <c r="D34" s="22" t="s">
        <v>45</v>
      </c>
      <c r="E34" s="20" t="str">
        <f>IF($A34="","",IFERROR(VLOOKUP($D34,ReqTypes,2,FALSE),"?"))</f>
        <v>Art 17</v>
      </c>
      <c r="F34" s="20" t="str">
        <f>IF($A34="","",IFERROR(VLOOKUP($D34,ReqTypes,3,FALSE),"?"))</f>
        <v>Y</v>
      </c>
      <c r="G34" s="22" t="s">
        <v>71</v>
      </c>
      <c r="H34" s="22" t="s">
        <v>72</v>
      </c>
      <c r="I34" s="23">
        <v>46297</v>
      </c>
      <c r="J34" s="20" t="str">
        <f>IF(OR($A34="",$I34=""),"",IF(NETWORKDAYS($B34,$I34,Holidays)-1&lt;=AckDays,"Y","N"))</f>
        <v>Y</v>
      </c>
      <c r="K34" s="22" t="s">
        <v>57</v>
      </c>
      <c r="L34" s="23"/>
      <c r="M34" s="23"/>
      <c r="N34" s="20" t="str">
        <f>IF(OR($A34="",$K34&lt;&gt;"Y"),"",IF($L34="","Pending",IF($L34-$B34&lt;=IDPromptDays,"Y","Check")))</f>
        <v/>
      </c>
      <c r="O34" s="20">
        <f>IF($A34="","",IF(OR($K34&lt;&gt;"Y",$L34=""),0,IF($M34="",MAX(0,ReportDate-$L34),$M34-$L34)))</f>
        <v>0</v>
      </c>
      <c r="P34" s="21">
        <f>IF($A34="","",IF($F34&lt;&gt;"Y","n/a",WORKDAY(EDATE($B34,1)+$O34-1,1,Holidays)))</f>
        <v>46328</v>
      </c>
      <c r="Q34" s="21">
        <f>IF($A34="","",$B34+$O34+InternalDays)</f>
        <v>46311</v>
      </c>
      <c r="R34" s="22" t="s">
        <v>57</v>
      </c>
      <c r="S34" s="23"/>
      <c r="T34" s="20" t="str">
        <f t="shared" ref="T34:T65" si="2">IF(OR($A34="",$R34&lt;&gt;"Y"),"",IF($S34="","Missing",IF(AND($F34="Y",$S34&lt;=$P34),"Y","Late")))</f>
        <v/>
      </c>
      <c r="U34" s="21">
        <f>IF($A34="","",IF($F34&lt;&gt;"Y",$Q34,IF(AND($R34="Y",$T34="Y"),WORKDAY(EDATE($B34,3)+$O34-1,1,Holidays),$P34)))</f>
        <v>46328</v>
      </c>
      <c r="V34" s="22" t="s">
        <v>97</v>
      </c>
      <c r="W34" s="22" t="s">
        <v>102</v>
      </c>
      <c r="X34" s="22" t="s">
        <v>57</v>
      </c>
      <c r="Y34" s="23">
        <v>46316</v>
      </c>
      <c r="Z34" s="20">
        <f>IF($A34="","",IF($Y34&lt;&gt;"",$Y34-$B34,ReportDate-$B34))</f>
        <v>20</v>
      </c>
      <c r="AA34" s="20" t="str">
        <f>IF(OR($A34="",$W34="Closed"),"",$U34-ReportDate)</f>
        <v/>
      </c>
      <c r="AB34" s="20" t="str">
        <f>IF($A34="","",IF($W34="Closed",IF($Y34&lt;=$U34,"Closed on time","Closed late"),IF($W34="Awaiting ID","Paused",IF($AA34&lt;0,"Overdue",IF($AA34&lt;=RedDays,"Red",IF($AA34&lt;=AmberDays,"Amber","Green"))))))</f>
        <v>Closed on time</v>
      </c>
      <c r="AC34" s="20" t="str">
        <f t="shared" ref="AC34:AC65" si="3">IF(OR($A34="",$Y34=""),"",IF($Y34&lt;=$U34,"Y","N"))</f>
        <v>Y</v>
      </c>
      <c r="AD34" s="22" t="s">
        <v>57</v>
      </c>
      <c r="AE34" s="22"/>
      <c r="AF34" s="20" t="str">
        <f>IF($A34="","",IF(IF(OR($B34="",$C34="",$D34="",$V34="",$W34=""),"missing required field; ","")&amp;IF(COUNTIF($A$2:$A$201,$A34)&gt;1,"duplicate ID; ","")&amp;IF(AND($B34&lt;&gt;"",$B34&gt;ReportDate),"received after snapshot date; ","")&amp;IF(AND($I34&lt;&gt;"",$B34&lt;&gt;"",$I34&lt;$B34),"acknowledged before receipt; ","")&amp;IF(AND($K34="Y",$L34="",$W34&lt;&gt;"Logged"),"ID requested date missing; ","")&amp;IF(AND($L34&lt;&gt;"",$M34&lt;&gt;"",$M34&lt;$L34),"ID dates out of order; ","")&amp;IF(AND($K34&lt;&gt;"Y",OR($L34&lt;&gt;"",$W34="Awaiting ID")),"ID fields used but ID_Check_Needed is not Y; ","")&amp;IF(AND($R34="Y",$S34=""),"extension notice date missing; ","")&amp;IF(AND($R34&lt;&gt;"Y",$S34&lt;&gt;""),"notice date but Extended is not Y; ","")&amp;IF(AND($W34="Closed",$Y34=""),"closed without response date; ","")&amp;IF(AND($Y34&lt;&gt;"",$W34&lt;&gt;"Closed"),"response date but status not Closed; ","")&amp;IF(AND($Y34&lt;&gt;"",$B34&lt;&gt;"",$Y34&lt;$B34),"response before receipt; ","")&amp;IF(AND($AD34="Y",$AE34=""),"exemption needs a reason in Notes; ","")="","OK","Check: "&amp;IF(OR($B34="",$C34="",$D34="",$V34="",$W34=""),"missing required field; ","")&amp;IF(COUNTIF($A$2:$A$201,$A34)&gt;1,"duplicate ID; ","")&amp;IF(AND($B34&lt;&gt;"",$B34&gt;ReportDate),"received after snapshot date; ","")&amp;IF(AND($I34&lt;&gt;"",$B34&lt;&gt;"",$I34&lt;$B34),"acknowledged before receipt; ","")&amp;IF(AND($K34="Y",$L34="",$W34&lt;&gt;"Logged"),"ID requested date missing; ","")&amp;IF(AND($L34&lt;&gt;"",$M34&lt;&gt;"",$M34&lt;$L34),"ID dates out of order; ","")&amp;IF(AND($K34&lt;&gt;"Y",OR($L34&lt;&gt;"",$W34="Awaiting ID")),"ID fields used but ID_Check_Needed is not Y; ","")&amp;IF(AND($R34="Y",$S34=""),"extension notice date missing; ","")&amp;IF(AND($R34&lt;&gt;"Y",$S34&lt;&gt;""),"notice date but Extended is not Y; ","")&amp;IF(AND($W34="Closed",$Y34=""),"closed without response date; ","")&amp;IF(AND($Y34&lt;&gt;"",$W34&lt;&gt;"Closed"),"response date but status not Closed; ","")&amp;IF(AND($Y34&lt;&gt;"",$B34&lt;&gt;"",$Y34&lt;$B34),"response before receipt; ","")&amp;IF(AND($AD34="Y",$AE34=""),"exemption needs a reason in Notes; ","")))</f>
        <v>OK</v>
      </c>
    </row>
    <row r="35" spans="1:32" x14ac:dyDescent="0.35">
      <c r="A35" s="22" t="s">
        <v>221</v>
      </c>
      <c r="B35" s="23">
        <v>46301</v>
      </c>
      <c r="C35" s="22" t="s">
        <v>70</v>
      </c>
      <c r="D35" s="22" t="s">
        <v>40</v>
      </c>
      <c r="E35" s="20" t="str">
        <f>IF($A35="","",IFERROR(VLOOKUP($D35,ReqTypes,2,FALSE),"?"))</f>
        <v>Art 15</v>
      </c>
      <c r="F35" s="20" t="str">
        <f>IF($A35="","",IFERROR(VLOOKUP($D35,ReqTypes,3,FALSE),"?"))</f>
        <v>Y</v>
      </c>
      <c r="G35" s="22" t="s">
        <v>71</v>
      </c>
      <c r="H35" s="22" t="s">
        <v>72</v>
      </c>
      <c r="I35" s="23">
        <v>46302</v>
      </c>
      <c r="J35" s="20" t="str">
        <f>IF(OR($A35="",$I35=""),"",IF(NETWORKDAYS($B35,$I35,Holidays)-1&lt;=AckDays,"Y","N"))</f>
        <v>Y</v>
      </c>
      <c r="K35" s="22" t="s">
        <v>57</v>
      </c>
      <c r="L35" s="23"/>
      <c r="M35" s="23"/>
      <c r="N35" s="20" t="str">
        <f>IF(OR($A35="",$K35&lt;&gt;"Y"),"",IF($L35="","Pending",IF($L35-$B35&lt;=IDPromptDays,"Y","Check")))</f>
        <v/>
      </c>
      <c r="O35" s="20">
        <f>IF($A35="","",IF(OR($K35&lt;&gt;"Y",$L35=""),0,IF($M35="",MAX(0,ReportDate-$L35),$M35-$L35)))</f>
        <v>0</v>
      </c>
      <c r="P35" s="21">
        <f>IF($A35="","",IF($F35&lt;&gt;"Y","n/a",WORKDAY(EDATE($B35,1)+$O35-1,1,Holidays)))</f>
        <v>46332</v>
      </c>
      <c r="Q35" s="21">
        <f>IF($A35="","",$B35+$O35+InternalDays)</f>
        <v>46316</v>
      </c>
      <c r="R35" s="22" t="s">
        <v>57</v>
      </c>
      <c r="S35" s="23"/>
      <c r="T35" s="20" t="str">
        <f t="shared" si="2"/>
        <v/>
      </c>
      <c r="U35" s="21">
        <f>IF($A35="","",IF($F35&lt;&gt;"Y",$Q35,IF(AND($R35="Y",$T35="Y"),WORKDAY(EDATE($B35,3)+$O35-1,1,Holidays),$P35)))</f>
        <v>46332</v>
      </c>
      <c r="V35" s="22" t="s">
        <v>74</v>
      </c>
      <c r="W35" s="22" t="s">
        <v>87</v>
      </c>
      <c r="X35" s="22" t="s">
        <v>57</v>
      </c>
      <c r="Y35" s="23"/>
      <c r="Z35" s="20">
        <f>IF($A35="","",IF($Y35&lt;&gt;"",$Y35-$B35,ReportDate-$B35))</f>
        <v>24</v>
      </c>
      <c r="AA35" s="20">
        <f>IF(OR($A35="",$W35="Closed"),"",$U35-ReportDate)</f>
        <v>7</v>
      </c>
      <c r="AB35" s="20" t="str">
        <f>IF($A35="","",IF($W35="Closed",IF($Y35&lt;=$U35,"Closed on time","Closed late"),IF($W35="Awaiting ID","Paused",IF($AA35&lt;0,"Overdue",IF($AA35&lt;=RedDays,"Red",IF($AA35&lt;=AmberDays,"Amber","Green"))))))</f>
        <v>Red</v>
      </c>
      <c r="AC35" s="20" t="str">
        <f t="shared" si="3"/>
        <v/>
      </c>
      <c r="AD35" s="22" t="s">
        <v>57</v>
      </c>
      <c r="AE35" s="22"/>
      <c r="AF35" s="20" t="str">
        <f>IF($A35="","",IF(IF(OR($B35="",$C35="",$D35="",$V35="",$W35=""),"missing required field; ","")&amp;IF(COUNTIF($A$2:$A$201,$A35)&gt;1,"duplicate ID; ","")&amp;IF(AND($B35&lt;&gt;"",$B35&gt;ReportDate),"received after snapshot date; ","")&amp;IF(AND($I35&lt;&gt;"",$B35&lt;&gt;"",$I35&lt;$B35),"acknowledged before receipt; ","")&amp;IF(AND($K35="Y",$L35="",$W35&lt;&gt;"Logged"),"ID requested date missing; ","")&amp;IF(AND($L35&lt;&gt;"",$M35&lt;&gt;"",$M35&lt;$L35),"ID dates out of order; ","")&amp;IF(AND($K35&lt;&gt;"Y",OR($L35&lt;&gt;"",$W35="Awaiting ID")),"ID fields used but ID_Check_Needed is not Y; ","")&amp;IF(AND($R35="Y",$S35=""),"extension notice date missing; ","")&amp;IF(AND($R35&lt;&gt;"Y",$S35&lt;&gt;""),"notice date but Extended is not Y; ","")&amp;IF(AND($W35="Closed",$Y35=""),"closed without response date; ","")&amp;IF(AND($Y35&lt;&gt;"",$W35&lt;&gt;"Closed"),"response date but status not Closed; ","")&amp;IF(AND($Y35&lt;&gt;"",$B35&lt;&gt;"",$Y35&lt;$B35),"response before receipt; ","")&amp;IF(AND($AD35="Y",$AE35=""),"exemption needs a reason in Notes; ","")="","OK","Check: "&amp;IF(OR($B35="",$C35="",$D35="",$V35="",$W35=""),"missing required field; ","")&amp;IF(COUNTIF($A$2:$A$201,$A35)&gt;1,"duplicate ID; ","")&amp;IF(AND($B35&lt;&gt;"",$B35&gt;ReportDate),"received after snapshot date; ","")&amp;IF(AND($I35&lt;&gt;"",$B35&lt;&gt;"",$I35&lt;$B35),"acknowledged before receipt; ","")&amp;IF(AND($K35="Y",$L35="",$W35&lt;&gt;"Logged"),"ID requested date missing; ","")&amp;IF(AND($L35&lt;&gt;"",$M35&lt;&gt;"",$M35&lt;$L35),"ID dates out of order; ","")&amp;IF(AND($K35&lt;&gt;"Y",OR($L35&lt;&gt;"",$W35="Awaiting ID")),"ID fields used but ID_Check_Needed is not Y; ","")&amp;IF(AND($R35="Y",$S35=""),"extension notice date missing; ","")&amp;IF(AND($R35&lt;&gt;"Y",$S35&lt;&gt;""),"notice date but Extended is not Y; ","")&amp;IF(AND($W35="Closed",$Y35=""),"closed without response date; ","")&amp;IF(AND($Y35&lt;&gt;"",$W35&lt;&gt;"Closed"),"response date but status not Closed; ","")&amp;IF(AND($Y35&lt;&gt;"",$B35&lt;&gt;"",$Y35&lt;$B35),"response before receipt; ","")&amp;IF(AND($AD35="Y",$AE35=""),"exemption needs a reason in Notes; ","")))</f>
        <v>OK</v>
      </c>
    </row>
    <row r="36" spans="1:32" x14ac:dyDescent="0.35">
      <c r="A36" s="22" t="s">
        <v>222</v>
      </c>
      <c r="B36" s="23">
        <v>46304</v>
      </c>
      <c r="C36" s="22" t="s">
        <v>70</v>
      </c>
      <c r="D36" s="22" t="s">
        <v>40</v>
      </c>
      <c r="E36" s="20" t="str">
        <f>IF($A36="","",IFERROR(VLOOKUP($D36,ReqTypes,2,FALSE),"?"))</f>
        <v>Art 15</v>
      </c>
      <c r="F36" s="20" t="str">
        <f>IF($A36="","",IFERROR(VLOOKUP($D36,ReqTypes,3,FALSE),"?"))</f>
        <v>Y</v>
      </c>
      <c r="G36" s="22" t="s">
        <v>80</v>
      </c>
      <c r="H36" s="22" t="s">
        <v>91</v>
      </c>
      <c r="I36" s="23">
        <v>46307</v>
      </c>
      <c r="J36" s="20" t="str">
        <f>IF(OR($A36="",$I36=""),"",IF(NETWORKDAYS($B36,$I36,Holidays)-1&lt;=AckDays,"Y","N"))</f>
        <v>Y</v>
      </c>
      <c r="K36" s="22" t="s">
        <v>57</v>
      </c>
      <c r="L36" s="23"/>
      <c r="M36" s="23"/>
      <c r="N36" s="20" t="str">
        <f>IF(OR($A36="",$K36&lt;&gt;"Y"),"",IF($L36="","Pending",IF($L36-$B36&lt;=IDPromptDays,"Y","Check")))</f>
        <v/>
      </c>
      <c r="O36" s="20">
        <f>IF($A36="","",IF(OR($K36&lt;&gt;"Y",$L36=""),0,IF($M36="",MAX(0,ReportDate-$L36),$M36-$L36)))</f>
        <v>0</v>
      </c>
      <c r="P36" s="21">
        <f>IF($A36="","",IF($F36&lt;&gt;"Y","n/a",WORKDAY(EDATE($B36,1)+$O36-1,1,Holidays)))</f>
        <v>46335</v>
      </c>
      <c r="Q36" s="21">
        <f>IF($A36="","",$B36+$O36+InternalDays)</f>
        <v>46319</v>
      </c>
      <c r="R36" s="22" t="s">
        <v>57</v>
      </c>
      <c r="S36" s="23"/>
      <c r="T36" s="20" t="str">
        <f t="shared" si="2"/>
        <v/>
      </c>
      <c r="U36" s="21">
        <f>IF($A36="","",IF($F36&lt;&gt;"Y",$Q36,IF(AND($R36="Y",$T36="Y"),WORKDAY(EDATE($B36,3)+$O36-1,1,Holidays),$P36)))</f>
        <v>46335</v>
      </c>
      <c r="V36" s="22" t="s">
        <v>91</v>
      </c>
      <c r="W36" s="22" t="s">
        <v>87</v>
      </c>
      <c r="X36" s="22" t="s">
        <v>57</v>
      </c>
      <c r="Y36" s="23"/>
      <c r="Z36" s="20">
        <f>IF($A36="","",IF($Y36&lt;&gt;"",$Y36-$B36,ReportDate-$B36))</f>
        <v>21</v>
      </c>
      <c r="AA36" s="20">
        <f>IF(OR($A36="",$W36="Closed"),"",$U36-ReportDate)</f>
        <v>10</v>
      </c>
      <c r="AB36" s="20" t="str">
        <f>IF($A36="","",IF($W36="Closed",IF($Y36&lt;=$U36,"Closed on time","Closed late"),IF($W36="Awaiting ID","Paused",IF($AA36&lt;0,"Overdue",IF($AA36&lt;=RedDays,"Red",IF($AA36&lt;=AmberDays,"Amber","Green"))))))</f>
        <v>Amber</v>
      </c>
      <c r="AC36" s="20" t="str">
        <f t="shared" si="3"/>
        <v/>
      </c>
      <c r="AD36" s="22" t="s">
        <v>57</v>
      </c>
      <c r="AE36" s="22"/>
      <c r="AF36" s="20" t="str">
        <f>IF($A36="","",IF(IF(OR($B36="",$C36="",$D36="",$V36="",$W36=""),"missing required field; ","")&amp;IF(COUNTIF($A$2:$A$201,$A36)&gt;1,"duplicate ID; ","")&amp;IF(AND($B36&lt;&gt;"",$B36&gt;ReportDate),"received after snapshot date; ","")&amp;IF(AND($I36&lt;&gt;"",$B36&lt;&gt;"",$I36&lt;$B36),"acknowledged before receipt; ","")&amp;IF(AND($K36="Y",$L36="",$W36&lt;&gt;"Logged"),"ID requested date missing; ","")&amp;IF(AND($L36&lt;&gt;"",$M36&lt;&gt;"",$M36&lt;$L36),"ID dates out of order; ","")&amp;IF(AND($K36&lt;&gt;"Y",OR($L36&lt;&gt;"",$W36="Awaiting ID")),"ID fields used but ID_Check_Needed is not Y; ","")&amp;IF(AND($R36="Y",$S36=""),"extension notice date missing; ","")&amp;IF(AND($R36&lt;&gt;"Y",$S36&lt;&gt;""),"notice date but Extended is not Y; ","")&amp;IF(AND($W36="Closed",$Y36=""),"closed without response date; ","")&amp;IF(AND($Y36&lt;&gt;"",$W36&lt;&gt;"Closed"),"response date but status not Closed; ","")&amp;IF(AND($Y36&lt;&gt;"",$B36&lt;&gt;"",$Y36&lt;$B36),"response before receipt; ","")&amp;IF(AND($AD36="Y",$AE36=""),"exemption needs a reason in Notes; ","")="","OK","Check: "&amp;IF(OR($B36="",$C36="",$D36="",$V36="",$W36=""),"missing required field; ","")&amp;IF(COUNTIF($A$2:$A$201,$A36)&gt;1,"duplicate ID; ","")&amp;IF(AND($B36&lt;&gt;"",$B36&gt;ReportDate),"received after snapshot date; ","")&amp;IF(AND($I36&lt;&gt;"",$B36&lt;&gt;"",$I36&lt;$B36),"acknowledged before receipt; ","")&amp;IF(AND($K36="Y",$L36="",$W36&lt;&gt;"Logged"),"ID requested date missing; ","")&amp;IF(AND($L36&lt;&gt;"",$M36&lt;&gt;"",$M36&lt;$L36),"ID dates out of order; ","")&amp;IF(AND($K36&lt;&gt;"Y",OR($L36&lt;&gt;"",$W36="Awaiting ID")),"ID fields used but ID_Check_Needed is not Y; ","")&amp;IF(AND($R36="Y",$S36=""),"extension notice date missing; ","")&amp;IF(AND($R36&lt;&gt;"Y",$S36&lt;&gt;""),"notice date but Extended is not Y; ","")&amp;IF(AND($W36="Closed",$Y36=""),"closed without response date; ","")&amp;IF(AND($Y36&lt;&gt;"",$W36&lt;&gt;"Closed"),"response date but status not Closed; ","")&amp;IF(AND($Y36&lt;&gt;"",$B36&lt;&gt;"",$Y36&lt;$B36),"response before receipt; ","")&amp;IF(AND($AD36="Y",$AE36=""),"exemption needs a reason in Notes; ","")))</f>
        <v>OK</v>
      </c>
    </row>
    <row r="37" spans="1:32" x14ac:dyDescent="0.35">
      <c r="A37" s="22" t="s">
        <v>223</v>
      </c>
      <c r="B37" s="23">
        <v>46307</v>
      </c>
      <c r="C37" s="22" t="s">
        <v>70</v>
      </c>
      <c r="D37" s="22" t="s">
        <v>51</v>
      </c>
      <c r="E37" s="20" t="str">
        <f>IF($A37="","",IFERROR(VLOOKUP($D37,ReqTypes,2,FALSE),"?"))</f>
        <v>Art 21(2)</v>
      </c>
      <c r="F37" s="20" t="str">
        <f>IF($A37="","",IFERROR(VLOOKUP($D37,ReqTypes,3,FALSE),"?"))</f>
        <v>Y</v>
      </c>
      <c r="G37" s="22" t="s">
        <v>71</v>
      </c>
      <c r="H37" s="22" t="s">
        <v>90</v>
      </c>
      <c r="I37" s="23">
        <v>46308</v>
      </c>
      <c r="J37" s="20" t="str">
        <f>IF(OR($A37="",$I37=""),"",IF(NETWORKDAYS($B37,$I37,Holidays)-1&lt;=AckDays,"Y","N"))</f>
        <v>Y</v>
      </c>
      <c r="K37" s="22" t="s">
        <v>57</v>
      </c>
      <c r="L37" s="23"/>
      <c r="M37" s="23"/>
      <c r="N37" s="20" t="str">
        <f>IF(OR($A37="",$K37&lt;&gt;"Y"),"",IF($L37="","Pending",IF($L37-$B37&lt;=IDPromptDays,"Y","Check")))</f>
        <v/>
      </c>
      <c r="O37" s="20">
        <f>IF($A37="","",IF(OR($K37&lt;&gt;"Y",$L37=""),0,IF($M37="",MAX(0,ReportDate-$L37),$M37-$L37)))</f>
        <v>0</v>
      </c>
      <c r="P37" s="21">
        <f>IF($A37="","",IF($F37&lt;&gt;"Y","n/a",WORKDAY(EDATE($B37,1)+$O37-1,1,Holidays)))</f>
        <v>46338</v>
      </c>
      <c r="Q37" s="21">
        <f>IF($A37="","",$B37+$O37+InternalDays)</f>
        <v>46322</v>
      </c>
      <c r="R37" s="22" t="s">
        <v>57</v>
      </c>
      <c r="S37" s="23"/>
      <c r="T37" s="20" t="str">
        <f t="shared" si="2"/>
        <v/>
      </c>
      <c r="U37" s="21">
        <f>IF($A37="","",IF($F37&lt;&gt;"Y",$Q37,IF(AND($R37="Y",$T37="Y"),WORKDAY(EDATE($B37,3)+$O37-1,1,Holidays),$P37)))</f>
        <v>46338</v>
      </c>
      <c r="V37" s="22" t="s">
        <v>103</v>
      </c>
      <c r="W37" s="22" t="s">
        <v>102</v>
      </c>
      <c r="X37" s="22" t="s">
        <v>57</v>
      </c>
      <c r="Y37" s="23">
        <v>46309</v>
      </c>
      <c r="Z37" s="20">
        <f>IF($A37="","",IF($Y37&lt;&gt;"",$Y37-$B37,ReportDate-$B37))</f>
        <v>2</v>
      </c>
      <c r="AA37" s="20" t="str">
        <f>IF(OR($A37="",$W37="Closed"),"",$U37-ReportDate)</f>
        <v/>
      </c>
      <c r="AB37" s="20" t="str">
        <f>IF($A37="","",IF($W37="Closed",IF($Y37&lt;=$U37,"Closed on time","Closed late"),IF($W37="Awaiting ID","Paused",IF($AA37&lt;0,"Overdue",IF($AA37&lt;=RedDays,"Red",IF($AA37&lt;=AmberDays,"Amber","Green"))))))</f>
        <v>Closed on time</v>
      </c>
      <c r="AC37" s="20" t="str">
        <f t="shared" si="3"/>
        <v>Y</v>
      </c>
      <c r="AD37" s="22" t="s">
        <v>57</v>
      </c>
      <c r="AE37" s="22"/>
      <c r="AF37" s="20" t="str">
        <f>IF($A37="","",IF(IF(OR($B37="",$C37="",$D37="",$V37="",$W37=""),"missing required field; ","")&amp;IF(COUNTIF($A$2:$A$201,$A37)&gt;1,"duplicate ID; ","")&amp;IF(AND($B37&lt;&gt;"",$B37&gt;ReportDate),"received after snapshot date; ","")&amp;IF(AND($I37&lt;&gt;"",$B37&lt;&gt;"",$I37&lt;$B37),"acknowledged before receipt; ","")&amp;IF(AND($K37="Y",$L37="",$W37&lt;&gt;"Logged"),"ID requested date missing; ","")&amp;IF(AND($L37&lt;&gt;"",$M37&lt;&gt;"",$M37&lt;$L37),"ID dates out of order; ","")&amp;IF(AND($K37&lt;&gt;"Y",OR($L37&lt;&gt;"",$W37="Awaiting ID")),"ID fields used but ID_Check_Needed is not Y; ","")&amp;IF(AND($R37="Y",$S37=""),"extension notice date missing; ","")&amp;IF(AND($R37&lt;&gt;"Y",$S37&lt;&gt;""),"notice date but Extended is not Y; ","")&amp;IF(AND($W37="Closed",$Y37=""),"closed without response date; ","")&amp;IF(AND($Y37&lt;&gt;"",$W37&lt;&gt;"Closed"),"response date but status not Closed; ","")&amp;IF(AND($Y37&lt;&gt;"",$B37&lt;&gt;"",$Y37&lt;$B37),"response before receipt; ","")&amp;IF(AND($AD37="Y",$AE37=""),"exemption needs a reason in Notes; ","")="","OK","Check: "&amp;IF(OR($B37="",$C37="",$D37="",$V37="",$W37=""),"missing required field; ","")&amp;IF(COUNTIF($A$2:$A$201,$A37)&gt;1,"duplicate ID; ","")&amp;IF(AND($B37&lt;&gt;"",$B37&gt;ReportDate),"received after snapshot date; ","")&amp;IF(AND($I37&lt;&gt;"",$B37&lt;&gt;"",$I37&lt;$B37),"acknowledged before receipt; ","")&amp;IF(AND($K37="Y",$L37="",$W37&lt;&gt;"Logged"),"ID requested date missing; ","")&amp;IF(AND($L37&lt;&gt;"",$M37&lt;&gt;"",$M37&lt;$L37),"ID dates out of order; ","")&amp;IF(AND($K37&lt;&gt;"Y",OR($L37&lt;&gt;"",$W37="Awaiting ID")),"ID fields used but ID_Check_Needed is not Y; ","")&amp;IF(AND($R37="Y",$S37=""),"extension notice date missing; ","")&amp;IF(AND($R37&lt;&gt;"Y",$S37&lt;&gt;""),"notice date but Extended is not Y; ","")&amp;IF(AND($W37="Closed",$Y37=""),"closed without response date; ","")&amp;IF(AND($Y37&lt;&gt;"",$W37&lt;&gt;"Closed"),"response date but status not Closed; ","")&amp;IF(AND($Y37&lt;&gt;"",$B37&lt;&gt;"",$Y37&lt;$B37),"response before receipt; ","")&amp;IF(AND($AD37="Y",$AE37=""),"exemption needs a reason in Notes; ","")))</f>
        <v>OK</v>
      </c>
    </row>
    <row r="38" spans="1:32" x14ac:dyDescent="0.35">
      <c r="A38" s="22" t="s">
        <v>224</v>
      </c>
      <c r="B38" s="23">
        <v>46314</v>
      </c>
      <c r="C38" s="22" t="s">
        <v>79</v>
      </c>
      <c r="D38" s="22" t="s">
        <v>45</v>
      </c>
      <c r="E38" s="20" t="str">
        <f>IF($A38="","",IFERROR(VLOOKUP($D38,ReqTypes,2,FALSE),"?"))</f>
        <v>Art 17</v>
      </c>
      <c r="F38" s="20" t="str">
        <f>IF($A38="","",IFERROR(VLOOKUP($D38,ReqTypes,3,FALSE),"?"))</f>
        <v>Y</v>
      </c>
      <c r="G38" s="22" t="s">
        <v>71</v>
      </c>
      <c r="H38" s="22" t="s">
        <v>90</v>
      </c>
      <c r="I38" s="23">
        <v>46315</v>
      </c>
      <c r="J38" s="20" t="str">
        <f>IF(OR($A38="",$I38=""),"",IF(NETWORKDAYS($B38,$I38,Holidays)-1&lt;=AckDays,"Y","N"))</f>
        <v>Y</v>
      </c>
      <c r="K38" s="22" t="s">
        <v>57</v>
      </c>
      <c r="L38" s="23"/>
      <c r="M38" s="23"/>
      <c r="N38" s="20" t="str">
        <f>IF(OR($A38="",$K38&lt;&gt;"Y"),"",IF($L38="","Pending",IF($L38-$B38&lt;=IDPromptDays,"Y","Check")))</f>
        <v/>
      </c>
      <c r="O38" s="20">
        <f>IF($A38="","",IF(OR($K38&lt;&gt;"Y",$L38=""),0,IF($M38="",MAX(0,ReportDate-$L38),$M38-$L38)))</f>
        <v>0</v>
      </c>
      <c r="P38" s="21">
        <f>IF($A38="","",IF($F38&lt;&gt;"Y","n/a",WORKDAY(EDATE($B38,1)+$O38-1,1,Holidays)))</f>
        <v>46345</v>
      </c>
      <c r="Q38" s="21">
        <f>IF($A38="","",$B38+$O38+InternalDays)</f>
        <v>46329</v>
      </c>
      <c r="R38" s="22" t="s">
        <v>57</v>
      </c>
      <c r="S38" s="23"/>
      <c r="T38" s="20" t="str">
        <f t="shared" si="2"/>
        <v/>
      </c>
      <c r="U38" s="21">
        <f>IF($A38="","",IF($F38&lt;&gt;"Y",$Q38,IF(AND($R38="Y",$T38="Y"),WORKDAY(EDATE($B38,3)+$O38-1,1,Holidays),$P38)))</f>
        <v>46345</v>
      </c>
      <c r="V38" s="22" t="s">
        <v>97</v>
      </c>
      <c r="W38" s="22" t="s">
        <v>87</v>
      </c>
      <c r="X38" s="22" t="s">
        <v>57</v>
      </c>
      <c r="Y38" s="23"/>
      <c r="Z38" s="20">
        <f>IF($A38="","",IF($Y38&lt;&gt;"",$Y38-$B38,ReportDate-$B38))</f>
        <v>11</v>
      </c>
      <c r="AA38" s="20">
        <f>IF(OR($A38="",$W38="Closed"),"",$U38-ReportDate)</f>
        <v>20</v>
      </c>
      <c r="AB38" s="20" t="str">
        <f>IF($A38="","",IF($W38="Closed",IF($Y38&lt;=$U38,"Closed on time","Closed late"),IF($W38="Awaiting ID","Paused",IF($AA38&lt;0,"Overdue",IF($AA38&lt;=RedDays,"Red",IF($AA38&lt;=AmberDays,"Amber","Green"))))))</f>
        <v>Green</v>
      </c>
      <c r="AC38" s="20" t="str">
        <f t="shared" si="3"/>
        <v/>
      </c>
      <c r="AD38" s="22" t="s">
        <v>57</v>
      </c>
      <c r="AE38" s="22"/>
      <c r="AF38" s="20" t="str">
        <f>IF($A38="","",IF(IF(OR($B38="",$C38="",$D38="",$V38="",$W38=""),"missing required field; ","")&amp;IF(COUNTIF($A$2:$A$201,$A38)&gt;1,"duplicate ID; ","")&amp;IF(AND($B38&lt;&gt;"",$B38&gt;ReportDate),"received after snapshot date; ","")&amp;IF(AND($I38&lt;&gt;"",$B38&lt;&gt;"",$I38&lt;$B38),"acknowledged before receipt; ","")&amp;IF(AND($K38="Y",$L38="",$W38&lt;&gt;"Logged"),"ID requested date missing; ","")&amp;IF(AND($L38&lt;&gt;"",$M38&lt;&gt;"",$M38&lt;$L38),"ID dates out of order; ","")&amp;IF(AND($K38&lt;&gt;"Y",OR($L38&lt;&gt;"",$W38="Awaiting ID")),"ID fields used but ID_Check_Needed is not Y; ","")&amp;IF(AND($R38="Y",$S38=""),"extension notice date missing; ","")&amp;IF(AND($R38&lt;&gt;"Y",$S38&lt;&gt;""),"notice date but Extended is not Y; ","")&amp;IF(AND($W38="Closed",$Y38=""),"closed without response date; ","")&amp;IF(AND($Y38&lt;&gt;"",$W38&lt;&gt;"Closed"),"response date but status not Closed; ","")&amp;IF(AND($Y38&lt;&gt;"",$B38&lt;&gt;"",$Y38&lt;$B38),"response before receipt; ","")&amp;IF(AND($AD38="Y",$AE38=""),"exemption needs a reason in Notes; ","")="","OK","Check: "&amp;IF(OR($B38="",$C38="",$D38="",$V38="",$W38=""),"missing required field; ","")&amp;IF(COUNTIF($A$2:$A$201,$A38)&gt;1,"duplicate ID; ","")&amp;IF(AND($B38&lt;&gt;"",$B38&gt;ReportDate),"received after snapshot date; ","")&amp;IF(AND($I38&lt;&gt;"",$B38&lt;&gt;"",$I38&lt;$B38),"acknowledged before receipt; ","")&amp;IF(AND($K38="Y",$L38="",$W38&lt;&gt;"Logged"),"ID requested date missing; ","")&amp;IF(AND($L38&lt;&gt;"",$M38&lt;&gt;"",$M38&lt;$L38),"ID dates out of order; ","")&amp;IF(AND($K38&lt;&gt;"Y",OR($L38&lt;&gt;"",$W38="Awaiting ID")),"ID fields used but ID_Check_Needed is not Y; ","")&amp;IF(AND($R38="Y",$S38=""),"extension notice date missing; ","")&amp;IF(AND($R38&lt;&gt;"Y",$S38&lt;&gt;""),"notice date but Extended is not Y; ","")&amp;IF(AND($W38="Closed",$Y38=""),"closed without response date; ","")&amp;IF(AND($Y38&lt;&gt;"",$W38&lt;&gt;"Closed"),"response date but status not Closed; ","")&amp;IF(AND($Y38&lt;&gt;"",$B38&lt;&gt;"",$Y38&lt;$B38),"response before receipt; ","")&amp;IF(AND($AD38="Y",$AE38=""),"exemption needs a reason in Notes; ","")))</f>
        <v>OK</v>
      </c>
    </row>
    <row r="39" spans="1:32" x14ac:dyDescent="0.35">
      <c r="A39" s="22" t="s">
        <v>225</v>
      </c>
      <c r="B39" s="23">
        <v>46315</v>
      </c>
      <c r="C39" s="22" t="s">
        <v>94</v>
      </c>
      <c r="D39" s="22" t="s">
        <v>40</v>
      </c>
      <c r="E39" s="20" t="str">
        <f>IF($A39="","",IFERROR(VLOOKUP($D39,ReqTypes,2,FALSE),"?"))</f>
        <v>Art 15</v>
      </c>
      <c r="F39" s="20" t="str">
        <f>IF($A39="","",IFERROR(VLOOKUP($D39,ReqTypes,3,FALSE),"?"))</f>
        <v>Y</v>
      </c>
      <c r="G39" s="22" t="s">
        <v>71</v>
      </c>
      <c r="H39" s="22" t="s">
        <v>101</v>
      </c>
      <c r="I39" s="23">
        <v>46316</v>
      </c>
      <c r="J39" s="20" t="str">
        <f>IF(OR($A39="",$I39=""),"",IF(NETWORKDAYS($B39,$I39,Holidays)-1&lt;=AckDays,"Y","N"))</f>
        <v>Y</v>
      </c>
      <c r="K39" s="22" t="s">
        <v>42</v>
      </c>
      <c r="L39" s="23">
        <v>46316</v>
      </c>
      <c r="M39" s="23"/>
      <c r="N39" s="20" t="str">
        <f>IF(OR($A39="",$K39&lt;&gt;"Y"),"",IF($L39="","Pending",IF($L39-$B39&lt;=IDPromptDays,"Y","Check")))</f>
        <v>Y</v>
      </c>
      <c r="O39" s="20">
        <f>IF($A39="","",IF(OR($K39&lt;&gt;"Y",$L39=""),0,IF($M39="",MAX(0,ReportDate-$L39),$M39-$L39)))</f>
        <v>9</v>
      </c>
      <c r="P39" s="21">
        <f>IF($A39="","",IF($F39&lt;&gt;"Y","n/a",WORKDAY(EDATE($B39,1)+$O39-1,1,Holidays)))</f>
        <v>46356</v>
      </c>
      <c r="Q39" s="21">
        <f>IF($A39="","",$B39+$O39+InternalDays)</f>
        <v>46339</v>
      </c>
      <c r="R39" s="22" t="s">
        <v>57</v>
      </c>
      <c r="S39" s="23"/>
      <c r="T39" s="20" t="str">
        <f t="shared" si="2"/>
        <v/>
      </c>
      <c r="U39" s="21">
        <f>IF($A39="","",IF($F39&lt;&gt;"Y",$Q39,IF(AND($R39="Y",$T39="Y"),WORKDAY(EDATE($B39,3)+$O39-1,1,Holidays),$P39)))</f>
        <v>46356</v>
      </c>
      <c r="V39" s="22" t="s">
        <v>74</v>
      </c>
      <c r="W39" s="22" t="s">
        <v>82</v>
      </c>
      <c r="X39" s="22" t="s">
        <v>57</v>
      </c>
      <c r="Y39" s="23"/>
      <c r="Z39" s="20">
        <f>IF($A39="","",IF($Y39&lt;&gt;"",$Y39-$B39,ReportDate-$B39))</f>
        <v>10</v>
      </c>
      <c r="AA39" s="20">
        <f>IF(OR($A39="",$W39="Closed"),"",$U39-ReportDate)</f>
        <v>31</v>
      </c>
      <c r="AB39" s="20" t="str">
        <f>IF($A39="","",IF($W39="Closed",IF($Y39&lt;=$U39,"Closed on time","Closed late"),IF($W39="Awaiting ID","Paused",IF($AA39&lt;0,"Overdue",IF($AA39&lt;=RedDays,"Red",IF($AA39&lt;=AmberDays,"Amber","Green"))))))</f>
        <v>Paused</v>
      </c>
      <c r="AC39" s="20" t="str">
        <f t="shared" si="3"/>
        <v/>
      </c>
      <c r="AD39" s="22" t="s">
        <v>57</v>
      </c>
      <c r="AE39" s="22" t="s">
        <v>226</v>
      </c>
      <c r="AF39" s="20" t="str">
        <f>IF($A39="","",IF(IF(OR($B39="",$C39="",$D39="",$V39="",$W39=""),"missing required field; ","")&amp;IF(COUNTIF($A$2:$A$201,$A39)&gt;1,"duplicate ID; ","")&amp;IF(AND($B39&lt;&gt;"",$B39&gt;ReportDate),"received after snapshot date; ","")&amp;IF(AND($I39&lt;&gt;"",$B39&lt;&gt;"",$I39&lt;$B39),"acknowledged before receipt; ","")&amp;IF(AND($K39="Y",$L39="",$W39&lt;&gt;"Logged"),"ID requested date missing; ","")&amp;IF(AND($L39&lt;&gt;"",$M39&lt;&gt;"",$M39&lt;$L39),"ID dates out of order; ","")&amp;IF(AND($K39&lt;&gt;"Y",OR($L39&lt;&gt;"",$W39="Awaiting ID")),"ID fields used but ID_Check_Needed is not Y; ","")&amp;IF(AND($R39="Y",$S39=""),"extension notice date missing; ","")&amp;IF(AND($R39&lt;&gt;"Y",$S39&lt;&gt;""),"notice date but Extended is not Y; ","")&amp;IF(AND($W39="Closed",$Y39=""),"closed without response date; ","")&amp;IF(AND($Y39&lt;&gt;"",$W39&lt;&gt;"Closed"),"response date but status not Closed; ","")&amp;IF(AND($Y39&lt;&gt;"",$B39&lt;&gt;"",$Y39&lt;$B39),"response before receipt; ","")&amp;IF(AND($AD39="Y",$AE39=""),"exemption needs a reason in Notes; ","")="","OK","Check: "&amp;IF(OR($B39="",$C39="",$D39="",$V39="",$W39=""),"missing required field; ","")&amp;IF(COUNTIF($A$2:$A$201,$A39)&gt;1,"duplicate ID; ","")&amp;IF(AND($B39&lt;&gt;"",$B39&gt;ReportDate),"received after snapshot date; ","")&amp;IF(AND($I39&lt;&gt;"",$B39&lt;&gt;"",$I39&lt;$B39),"acknowledged before receipt; ","")&amp;IF(AND($K39="Y",$L39="",$W39&lt;&gt;"Logged"),"ID requested date missing; ","")&amp;IF(AND($L39&lt;&gt;"",$M39&lt;&gt;"",$M39&lt;$L39),"ID dates out of order; ","")&amp;IF(AND($K39&lt;&gt;"Y",OR($L39&lt;&gt;"",$W39="Awaiting ID")),"ID fields used but ID_Check_Needed is not Y; ","")&amp;IF(AND($R39="Y",$S39=""),"extension notice date missing; ","")&amp;IF(AND($R39&lt;&gt;"Y",$S39&lt;&gt;""),"notice date but Extended is not Y; ","")&amp;IF(AND($W39="Closed",$Y39=""),"closed without response date; ","")&amp;IF(AND($Y39&lt;&gt;"",$W39&lt;&gt;"Closed"),"response date but status not Closed; ","")&amp;IF(AND($Y39&lt;&gt;"",$B39&lt;&gt;"",$Y39&lt;$B39),"response before receipt; ","")&amp;IF(AND($AD39="Y",$AE39=""),"exemption needs a reason in Notes; ","")))</f>
        <v>OK</v>
      </c>
    </row>
    <row r="40" spans="1:32" x14ac:dyDescent="0.35">
      <c r="A40" s="22" t="s">
        <v>227</v>
      </c>
      <c r="B40" s="23">
        <v>46321</v>
      </c>
      <c r="C40" s="22" t="s">
        <v>70</v>
      </c>
      <c r="D40" s="22" t="s">
        <v>55</v>
      </c>
      <c r="E40" s="20" t="str">
        <f>IF($A40="","",IFERROR(VLOOKUP($D40,ReqTypes,2,FALSE),"?"))</f>
        <v>n/a</v>
      </c>
      <c r="F40" s="20" t="str">
        <f>IF($A40="","",IFERROR(VLOOKUP($D40,ReqTypes,3,FALSE),"?"))</f>
        <v>N</v>
      </c>
      <c r="G40" s="22" t="s">
        <v>71</v>
      </c>
      <c r="H40" s="22" t="s">
        <v>104</v>
      </c>
      <c r="I40" s="23">
        <v>46322</v>
      </c>
      <c r="J40" s="20" t="str">
        <f>IF(OR($A40="",$I40=""),"",IF(NETWORKDAYS($B40,$I40,Holidays)-1&lt;=AckDays,"Y","N"))</f>
        <v>Y</v>
      </c>
      <c r="K40" s="22" t="s">
        <v>57</v>
      </c>
      <c r="L40" s="23"/>
      <c r="M40" s="23"/>
      <c r="N40" s="20" t="str">
        <f>IF(OR($A40="",$K40&lt;&gt;"Y"),"",IF($L40="","Pending",IF($L40-$B40&lt;=IDPromptDays,"Y","Check")))</f>
        <v/>
      </c>
      <c r="O40" s="20">
        <f>IF($A40="","",IF(OR($K40&lt;&gt;"Y",$L40=""),0,IF($M40="",MAX(0,ReportDate-$L40),$M40-$L40)))</f>
        <v>0</v>
      </c>
      <c r="P40" s="21" t="str">
        <f>IF($A40="","",IF($F40&lt;&gt;"Y","n/a",WORKDAY(EDATE($B40,1)+$O40-1,1,Holidays)))</f>
        <v>n/a</v>
      </c>
      <c r="Q40" s="21">
        <f>IF($A40="","",$B40+$O40+InternalDays)</f>
        <v>46336</v>
      </c>
      <c r="R40" s="22" t="s">
        <v>57</v>
      </c>
      <c r="S40" s="23"/>
      <c r="T40" s="20" t="str">
        <f t="shared" si="2"/>
        <v/>
      </c>
      <c r="U40" s="21">
        <f>IF($A40="","",IF($F40&lt;&gt;"Y",$Q40,IF(AND($R40="Y",$T40="Y"),WORKDAY(EDATE($B40,3)+$O40-1,1,Holidays),$P40)))</f>
        <v>46336</v>
      </c>
      <c r="V40" s="22" t="s">
        <v>83</v>
      </c>
      <c r="W40" s="22" t="s">
        <v>87</v>
      </c>
      <c r="X40" s="22" t="s">
        <v>57</v>
      </c>
      <c r="Y40" s="23"/>
      <c r="Z40" s="20">
        <f>IF($A40="","",IF($Y40&lt;&gt;"",$Y40-$B40,ReportDate-$B40))</f>
        <v>4</v>
      </c>
      <c r="AA40" s="20">
        <f>IF(OR($A40="",$W40="Closed"),"",$U40-ReportDate)</f>
        <v>11</v>
      </c>
      <c r="AB40" s="20" t="str">
        <f>IF($A40="","",IF($W40="Closed",IF($Y40&lt;=$U40,"Closed on time","Closed late"),IF($W40="Awaiting ID","Paused",IF($AA40&lt;0,"Overdue",IF($AA40&lt;=RedDays,"Red",IF($AA40&lt;=AmberDays,"Amber","Green"))))))</f>
        <v>Amber</v>
      </c>
      <c r="AC40" s="20" t="str">
        <f t="shared" si="3"/>
        <v/>
      </c>
      <c r="AD40" s="22" t="s">
        <v>57</v>
      </c>
      <c r="AE40" s="22" t="s">
        <v>228</v>
      </c>
      <c r="AF40" s="20" t="str">
        <f>IF($A40="","",IF(IF(OR($B40="",$C40="",$D40="",$V40="",$W40=""),"missing required field; ","")&amp;IF(COUNTIF($A$2:$A$201,$A40)&gt;1,"duplicate ID; ","")&amp;IF(AND($B40&lt;&gt;"",$B40&gt;ReportDate),"received after snapshot date; ","")&amp;IF(AND($I40&lt;&gt;"",$B40&lt;&gt;"",$I40&lt;$B40),"acknowledged before receipt; ","")&amp;IF(AND($K40="Y",$L40="",$W40&lt;&gt;"Logged"),"ID requested date missing; ","")&amp;IF(AND($L40&lt;&gt;"",$M40&lt;&gt;"",$M40&lt;$L40),"ID dates out of order; ","")&amp;IF(AND($K40&lt;&gt;"Y",OR($L40&lt;&gt;"",$W40="Awaiting ID")),"ID fields used but ID_Check_Needed is not Y; ","")&amp;IF(AND($R40="Y",$S40=""),"extension notice date missing; ","")&amp;IF(AND($R40&lt;&gt;"Y",$S40&lt;&gt;""),"notice date but Extended is not Y; ","")&amp;IF(AND($W40="Closed",$Y40=""),"closed without response date; ","")&amp;IF(AND($Y40&lt;&gt;"",$W40&lt;&gt;"Closed"),"response date but status not Closed; ","")&amp;IF(AND($Y40&lt;&gt;"",$B40&lt;&gt;"",$Y40&lt;$B40),"response before receipt; ","")&amp;IF(AND($AD40="Y",$AE40=""),"exemption needs a reason in Notes; ","")="","OK","Check: "&amp;IF(OR($B40="",$C40="",$D40="",$V40="",$W40=""),"missing required field; ","")&amp;IF(COUNTIF($A$2:$A$201,$A40)&gt;1,"duplicate ID; ","")&amp;IF(AND($B40&lt;&gt;"",$B40&gt;ReportDate),"received after snapshot date; ","")&amp;IF(AND($I40&lt;&gt;"",$B40&lt;&gt;"",$I40&lt;$B40),"acknowledged before receipt; ","")&amp;IF(AND($K40="Y",$L40="",$W40&lt;&gt;"Logged"),"ID requested date missing; ","")&amp;IF(AND($L40&lt;&gt;"",$M40&lt;&gt;"",$M40&lt;$L40),"ID dates out of order; ","")&amp;IF(AND($K40&lt;&gt;"Y",OR($L40&lt;&gt;"",$W40="Awaiting ID")),"ID fields used but ID_Check_Needed is not Y; ","")&amp;IF(AND($R40="Y",$S40=""),"extension notice date missing; ","")&amp;IF(AND($R40&lt;&gt;"Y",$S40&lt;&gt;""),"notice date but Extended is not Y; ","")&amp;IF(AND($W40="Closed",$Y40=""),"closed without response date; ","")&amp;IF(AND($Y40&lt;&gt;"",$W40&lt;&gt;"Closed"),"response date but status not Closed; ","")&amp;IF(AND($Y40&lt;&gt;"",$B40&lt;&gt;"",$Y40&lt;$B40),"response before receipt; ","")&amp;IF(AND($AD40="Y",$AE40=""),"exemption needs a reason in Notes; ","")))</f>
        <v>OK</v>
      </c>
    </row>
    <row r="41" spans="1:32" x14ac:dyDescent="0.35">
      <c r="A41" s="22" t="s">
        <v>229</v>
      </c>
      <c r="B41" s="23">
        <v>46323</v>
      </c>
      <c r="C41" s="22" t="s">
        <v>70</v>
      </c>
      <c r="D41" s="22" t="s">
        <v>40</v>
      </c>
      <c r="E41" s="20" t="str">
        <f>IF($A41="","",IFERROR(VLOOKUP($D41,ReqTypes,2,FALSE),"?"))</f>
        <v>Art 15</v>
      </c>
      <c r="F41" s="20" t="str">
        <f>IF($A41="","",IFERROR(VLOOKUP($D41,ReqTypes,3,FALSE),"?"))</f>
        <v>Y</v>
      </c>
      <c r="G41" s="22" t="s">
        <v>71</v>
      </c>
      <c r="H41" s="22" t="s">
        <v>72</v>
      </c>
      <c r="I41" s="23">
        <v>46323</v>
      </c>
      <c r="J41" s="20" t="str">
        <f>IF(OR($A41="",$I41=""),"",IF(NETWORKDAYS($B41,$I41,Holidays)-1&lt;=AckDays,"Y","N"))</f>
        <v>Y</v>
      </c>
      <c r="K41" s="22" t="s">
        <v>57</v>
      </c>
      <c r="L41" s="23"/>
      <c r="M41" s="23"/>
      <c r="N41" s="20" t="str">
        <f>IF(OR($A41="",$K41&lt;&gt;"Y"),"",IF($L41="","Pending",IF($L41-$B41&lt;=IDPromptDays,"Y","Check")))</f>
        <v/>
      </c>
      <c r="O41" s="20">
        <f>IF($A41="","",IF(OR($K41&lt;&gt;"Y",$L41=""),0,IF($M41="",MAX(0,ReportDate-$L41),$M41-$L41)))</f>
        <v>0</v>
      </c>
      <c r="P41" s="21">
        <f>IF($A41="","",IF($F41&lt;&gt;"Y","n/a",WORKDAY(EDATE($B41,1)+$O41-1,1,Holidays)))</f>
        <v>46356</v>
      </c>
      <c r="Q41" s="21">
        <f>IF($A41="","",$B41+$O41+InternalDays)</f>
        <v>46338</v>
      </c>
      <c r="R41" s="22" t="s">
        <v>57</v>
      </c>
      <c r="S41" s="23"/>
      <c r="T41" s="20" t="str">
        <f t="shared" si="2"/>
        <v/>
      </c>
      <c r="U41" s="21">
        <f>IF($A41="","",IF($F41&lt;&gt;"Y",$Q41,IF(AND($R41="Y",$T41="Y"),WORKDAY(EDATE($B41,3)+$O41-1,1,Holidays),$P41)))</f>
        <v>46356</v>
      </c>
      <c r="V41" s="22" t="s">
        <v>74</v>
      </c>
      <c r="W41" s="22" t="s">
        <v>73</v>
      </c>
      <c r="X41" s="22" t="s">
        <v>57</v>
      </c>
      <c r="Y41" s="23"/>
      <c r="Z41" s="20">
        <f>IF($A41="","",IF($Y41&lt;&gt;"",$Y41-$B41,ReportDate-$B41))</f>
        <v>2</v>
      </c>
      <c r="AA41" s="20">
        <f>IF(OR($A41="",$W41="Closed"),"",$U41-ReportDate)</f>
        <v>31</v>
      </c>
      <c r="AB41" s="20" t="str">
        <f>IF($A41="","",IF($W41="Closed",IF($Y41&lt;=$U41,"Closed on time","Closed late"),IF($W41="Awaiting ID","Paused",IF($AA41&lt;0,"Overdue",IF($AA41&lt;=RedDays,"Red",IF($AA41&lt;=AmberDays,"Amber","Green"))))))</f>
        <v>Green</v>
      </c>
      <c r="AC41" s="20" t="str">
        <f t="shared" si="3"/>
        <v/>
      </c>
      <c r="AD41" s="22" t="s">
        <v>57</v>
      </c>
      <c r="AE41" s="22"/>
      <c r="AF41" s="20" t="str">
        <f>IF($A41="","",IF(IF(OR($B41="",$C41="",$D41="",$V41="",$W41=""),"missing required field; ","")&amp;IF(COUNTIF($A$2:$A$201,$A41)&gt;1,"duplicate ID; ","")&amp;IF(AND($B41&lt;&gt;"",$B41&gt;ReportDate),"received after snapshot date; ","")&amp;IF(AND($I41&lt;&gt;"",$B41&lt;&gt;"",$I41&lt;$B41),"acknowledged before receipt; ","")&amp;IF(AND($K41="Y",$L41="",$W41&lt;&gt;"Logged"),"ID requested date missing; ","")&amp;IF(AND($L41&lt;&gt;"",$M41&lt;&gt;"",$M41&lt;$L41),"ID dates out of order; ","")&amp;IF(AND($K41&lt;&gt;"Y",OR($L41&lt;&gt;"",$W41="Awaiting ID")),"ID fields used but ID_Check_Needed is not Y; ","")&amp;IF(AND($R41="Y",$S41=""),"extension notice date missing; ","")&amp;IF(AND($R41&lt;&gt;"Y",$S41&lt;&gt;""),"notice date but Extended is not Y; ","")&amp;IF(AND($W41="Closed",$Y41=""),"closed without response date; ","")&amp;IF(AND($Y41&lt;&gt;"",$W41&lt;&gt;"Closed"),"response date but status not Closed; ","")&amp;IF(AND($Y41&lt;&gt;"",$B41&lt;&gt;"",$Y41&lt;$B41),"response before receipt; ","")&amp;IF(AND($AD41="Y",$AE41=""),"exemption needs a reason in Notes; ","")="","OK","Check: "&amp;IF(OR($B41="",$C41="",$D41="",$V41="",$W41=""),"missing required field; ","")&amp;IF(COUNTIF($A$2:$A$201,$A41)&gt;1,"duplicate ID; ","")&amp;IF(AND($B41&lt;&gt;"",$B41&gt;ReportDate),"received after snapshot date; ","")&amp;IF(AND($I41&lt;&gt;"",$B41&lt;&gt;"",$I41&lt;$B41),"acknowledged before receipt; ","")&amp;IF(AND($K41="Y",$L41="",$W41&lt;&gt;"Logged"),"ID requested date missing; ","")&amp;IF(AND($L41&lt;&gt;"",$M41&lt;&gt;"",$M41&lt;$L41),"ID dates out of order; ","")&amp;IF(AND($K41&lt;&gt;"Y",OR($L41&lt;&gt;"",$W41="Awaiting ID")),"ID fields used but ID_Check_Needed is not Y; ","")&amp;IF(AND($R41="Y",$S41=""),"extension notice date missing; ","")&amp;IF(AND($R41&lt;&gt;"Y",$S41&lt;&gt;""),"notice date but Extended is not Y; ","")&amp;IF(AND($W41="Closed",$Y41=""),"closed without response date; ","")&amp;IF(AND($Y41&lt;&gt;"",$W41&lt;&gt;"Closed"),"response date but status not Closed; ","")&amp;IF(AND($Y41&lt;&gt;"",$B41&lt;&gt;"",$Y41&lt;$B41),"response before receipt; ","")&amp;IF(AND($AD41="Y",$AE41=""),"exemption needs a reason in Notes; ","")))</f>
        <v>OK</v>
      </c>
    </row>
    <row r="42" spans="1:32" x14ac:dyDescent="0.35">
      <c r="A42" s="22"/>
      <c r="B42" s="23"/>
      <c r="C42" s="22"/>
      <c r="D42" s="22"/>
      <c r="E42" s="20" t="str">
        <f>IF($A42="","",IFERROR(VLOOKUP($D42,ReqTypes,2,FALSE),"?"))</f>
        <v/>
      </c>
      <c r="F42" s="20" t="str">
        <f>IF($A42="","",IFERROR(VLOOKUP($D42,ReqTypes,3,FALSE),"?"))</f>
        <v/>
      </c>
      <c r="G42" s="22"/>
      <c r="H42" s="22"/>
      <c r="I42" s="23"/>
      <c r="J42" s="20" t="str">
        <f>IF(OR($A42="",$I42=""),"",IF(NETWORKDAYS($B42,$I42,Holidays)-1&lt;=AckDays,"Y","N"))</f>
        <v/>
      </c>
      <c r="K42" s="22"/>
      <c r="L42" s="23"/>
      <c r="M42" s="23"/>
      <c r="N42" s="20" t="str">
        <f>IF(OR($A42="",$K42&lt;&gt;"Y"),"",IF($L42="","Pending",IF($L42-$B42&lt;=IDPromptDays,"Y","Check")))</f>
        <v/>
      </c>
      <c r="O42" s="20" t="str">
        <f>IF($A42="","",IF(OR($K42&lt;&gt;"Y",$L42=""),0,IF($M42="",MAX(0,ReportDate-$L42),$M42-$L42)))</f>
        <v/>
      </c>
      <c r="P42" s="21" t="str">
        <f>IF($A42="","",IF($F42&lt;&gt;"Y","n/a",WORKDAY(EDATE($B42,1)+$O42-1,1,Holidays)))</f>
        <v/>
      </c>
      <c r="Q42" s="21" t="str">
        <f>IF($A42="","",$B42+$O42+InternalDays)</f>
        <v/>
      </c>
      <c r="R42" s="22"/>
      <c r="S42" s="23"/>
      <c r="T42" s="20" t="str">
        <f t="shared" si="2"/>
        <v/>
      </c>
      <c r="U42" s="21" t="str">
        <f>IF($A42="","",IF($F42&lt;&gt;"Y",$Q42,IF(AND($R42="Y",$T42="Y"),WORKDAY(EDATE($B42,3)+$O42-1,1,Holidays),$P42)))</f>
        <v/>
      </c>
      <c r="V42" s="22"/>
      <c r="W42" s="22"/>
      <c r="X42" s="22"/>
      <c r="Y42" s="23"/>
      <c r="Z42" s="20" t="str">
        <f>IF($A42="","",IF($Y42&lt;&gt;"",$Y42-$B42,ReportDate-$B42))</f>
        <v/>
      </c>
      <c r="AA42" s="20" t="str">
        <f>IF(OR($A42="",$W42="Closed"),"",$U42-ReportDate)</f>
        <v/>
      </c>
      <c r="AB42" s="20" t="str">
        <f>IF($A42="","",IF($W42="Closed",IF($Y42&lt;=$U42,"Closed on time","Closed late"),IF($W42="Awaiting ID","Paused",IF($AA42&lt;0,"Overdue",IF($AA42&lt;=RedDays,"Red",IF($AA42&lt;=AmberDays,"Amber","Green"))))))</f>
        <v/>
      </c>
      <c r="AC42" s="20" t="str">
        <f t="shared" si="3"/>
        <v/>
      </c>
      <c r="AD42" s="22"/>
      <c r="AE42" s="22"/>
      <c r="AF42" s="20" t="str">
        <f>IF($A42="","",IF(IF(OR($B42="",$C42="",$D42="",$V42="",$W42=""),"missing required field; ","")&amp;IF(COUNTIF($A$2:$A$201,$A42)&gt;1,"duplicate ID; ","")&amp;IF(AND($B42&lt;&gt;"",$B42&gt;ReportDate),"received after snapshot date; ","")&amp;IF(AND($I42&lt;&gt;"",$B42&lt;&gt;"",$I42&lt;$B42),"acknowledged before receipt; ","")&amp;IF(AND($K42="Y",$L42="",$W42&lt;&gt;"Logged"),"ID requested date missing; ","")&amp;IF(AND($L42&lt;&gt;"",$M42&lt;&gt;"",$M42&lt;$L42),"ID dates out of order; ","")&amp;IF(AND($K42&lt;&gt;"Y",OR($L42&lt;&gt;"",$W42="Awaiting ID")),"ID fields used but ID_Check_Needed is not Y; ","")&amp;IF(AND($R42="Y",$S42=""),"extension notice date missing; ","")&amp;IF(AND($R42&lt;&gt;"Y",$S42&lt;&gt;""),"notice date but Extended is not Y; ","")&amp;IF(AND($W42="Closed",$Y42=""),"closed without response date; ","")&amp;IF(AND($Y42&lt;&gt;"",$W42&lt;&gt;"Closed"),"response date but status not Closed; ","")&amp;IF(AND($Y42&lt;&gt;"",$B42&lt;&gt;"",$Y42&lt;$B42),"response before receipt; ","")&amp;IF(AND($AD42="Y",$AE42=""),"exemption needs a reason in Notes; ","")="","OK","Check: "&amp;IF(OR($B42="",$C42="",$D42="",$V42="",$W42=""),"missing required field; ","")&amp;IF(COUNTIF($A$2:$A$201,$A42)&gt;1,"duplicate ID; ","")&amp;IF(AND($B42&lt;&gt;"",$B42&gt;ReportDate),"received after snapshot date; ","")&amp;IF(AND($I42&lt;&gt;"",$B42&lt;&gt;"",$I42&lt;$B42),"acknowledged before receipt; ","")&amp;IF(AND($K42="Y",$L42="",$W42&lt;&gt;"Logged"),"ID requested date missing; ","")&amp;IF(AND($L42&lt;&gt;"",$M42&lt;&gt;"",$M42&lt;$L42),"ID dates out of order; ","")&amp;IF(AND($K42&lt;&gt;"Y",OR($L42&lt;&gt;"",$W42="Awaiting ID")),"ID fields used but ID_Check_Needed is not Y; ","")&amp;IF(AND($R42="Y",$S42=""),"extension notice date missing; ","")&amp;IF(AND($R42&lt;&gt;"Y",$S42&lt;&gt;""),"notice date but Extended is not Y; ","")&amp;IF(AND($W42="Closed",$Y42=""),"closed without response date; ","")&amp;IF(AND($Y42&lt;&gt;"",$W42&lt;&gt;"Closed"),"response date but status not Closed; ","")&amp;IF(AND($Y42&lt;&gt;"",$B42&lt;&gt;"",$Y42&lt;$B42),"response before receipt; ","")&amp;IF(AND($AD42="Y",$AE42=""),"exemption needs a reason in Notes; ","")))</f>
        <v/>
      </c>
    </row>
    <row r="43" spans="1:32" x14ac:dyDescent="0.35">
      <c r="A43" s="22"/>
      <c r="B43" s="23"/>
      <c r="C43" s="22"/>
      <c r="D43" s="22"/>
      <c r="E43" s="20" t="str">
        <f>IF($A43="","",IFERROR(VLOOKUP($D43,ReqTypes,2,FALSE),"?"))</f>
        <v/>
      </c>
      <c r="F43" s="20" t="str">
        <f>IF($A43="","",IFERROR(VLOOKUP($D43,ReqTypes,3,FALSE),"?"))</f>
        <v/>
      </c>
      <c r="G43" s="22"/>
      <c r="H43" s="22"/>
      <c r="I43" s="23"/>
      <c r="J43" s="20" t="str">
        <f>IF(OR($A43="",$I43=""),"",IF(NETWORKDAYS($B43,$I43,Holidays)-1&lt;=AckDays,"Y","N"))</f>
        <v/>
      </c>
      <c r="K43" s="22"/>
      <c r="L43" s="23"/>
      <c r="M43" s="23"/>
      <c r="N43" s="20" t="str">
        <f>IF(OR($A43="",$K43&lt;&gt;"Y"),"",IF($L43="","Pending",IF($L43-$B43&lt;=IDPromptDays,"Y","Check")))</f>
        <v/>
      </c>
      <c r="O43" s="20" t="str">
        <f>IF($A43="","",IF(OR($K43&lt;&gt;"Y",$L43=""),0,IF($M43="",MAX(0,ReportDate-$L43),$M43-$L43)))</f>
        <v/>
      </c>
      <c r="P43" s="21" t="str">
        <f>IF($A43="","",IF($F43&lt;&gt;"Y","n/a",WORKDAY(EDATE($B43,1)+$O43-1,1,Holidays)))</f>
        <v/>
      </c>
      <c r="Q43" s="21" t="str">
        <f>IF($A43="","",$B43+$O43+InternalDays)</f>
        <v/>
      </c>
      <c r="R43" s="22"/>
      <c r="S43" s="23"/>
      <c r="T43" s="20" t="str">
        <f t="shared" si="2"/>
        <v/>
      </c>
      <c r="U43" s="21" t="str">
        <f>IF($A43="","",IF($F43&lt;&gt;"Y",$Q43,IF(AND($R43="Y",$T43="Y"),WORKDAY(EDATE($B43,3)+$O43-1,1,Holidays),$P43)))</f>
        <v/>
      </c>
      <c r="V43" s="22"/>
      <c r="W43" s="22"/>
      <c r="X43" s="22"/>
      <c r="Y43" s="23"/>
      <c r="Z43" s="20" t="str">
        <f>IF($A43="","",IF($Y43&lt;&gt;"",$Y43-$B43,ReportDate-$B43))</f>
        <v/>
      </c>
      <c r="AA43" s="20" t="str">
        <f>IF(OR($A43="",$W43="Closed"),"",$U43-ReportDate)</f>
        <v/>
      </c>
      <c r="AB43" s="20" t="str">
        <f>IF($A43="","",IF($W43="Closed",IF($Y43&lt;=$U43,"Closed on time","Closed late"),IF($W43="Awaiting ID","Paused",IF($AA43&lt;0,"Overdue",IF($AA43&lt;=RedDays,"Red",IF($AA43&lt;=AmberDays,"Amber","Green"))))))</f>
        <v/>
      </c>
      <c r="AC43" s="20" t="str">
        <f t="shared" si="3"/>
        <v/>
      </c>
      <c r="AD43" s="22"/>
      <c r="AE43" s="22"/>
      <c r="AF43" s="20" t="str">
        <f>IF($A43="","",IF(IF(OR($B43="",$C43="",$D43="",$V43="",$W43=""),"missing required field; ","")&amp;IF(COUNTIF($A$2:$A$201,$A43)&gt;1,"duplicate ID; ","")&amp;IF(AND($B43&lt;&gt;"",$B43&gt;ReportDate),"received after snapshot date; ","")&amp;IF(AND($I43&lt;&gt;"",$B43&lt;&gt;"",$I43&lt;$B43),"acknowledged before receipt; ","")&amp;IF(AND($K43="Y",$L43="",$W43&lt;&gt;"Logged"),"ID requested date missing; ","")&amp;IF(AND($L43&lt;&gt;"",$M43&lt;&gt;"",$M43&lt;$L43),"ID dates out of order; ","")&amp;IF(AND($K43&lt;&gt;"Y",OR($L43&lt;&gt;"",$W43="Awaiting ID")),"ID fields used but ID_Check_Needed is not Y; ","")&amp;IF(AND($R43="Y",$S43=""),"extension notice date missing; ","")&amp;IF(AND($R43&lt;&gt;"Y",$S43&lt;&gt;""),"notice date but Extended is not Y; ","")&amp;IF(AND($W43="Closed",$Y43=""),"closed without response date; ","")&amp;IF(AND($Y43&lt;&gt;"",$W43&lt;&gt;"Closed"),"response date but status not Closed; ","")&amp;IF(AND($Y43&lt;&gt;"",$B43&lt;&gt;"",$Y43&lt;$B43),"response before receipt; ","")&amp;IF(AND($AD43="Y",$AE43=""),"exemption needs a reason in Notes; ","")="","OK","Check: "&amp;IF(OR($B43="",$C43="",$D43="",$V43="",$W43=""),"missing required field; ","")&amp;IF(COUNTIF($A$2:$A$201,$A43)&gt;1,"duplicate ID; ","")&amp;IF(AND($B43&lt;&gt;"",$B43&gt;ReportDate),"received after snapshot date; ","")&amp;IF(AND($I43&lt;&gt;"",$B43&lt;&gt;"",$I43&lt;$B43),"acknowledged before receipt; ","")&amp;IF(AND($K43="Y",$L43="",$W43&lt;&gt;"Logged"),"ID requested date missing; ","")&amp;IF(AND($L43&lt;&gt;"",$M43&lt;&gt;"",$M43&lt;$L43),"ID dates out of order; ","")&amp;IF(AND($K43&lt;&gt;"Y",OR($L43&lt;&gt;"",$W43="Awaiting ID")),"ID fields used but ID_Check_Needed is not Y; ","")&amp;IF(AND($R43="Y",$S43=""),"extension notice date missing; ","")&amp;IF(AND($R43&lt;&gt;"Y",$S43&lt;&gt;""),"notice date but Extended is not Y; ","")&amp;IF(AND($W43="Closed",$Y43=""),"closed without response date; ","")&amp;IF(AND($Y43&lt;&gt;"",$W43&lt;&gt;"Closed"),"response date but status not Closed; ","")&amp;IF(AND($Y43&lt;&gt;"",$B43&lt;&gt;"",$Y43&lt;$B43),"response before receipt; ","")&amp;IF(AND($AD43="Y",$AE43=""),"exemption needs a reason in Notes; ","")))</f>
        <v/>
      </c>
    </row>
    <row r="44" spans="1:32" x14ac:dyDescent="0.35">
      <c r="A44" s="22"/>
      <c r="B44" s="23"/>
      <c r="C44" s="22"/>
      <c r="D44" s="22"/>
      <c r="E44" s="20" t="str">
        <f>IF($A44="","",IFERROR(VLOOKUP($D44,ReqTypes,2,FALSE),"?"))</f>
        <v/>
      </c>
      <c r="F44" s="20" t="str">
        <f>IF($A44="","",IFERROR(VLOOKUP($D44,ReqTypes,3,FALSE),"?"))</f>
        <v/>
      </c>
      <c r="G44" s="22"/>
      <c r="H44" s="22"/>
      <c r="I44" s="23"/>
      <c r="J44" s="20" t="str">
        <f>IF(OR($A44="",$I44=""),"",IF(NETWORKDAYS($B44,$I44,Holidays)-1&lt;=AckDays,"Y","N"))</f>
        <v/>
      </c>
      <c r="K44" s="22"/>
      <c r="L44" s="23"/>
      <c r="M44" s="23"/>
      <c r="N44" s="20" t="str">
        <f>IF(OR($A44="",$K44&lt;&gt;"Y"),"",IF($L44="","Pending",IF($L44-$B44&lt;=IDPromptDays,"Y","Check")))</f>
        <v/>
      </c>
      <c r="O44" s="20" t="str">
        <f>IF($A44="","",IF(OR($K44&lt;&gt;"Y",$L44=""),0,IF($M44="",MAX(0,ReportDate-$L44),$M44-$L44)))</f>
        <v/>
      </c>
      <c r="P44" s="21" t="str">
        <f>IF($A44="","",IF($F44&lt;&gt;"Y","n/a",WORKDAY(EDATE($B44,1)+$O44-1,1,Holidays)))</f>
        <v/>
      </c>
      <c r="Q44" s="21" t="str">
        <f>IF($A44="","",$B44+$O44+InternalDays)</f>
        <v/>
      </c>
      <c r="R44" s="22"/>
      <c r="S44" s="23"/>
      <c r="T44" s="20" t="str">
        <f t="shared" si="2"/>
        <v/>
      </c>
      <c r="U44" s="21" t="str">
        <f>IF($A44="","",IF($F44&lt;&gt;"Y",$Q44,IF(AND($R44="Y",$T44="Y"),WORKDAY(EDATE($B44,3)+$O44-1,1,Holidays),$P44)))</f>
        <v/>
      </c>
      <c r="V44" s="22"/>
      <c r="W44" s="22"/>
      <c r="X44" s="22"/>
      <c r="Y44" s="23"/>
      <c r="Z44" s="20" t="str">
        <f>IF($A44="","",IF($Y44&lt;&gt;"",$Y44-$B44,ReportDate-$B44))</f>
        <v/>
      </c>
      <c r="AA44" s="20" t="str">
        <f>IF(OR($A44="",$W44="Closed"),"",$U44-ReportDate)</f>
        <v/>
      </c>
      <c r="AB44" s="20" t="str">
        <f>IF($A44="","",IF($W44="Closed",IF($Y44&lt;=$U44,"Closed on time","Closed late"),IF($W44="Awaiting ID","Paused",IF($AA44&lt;0,"Overdue",IF($AA44&lt;=RedDays,"Red",IF($AA44&lt;=AmberDays,"Amber","Green"))))))</f>
        <v/>
      </c>
      <c r="AC44" s="20" t="str">
        <f t="shared" si="3"/>
        <v/>
      </c>
      <c r="AD44" s="22"/>
      <c r="AE44" s="22"/>
      <c r="AF44" s="20" t="str">
        <f>IF($A44="","",IF(IF(OR($B44="",$C44="",$D44="",$V44="",$W44=""),"missing required field; ","")&amp;IF(COUNTIF($A$2:$A$201,$A44)&gt;1,"duplicate ID; ","")&amp;IF(AND($B44&lt;&gt;"",$B44&gt;ReportDate),"received after snapshot date; ","")&amp;IF(AND($I44&lt;&gt;"",$B44&lt;&gt;"",$I44&lt;$B44),"acknowledged before receipt; ","")&amp;IF(AND($K44="Y",$L44="",$W44&lt;&gt;"Logged"),"ID requested date missing; ","")&amp;IF(AND($L44&lt;&gt;"",$M44&lt;&gt;"",$M44&lt;$L44),"ID dates out of order; ","")&amp;IF(AND($K44&lt;&gt;"Y",OR($L44&lt;&gt;"",$W44="Awaiting ID")),"ID fields used but ID_Check_Needed is not Y; ","")&amp;IF(AND($R44="Y",$S44=""),"extension notice date missing; ","")&amp;IF(AND($R44&lt;&gt;"Y",$S44&lt;&gt;""),"notice date but Extended is not Y; ","")&amp;IF(AND($W44="Closed",$Y44=""),"closed without response date; ","")&amp;IF(AND($Y44&lt;&gt;"",$W44&lt;&gt;"Closed"),"response date but status not Closed; ","")&amp;IF(AND($Y44&lt;&gt;"",$B44&lt;&gt;"",$Y44&lt;$B44),"response before receipt; ","")&amp;IF(AND($AD44="Y",$AE44=""),"exemption needs a reason in Notes; ","")="","OK","Check: "&amp;IF(OR($B44="",$C44="",$D44="",$V44="",$W44=""),"missing required field; ","")&amp;IF(COUNTIF($A$2:$A$201,$A44)&gt;1,"duplicate ID; ","")&amp;IF(AND($B44&lt;&gt;"",$B44&gt;ReportDate),"received after snapshot date; ","")&amp;IF(AND($I44&lt;&gt;"",$B44&lt;&gt;"",$I44&lt;$B44),"acknowledged before receipt; ","")&amp;IF(AND($K44="Y",$L44="",$W44&lt;&gt;"Logged"),"ID requested date missing; ","")&amp;IF(AND($L44&lt;&gt;"",$M44&lt;&gt;"",$M44&lt;$L44),"ID dates out of order; ","")&amp;IF(AND($K44&lt;&gt;"Y",OR($L44&lt;&gt;"",$W44="Awaiting ID")),"ID fields used but ID_Check_Needed is not Y; ","")&amp;IF(AND($R44="Y",$S44=""),"extension notice date missing; ","")&amp;IF(AND($R44&lt;&gt;"Y",$S44&lt;&gt;""),"notice date but Extended is not Y; ","")&amp;IF(AND($W44="Closed",$Y44=""),"closed without response date; ","")&amp;IF(AND($Y44&lt;&gt;"",$W44&lt;&gt;"Closed"),"response date but status not Closed; ","")&amp;IF(AND($Y44&lt;&gt;"",$B44&lt;&gt;"",$Y44&lt;$B44),"response before receipt; ","")&amp;IF(AND($AD44="Y",$AE44=""),"exemption needs a reason in Notes; ","")))</f>
        <v/>
      </c>
    </row>
    <row r="45" spans="1:32" x14ac:dyDescent="0.35">
      <c r="A45" s="22"/>
      <c r="B45" s="23"/>
      <c r="C45" s="22"/>
      <c r="D45" s="22"/>
      <c r="E45" s="20" t="str">
        <f>IF($A45="","",IFERROR(VLOOKUP($D45,ReqTypes,2,FALSE),"?"))</f>
        <v/>
      </c>
      <c r="F45" s="20" t="str">
        <f>IF($A45="","",IFERROR(VLOOKUP($D45,ReqTypes,3,FALSE),"?"))</f>
        <v/>
      </c>
      <c r="G45" s="22"/>
      <c r="H45" s="22"/>
      <c r="I45" s="23"/>
      <c r="J45" s="20" t="str">
        <f>IF(OR($A45="",$I45=""),"",IF(NETWORKDAYS($B45,$I45,Holidays)-1&lt;=AckDays,"Y","N"))</f>
        <v/>
      </c>
      <c r="K45" s="22"/>
      <c r="L45" s="23"/>
      <c r="M45" s="23"/>
      <c r="N45" s="20" t="str">
        <f>IF(OR($A45="",$K45&lt;&gt;"Y"),"",IF($L45="","Pending",IF($L45-$B45&lt;=IDPromptDays,"Y","Check")))</f>
        <v/>
      </c>
      <c r="O45" s="20" t="str">
        <f>IF($A45="","",IF(OR($K45&lt;&gt;"Y",$L45=""),0,IF($M45="",MAX(0,ReportDate-$L45),$M45-$L45)))</f>
        <v/>
      </c>
      <c r="P45" s="21" t="str">
        <f>IF($A45="","",IF($F45&lt;&gt;"Y","n/a",WORKDAY(EDATE($B45,1)+$O45-1,1,Holidays)))</f>
        <v/>
      </c>
      <c r="Q45" s="21" t="str">
        <f>IF($A45="","",$B45+$O45+InternalDays)</f>
        <v/>
      </c>
      <c r="R45" s="22"/>
      <c r="S45" s="23"/>
      <c r="T45" s="20" t="str">
        <f t="shared" si="2"/>
        <v/>
      </c>
      <c r="U45" s="21" t="str">
        <f>IF($A45="","",IF($F45&lt;&gt;"Y",$Q45,IF(AND($R45="Y",$T45="Y"),WORKDAY(EDATE($B45,3)+$O45-1,1,Holidays),$P45)))</f>
        <v/>
      </c>
      <c r="V45" s="22"/>
      <c r="W45" s="22"/>
      <c r="X45" s="22"/>
      <c r="Y45" s="23"/>
      <c r="Z45" s="20" t="str">
        <f>IF($A45="","",IF($Y45&lt;&gt;"",$Y45-$B45,ReportDate-$B45))</f>
        <v/>
      </c>
      <c r="AA45" s="20" t="str">
        <f>IF(OR($A45="",$W45="Closed"),"",$U45-ReportDate)</f>
        <v/>
      </c>
      <c r="AB45" s="20" t="str">
        <f>IF($A45="","",IF($W45="Closed",IF($Y45&lt;=$U45,"Closed on time","Closed late"),IF($W45="Awaiting ID","Paused",IF($AA45&lt;0,"Overdue",IF($AA45&lt;=RedDays,"Red",IF($AA45&lt;=AmberDays,"Amber","Green"))))))</f>
        <v/>
      </c>
      <c r="AC45" s="20" t="str">
        <f t="shared" si="3"/>
        <v/>
      </c>
      <c r="AD45" s="22"/>
      <c r="AE45" s="22"/>
      <c r="AF45" s="20" t="str">
        <f>IF($A45="","",IF(IF(OR($B45="",$C45="",$D45="",$V45="",$W45=""),"missing required field; ","")&amp;IF(COUNTIF($A$2:$A$201,$A45)&gt;1,"duplicate ID; ","")&amp;IF(AND($B45&lt;&gt;"",$B45&gt;ReportDate),"received after snapshot date; ","")&amp;IF(AND($I45&lt;&gt;"",$B45&lt;&gt;"",$I45&lt;$B45),"acknowledged before receipt; ","")&amp;IF(AND($K45="Y",$L45="",$W45&lt;&gt;"Logged"),"ID requested date missing; ","")&amp;IF(AND($L45&lt;&gt;"",$M45&lt;&gt;"",$M45&lt;$L45),"ID dates out of order; ","")&amp;IF(AND($K45&lt;&gt;"Y",OR($L45&lt;&gt;"",$W45="Awaiting ID")),"ID fields used but ID_Check_Needed is not Y; ","")&amp;IF(AND($R45="Y",$S45=""),"extension notice date missing; ","")&amp;IF(AND($R45&lt;&gt;"Y",$S45&lt;&gt;""),"notice date but Extended is not Y; ","")&amp;IF(AND($W45="Closed",$Y45=""),"closed without response date; ","")&amp;IF(AND($Y45&lt;&gt;"",$W45&lt;&gt;"Closed"),"response date but status not Closed; ","")&amp;IF(AND($Y45&lt;&gt;"",$B45&lt;&gt;"",$Y45&lt;$B45),"response before receipt; ","")&amp;IF(AND($AD45="Y",$AE45=""),"exemption needs a reason in Notes; ","")="","OK","Check: "&amp;IF(OR($B45="",$C45="",$D45="",$V45="",$W45=""),"missing required field; ","")&amp;IF(COUNTIF($A$2:$A$201,$A45)&gt;1,"duplicate ID; ","")&amp;IF(AND($B45&lt;&gt;"",$B45&gt;ReportDate),"received after snapshot date; ","")&amp;IF(AND($I45&lt;&gt;"",$B45&lt;&gt;"",$I45&lt;$B45),"acknowledged before receipt; ","")&amp;IF(AND($K45="Y",$L45="",$W45&lt;&gt;"Logged"),"ID requested date missing; ","")&amp;IF(AND($L45&lt;&gt;"",$M45&lt;&gt;"",$M45&lt;$L45),"ID dates out of order; ","")&amp;IF(AND($K45&lt;&gt;"Y",OR($L45&lt;&gt;"",$W45="Awaiting ID")),"ID fields used but ID_Check_Needed is not Y; ","")&amp;IF(AND($R45="Y",$S45=""),"extension notice date missing; ","")&amp;IF(AND($R45&lt;&gt;"Y",$S45&lt;&gt;""),"notice date but Extended is not Y; ","")&amp;IF(AND($W45="Closed",$Y45=""),"closed without response date; ","")&amp;IF(AND($Y45&lt;&gt;"",$W45&lt;&gt;"Closed"),"response date but status not Closed; ","")&amp;IF(AND($Y45&lt;&gt;"",$B45&lt;&gt;"",$Y45&lt;$B45),"response before receipt; ","")&amp;IF(AND($AD45="Y",$AE45=""),"exemption needs a reason in Notes; ","")))</f>
        <v/>
      </c>
    </row>
    <row r="46" spans="1:32" x14ac:dyDescent="0.35">
      <c r="A46" s="22"/>
      <c r="B46" s="23"/>
      <c r="C46" s="22"/>
      <c r="D46" s="22"/>
      <c r="E46" s="20" t="str">
        <f>IF($A46="","",IFERROR(VLOOKUP($D46,ReqTypes,2,FALSE),"?"))</f>
        <v/>
      </c>
      <c r="F46" s="20" t="str">
        <f>IF($A46="","",IFERROR(VLOOKUP($D46,ReqTypes,3,FALSE),"?"))</f>
        <v/>
      </c>
      <c r="G46" s="22"/>
      <c r="H46" s="22"/>
      <c r="I46" s="23"/>
      <c r="J46" s="20" t="str">
        <f>IF(OR($A46="",$I46=""),"",IF(NETWORKDAYS($B46,$I46,Holidays)-1&lt;=AckDays,"Y","N"))</f>
        <v/>
      </c>
      <c r="K46" s="22"/>
      <c r="L46" s="23"/>
      <c r="M46" s="23"/>
      <c r="N46" s="20" t="str">
        <f>IF(OR($A46="",$K46&lt;&gt;"Y"),"",IF($L46="","Pending",IF($L46-$B46&lt;=IDPromptDays,"Y","Check")))</f>
        <v/>
      </c>
      <c r="O46" s="20" t="str">
        <f>IF($A46="","",IF(OR($K46&lt;&gt;"Y",$L46=""),0,IF($M46="",MAX(0,ReportDate-$L46),$M46-$L46)))</f>
        <v/>
      </c>
      <c r="P46" s="21" t="str">
        <f>IF($A46="","",IF($F46&lt;&gt;"Y","n/a",WORKDAY(EDATE($B46,1)+$O46-1,1,Holidays)))</f>
        <v/>
      </c>
      <c r="Q46" s="21" t="str">
        <f>IF($A46="","",$B46+$O46+InternalDays)</f>
        <v/>
      </c>
      <c r="R46" s="22"/>
      <c r="S46" s="23"/>
      <c r="T46" s="20" t="str">
        <f t="shared" si="2"/>
        <v/>
      </c>
      <c r="U46" s="21" t="str">
        <f>IF($A46="","",IF($F46&lt;&gt;"Y",$Q46,IF(AND($R46="Y",$T46="Y"),WORKDAY(EDATE($B46,3)+$O46-1,1,Holidays),$P46)))</f>
        <v/>
      </c>
      <c r="V46" s="22"/>
      <c r="W46" s="22"/>
      <c r="X46" s="22"/>
      <c r="Y46" s="23"/>
      <c r="Z46" s="20" t="str">
        <f>IF($A46="","",IF($Y46&lt;&gt;"",$Y46-$B46,ReportDate-$B46))</f>
        <v/>
      </c>
      <c r="AA46" s="20" t="str">
        <f>IF(OR($A46="",$W46="Closed"),"",$U46-ReportDate)</f>
        <v/>
      </c>
      <c r="AB46" s="20" t="str">
        <f>IF($A46="","",IF($W46="Closed",IF($Y46&lt;=$U46,"Closed on time","Closed late"),IF($W46="Awaiting ID","Paused",IF($AA46&lt;0,"Overdue",IF($AA46&lt;=RedDays,"Red",IF($AA46&lt;=AmberDays,"Amber","Green"))))))</f>
        <v/>
      </c>
      <c r="AC46" s="20" t="str">
        <f t="shared" si="3"/>
        <v/>
      </c>
      <c r="AD46" s="22"/>
      <c r="AE46" s="22"/>
      <c r="AF46" s="20" t="str">
        <f>IF($A46="","",IF(IF(OR($B46="",$C46="",$D46="",$V46="",$W46=""),"missing required field; ","")&amp;IF(COUNTIF($A$2:$A$201,$A46)&gt;1,"duplicate ID; ","")&amp;IF(AND($B46&lt;&gt;"",$B46&gt;ReportDate),"received after snapshot date; ","")&amp;IF(AND($I46&lt;&gt;"",$B46&lt;&gt;"",$I46&lt;$B46),"acknowledged before receipt; ","")&amp;IF(AND($K46="Y",$L46="",$W46&lt;&gt;"Logged"),"ID requested date missing; ","")&amp;IF(AND($L46&lt;&gt;"",$M46&lt;&gt;"",$M46&lt;$L46),"ID dates out of order; ","")&amp;IF(AND($K46&lt;&gt;"Y",OR($L46&lt;&gt;"",$W46="Awaiting ID")),"ID fields used but ID_Check_Needed is not Y; ","")&amp;IF(AND($R46="Y",$S46=""),"extension notice date missing; ","")&amp;IF(AND($R46&lt;&gt;"Y",$S46&lt;&gt;""),"notice date but Extended is not Y; ","")&amp;IF(AND($W46="Closed",$Y46=""),"closed without response date; ","")&amp;IF(AND($Y46&lt;&gt;"",$W46&lt;&gt;"Closed"),"response date but status not Closed; ","")&amp;IF(AND($Y46&lt;&gt;"",$B46&lt;&gt;"",$Y46&lt;$B46),"response before receipt; ","")&amp;IF(AND($AD46="Y",$AE46=""),"exemption needs a reason in Notes; ","")="","OK","Check: "&amp;IF(OR($B46="",$C46="",$D46="",$V46="",$W46=""),"missing required field; ","")&amp;IF(COUNTIF($A$2:$A$201,$A46)&gt;1,"duplicate ID; ","")&amp;IF(AND($B46&lt;&gt;"",$B46&gt;ReportDate),"received after snapshot date; ","")&amp;IF(AND($I46&lt;&gt;"",$B46&lt;&gt;"",$I46&lt;$B46),"acknowledged before receipt; ","")&amp;IF(AND($K46="Y",$L46="",$W46&lt;&gt;"Logged"),"ID requested date missing; ","")&amp;IF(AND($L46&lt;&gt;"",$M46&lt;&gt;"",$M46&lt;$L46),"ID dates out of order; ","")&amp;IF(AND($K46&lt;&gt;"Y",OR($L46&lt;&gt;"",$W46="Awaiting ID")),"ID fields used but ID_Check_Needed is not Y; ","")&amp;IF(AND($R46="Y",$S46=""),"extension notice date missing; ","")&amp;IF(AND($R46&lt;&gt;"Y",$S46&lt;&gt;""),"notice date but Extended is not Y; ","")&amp;IF(AND($W46="Closed",$Y46=""),"closed without response date; ","")&amp;IF(AND($Y46&lt;&gt;"",$W46&lt;&gt;"Closed"),"response date but status not Closed; ","")&amp;IF(AND($Y46&lt;&gt;"",$B46&lt;&gt;"",$Y46&lt;$B46),"response before receipt; ","")&amp;IF(AND($AD46="Y",$AE46=""),"exemption needs a reason in Notes; ","")))</f>
        <v/>
      </c>
    </row>
    <row r="47" spans="1:32" x14ac:dyDescent="0.35">
      <c r="A47" s="22"/>
      <c r="B47" s="23"/>
      <c r="C47" s="22"/>
      <c r="D47" s="22"/>
      <c r="E47" s="20" t="str">
        <f>IF($A47="","",IFERROR(VLOOKUP($D47,ReqTypes,2,FALSE),"?"))</f>
        <v/>
      </c>
      <c r="F47" s="20" t="str">
        <f>IF($A47="","",IFERROR(VLOOKUP($D47,ReqTypes,3,FALSE),"?"))</f>
        <v/>
      </c>
      <c r="G47" s="22"/>
      <c r="H47" s="22"/>
      <c r="I47" s="23"/>
      <c r="J47" s="20" t="str">
        <f>IF(OR($A47="",$I47=""),"",IF(NETWORKDAYS($B47,$I47,Holidays)-1&lt;=AckDays,"Y","N"))</f>
        <v/>
      </c>
      <c r="K47" s="22"/>
      <c r="L47" s="23"/>
      <c r="M47" s="23"/>
      <c r="N47" s="20" t="str">
        <f>IF(OR($A47="",$K47&lt;&gt;"Y"),"",IF($L47="","Pending",IF($L47-$B47&lt;=IDPromptDays,"Y","Check")))</f>
        <v/>
      </c>
      <c r="O47" s="20" t="str">
        <f>IF($A47="","",IF(OR($K47&lt;&gt;"Y",$L47=""),0,IF($M47="",MAX(0,ReportDate-$L47),$M47-$L47)))</f>
        <v/>
      </c>
      <c r="P47" s="21" t="str">
        <f>IF($A47="","",IF($F47&lt;&gt;"Y","n/a",WORKDAY(EDATE($B47,1)+$O47-1,1,Holidays)))</f>
        <v/>
      </c>
      <c r="Q47" s="21" t="str">
        <f>IF($A47="","",$B47+$O47+InternalDays)</f>
        <v/>
      </c>
      <c r="R47" s="22"/>
      <c r="S47" s="23"/>
      <c r="T47" s="20" t="str">
        <f t="shared" si="2"/>
        <v/>
      </c>
      <c r="U47" s="21" t="str">
        <f>IF($A47="","",IF($F47&lt;&gt;"Y",$Q47,IF(AND($R47="Y",$T47="Y"),WORKDAY(EDATE($B47,3)+$O47-1,1,Holidays),$P47)))</f>
        <v/>
      </c>
      <c r="V47" s="22"/>
      <c r="W47" s="22"/>
      <c r="X47" s="22"/>
      <c r="Y47" s="23"/>
      <c r="Z47" s="20" t="str">
        <f>IF($A47="","",IF($Y47&lt;&gt;"",$Y47-$B47,ReportDate-$B47))</f>
        <v/>
      </c>
      <c r="AA47" s="20" t="str">
        <f>IF(OR($A47="",$W47="Closed"),"",$U47-ReportDate)</f>
        <v/>
      </c>
      <c r="AB47" s="20" t="str">
        <f>IF($A47="","",IF($W47="Closed",IF($Y47&lt;=$U47,"Closed on time","Closed late"),IF($W47="Awaiting ID","Paused",IF($AA47&lt;0,"Overdue",IF($AA47&lt;=RedDays,"Red",IF($AA47&lt;=AmberDays,"Amber","Green"))))))</f>
        <v/>
      </c>
      <c r="AC47" s="20" t="str">
        <f t="shared" si="3"/>
        <v/>
      </c>
      <c r="AD47" s="22"/>
      <c r="AE47" s="22"/>
      <c r="AF47" s="20" t="str">
        <f>IF($A47="","",IF(IF(OR($B47="",$C47="",$D47="",$V47="",$W47=""),"missing required field; ","")&amp;IF(COUNTIF($A$2:$A$201,$A47)&gt;1,"duplicate ID; ","")&amp;IF(AND($B47&lt;&gt;"",$B47&gt;ReportDate),"received after snapshot date; ","")&amp;IF(AND($I47&lt;&gt;"",$B47&lt;&gt;"",$I47&lt;$B47),"acknowledged before receipt; ","")&amp;IF(AND($K47="Y",$L47="",$W47&lt;&gt;"Logged"),"ID requested date missing; ","")&amp;IF(AND($L47&lt;&gt;"",$M47&lt;&gt;"",$M47&lt;$L47),"ID dates out of order; ","")&amp;IF(AND($K47&lt;&gt;"Y",OR($L47&lt;&gt;"",$W47="Awaiting ID")),"ID fields used but ID_Check_Needed is not Y; ","")&amp;IF(AND($R47="Y",$S47=""),"extension notice date missing; ","")&amp;IF(AND($R47&lt;&gt;"Y",$S47&lt;&gt;""),"notice date but Extended is not Y; ","")&amp;IF(AND($W47="Closed",$Y47=""),"closed without response date; ","")&amp;IF(AND($Y47&lt;&gt;"",$W47&lt;&gt;"Closed"),"response date but status not Closed; ","")&amp;IF(AND($Y47&lt;&gt;"",$B47&lt;&gt;"",$Y47&lt;$B47),"response before receipt; ","")&amp;IF(AND($AD47="Y",$AE47=""),"exemption needs a reason in Notes; ","")="","OK","Check: "&amp;IF(OR($B47="",$C47="",$D47="",$V47="",$W47=""),"missing required field; ","")&amp;IF(COUNTIF($A$2:$A$201,$A47)&gt;1,"duplicate ID; ","")&amp;IF(AND($B47&lt;&gt;"",$B47&gt;ReportDate),"received after snapshot date; ","")&amp;IF(AND($I47&lt;&gt;"",$B47&lt;&gt;"",$I47&lt;$B47),"acknowledged before receipt; ","")&amp;IF(AND($K47="Y",$L47="",$W47&lt;&gt;"Logged"),"ID requested date missing; ","")&amp;IF(AND($L47&lt;&gt;"",$M47&lt;&gt;"",$M47&lt;$L47),"ID dates out of order; ","")&amp;IF(AND($K47&lt;&gt;"Y",OR($L47&lt;&gt;"",$W47="Awaiting ID")),"ID fields used but ID_Check_Needed is not Y; ","")&amp;IF(AND($R47="Y",$S47=""),"extension notice date missing; ","")&amp;IF(AND($R47&lt;&gt;"Y",$S47&lt;&gt;""),"notice date but Extended is not Y; ","")&amp;IF(AND($W47="Closed",$Y47=""),"closed without response date; ","")&amp;IF(AND($Y47&lt;&gt;"",$W47&lt;&gt;"Closed"),"response date but status not Closed; ","")&amp;IF(AND($Y47&lt;&gt;"",$B47&lt;&gt;"",$Y47&lt;$B47),"response before receipt; ","")&amp;IF(AND($AD47="Y",$AE47=""),"exemption needs a reason in Notes; ","")))</f>
        <v/>
      </c>
    </row>
    <row r="48" spans="1:32" x14ac:dyDescent="0.35">
      <c r="A48" s="22"/>
      <c r="B48" s="23"/>
      <c r="C48" s="22"/>
      <c r="D48" s="22"/>
      <c r="E48" s="20" t="str">
        <f>IF($A48="","",IFERROR(VLOOKUP($D48,ReqTypes,2,FALSE),"?"))</f>
        <v/>
      </c>
      <c r="F48" s="20" t="str">
        <f>IF($A48="","",IFERROR(VLOOKUP($D48,ReqTypes,3,FALSE),"?"))</f>
        <v/>
      </c>
      <c r="G48" s="22"/>
      <c r="H48" s="22"/>
      <c r="I48" s="23"/>
      <c r="J48" s="20" t="str">
        <f>IF(OR($A48="",$I48=""),"",IF(NETWORKDAYS($B48,$I48,Holidays)-1&lt;=AckDays,"Y","N"))</f>
        <v/>
      </c>
      <c r="K48" s="22"/>
      <c r="L48" s="23"/>
      <c r="M48" s="23"/>
      <c r="N48" s="20" t="str">
        <f>IF(OR($A48="",$K48&lt;&gt;"Y"),"",IF($L48="","Pending",IF($L48-$B48&lt;=IDPromptDays,"Y","Check")))</f>
        <v/>
      </c>
      <c r="O48" s="20" t="str">
        <f>IF($A48="","",IF(OR($K48&lt;&gt;"Y",$L48=""),0,IF($M48="",MAX(0,ReportDate-$L48),$M48-$L48)))</f>
        <v/>
      </c>
      <c r="P48" s="21" t="str">
        <f>IF($A48="","",IF($F48&lt;&gt;"Y","n/a",WORKDAY(EDATE($B48,1)+$O48-1,1,Holidays)))</f>
        <v/>
      </c>
      <c r="Q48" s="21" t="str">
        <f>IF($A48="","",$B48+$O48+InternalDays)</f>
        <v/>
      </c>
      <c r="R48" s="22"/>
      <c r="S48" s="23"/>
      <c r="T48" s="20" t="str">
        <f t="shared" si="2"/>
        <v/>
      </c>
      <c r="U48" s="21" t="str">
        <f>IF($A48="","",IF($F48&lt;&gt;"Y",$Q48,IF(AND($R48="Y",$T48="Y"),WORKDAY(EDATE($B48,3)+$O48-1,1,Holidays),$P48)))</f>
        <v/>
      </c>
      <c r="V48" s="22"/>
      <c r="W48" s="22"/>
      <c r="X48" s="22"/>
      <c r="Y48" s="23"/>
      <c r="Z48" s="20" t="str">
        <f>IF($A48="","",IF($Y48&lt;&gt;"",$Y48-$B48,ReportDate-$B48))</f>
        <v/>
      </c>
      <c r="AA48" s="20" t="str">
        <f>IF(OR($A48="",$W48="Closed"),"",$U48-ReportDate)</f>
        <v/>
      </c>
      <c r="AB48" s="20" t="str">
        <f>IF($A48="","",IF($W48="Closed",IF($Y48&lt;=$U48,"Closed on time","Closed late"),IF($W48="Awaiting ID","Paused",IF($AA48&lt;0,"Overdue",IF($AA48&lt;=RedDays,"Red",IF($AA48&lt;=AmberDays,"Amber","Green"))))))</f>
        <v/>
      </c>
      <c r="AC48" s="20" t="str">
        <f t="shared" si="3"/>
        <v/>
      </c>
      <c r="AD48" s="22"/>
      <c r="AE48" s="22"/>
      <c r="AF48" s="20" t="str">
        <f>IF($A48="","",IF(IF(OR($B48="",$C48="",$D48="",$V48="",$W48=""),"missing required field; ","")&amp;IF(COUNTIF($A$2:$A$201,$A48)&gt;1,"duplicate ID; ","")&amp;IF(AND($B48&lt;&gt;"",$B48&gt;ReportDate),"received after snapshot date; ","")&amp;IF(AND($I48&lt;&gt;"",$B48&lt;&gt;"",$I48&lt;$B48),"acknowledged before receipt; ","")&amp;IF(AND($K48="Y",$L48="",$W48&lt;&gt;"Logged"),"ID requested date missing; ","")&amp;IF(AND($L48&lt;&gt;"",$M48&lt;&gt;"",$M48&lt;$L48),"ID dates out of order; ","")&amp;IF(AND($K48&lt;&gt;"Y",OR($L48&lt;&gt;"",$W48="Awaiting ID")),"ID fields used but ID_Check_Needed is not Y; ","")&amp;IF(AND($R48="Y",$S48=""),"extension notice date missing; ","")&amp;IF(AND($R48&lt;&gt;"Y",$S48&lt;&gt;""),"notice date but Extended is not Y; ","")&amp;IF(AND($W48="Closed",$Y48=""),"closed without response date; ","")&amp;IF(AND($Y48&lt;&gt;"",$W48&lt;&gt;"Closed"),"response date but status not Closed; ","")&amp;IF(AND($Y48&lt;&gt;"",$B48&lt;&gt;"",$Y48&lt;$B48),"response before receipt; ","")&amp;IF(AND($AD48="Y",$AE48=""),"exemption needs a reason in Notes; ","")="","OK","Check: "&amp;IF(OR($B48="",$C48="",$D48="",$V48="",$W48=""),"missing required field; ","")&amp;IF(COUNTIF($A$2:$A$201,$A48)&gt;1,"duplicate ID; ","")&amp;IF(AND($B48&lt;&gt;"",$B48&gt;ReportDate),"received after snapshot date; ","")&amp;IF(AND($I48&lt;&gt;"",$B48&lt;&gt;"",$I48&lt;$B48),"acknowledged before receipt; ","")&amp;IF(AND($K48="Y",$L48="",$W48&lt;&gt;"Logged"),"ID requested date missing; ","")&amp;IF(AND($L48&lt;&gt;"",$M48&lt;&gt;"",$M48&lt;$L48),"ID dates out of order; ","")&amp;IF(AND($K48&lt;&gt;"Y",OR($L48&lt;&gt;"",$W48="Awaiting ID")),"ID fields used but ID_Check_Needed is not Y; ","")&amp;IF(AND($R48="Y",$S48=""),"extension notice date missing; ","")&amp;IF(AND($R48&lt;&gt;"Y",$S48&lt;&gt;""),"notice date but Extended is not Y; ","")&amp;IF(AND($W48="Closed",$Y48=""),"closed without response date; ","")&amp;IF(AND($Y48&lt;&gt;"",$W48&lt;&gt;"Closed"),"response date but status not Closed; ","")&amp;IF(AND($Y48&lt;&gt;"",$B48&lt;&gt;"",$Y48&lt;$B48),"response before receipt; ","")&amp;IF(AND($AD48="Y",$AE48=""),"exemption needs a reason in Notes; ","")))</f>
        <v/>
      </c>
    </row>
    <row r="49" spans="1:32" x14ac:dyDescent="0.35">
      <c r="A49" s="22"/>
      <c r="B49" s="23"/>
      <c r="C49" s="22"/>
      <c r="D49" s="22"/>
      <c r="E49" s="20" t="str">
        <f>IF($A49="","",IFERROR(VLOOKUP($D49,ReqTypes,2,FALSE),"?"))</f>
        <v/>
      </c>
      <c r="F49" s="20" t="str">
        <f>IF($A49="","",IFERROR(VLOOKUP($D49,ReqTypes,3,FALSE),"?"))</f>
        <v/>
      </c>
      <c r="G49" s="22"/>
      <c r="H49" s="22"/>
      <c r="I49" s="23"/>
      <c r="J49" s="20" t="str">
        <f>IF(OR($A49="",$I49=""),"",IF(NETWORKDAYS($B49,$I49,Holidays)-1&lt;=AckDays,"Y","N"))</f>
        <v/>
      </c>
      <c r="K49" s="22"/>
      <c r="L49" s="23"/>
      <c r="M49" s="23"/>
      <c r="N49" s="20" t="str">
        <f>IF(OR($A49="",$K49&lt;&gt;"Y"),"",IF($L49="","Pending",IF($L49-$B49&lt;=IDPromptDays,"Y","Check")))</f>
        <v/>
      </c>
      <c r="O49" s="20" t="str">
        <f>IF($A49="","",IF(OR($K49&lt;&gt;"Y",$L49=""),0,IF($M49="",MAX(0,ReportDate-$L49),$M49-$L49)))</f>
        <v/>
      </c>
      <c r="P49" s="21" t="str">
        <f>IF($A49="","",IF($F49&lt;&gt;"Y","n/a",WORKDAY(EDATE($B49,1)+$O49-1,1,Holidays)))</f>
        <v/>
      </c>
      <c r="Q49" s="21" t="str">
        <f>IF($A49="","",$B49+$O49+InternalDays)</f>
        <v/>
      </c>
      <c r="R49" s="22"/>
      <c r="S49" s="23"/>
      <c r="T49" s="20" t="str">
        <f t="shared" si="2"/>
        <v/>
      </c>
      <c r="U49" s="21" t="str">
        <f>IF($A49="","",IF($F49&lt;&gt;"Y",$Q49,IF(AND($R49="Y",$T49="Y"),WORKDAY(EDATE($B49,3)+$O49-1,1,Holidays),$P49)))</f>
        <v/>
      </c>
      <c r="V49" s="22"/>
      <c r="W49" s="22"/>
      <c r="X49" s="22"/>
      <c r="Y49" s="23"/>
      <c r="Z49" s="20" t="str">
        <f>IF($A49="","",IF($Y49&lt;&gt;"",$Y49-$B49,ReportDate-$B49))</f>
        <v/>
      </c>
      <c r="AA49" s="20" t="str">
        <f>IF(OR($A49="",$W49="Closed"),"",$U49-ReportDate)</f>
        <v/>
      </c>
      <c r="AB49" s="20" t="str">
        <f>IF($A49="","",IF($W49="Closed",IF($Y49&lt;=$U49,"Closed on time","Closed late"),IF($W49="Awaiting ID","Paused",IF($AA49&lt;0,"Overdue",IF($AA49&lt;=RedDays,"Red",IF($AA49&lt;=AmberDays,"Amber","Green"))))))</f>
        <v/>
      </c>
      <c r="AC49" s="20" t="str">
        <f t="shared" si="3"/>
        <v/>
      </c>
      <c r="AD49" s="22"/>
      <c r="AE49" s="22"/>
      <c r="AF49" s="20" t="str">
        <f>IF($A49="","",IF(IF(OR($B49="",$C49="",$D49="",$V49="",$W49=""),"missing required field; ","")&amp;IF(COUNTIF($A$2:$A$201,$A49)&gt;1,"duplicate ID; ","")&amp;IF(AND($B49&lt;&gt;"",$B49&gt;ReportDate),"received after snapshot date; ","")&amp;IF(AND($I49&lt;&gt;"",$B49&lt;&gt;"",$I49&lt;$B49),"acknowledged before receipt; ","")&amp;IF(AND($K49="Y",$L49="",$W49&lt;&gt;"Logged"),"ID requested date missing; ","")&amp;IF(AND($L49&lt;&gt;"",$M49&lt;&gt;"",$M49&lt;$L49),"ID dates out of order; ","")&amp;IF(AND($K49&lt;&gt;"Y",OR($L49&lt;&gt;"",$W49="Awaiting ID")),"ID fields used but ID_Check_Needed is not Y; ","")&amp;IF(AND($R49="Y",$S49=""),"extension notice date missing; ","")&amp;IF(AND($R49&lt;&gt;"Y",$S49&lt;&gt;""),"notice date but Extended is not Y; ","")&amp;IF(AND($W49="Closed",$Y49=""),"closed without response date; ","")&amp;IF(AND($Y49&lt;&gt;"",$W49&lt;&gt;"Closed"),"response date but status not Closed; ","")&amp;IF(AND($Y49&lt;&gt;"",$B49&lt;&gt;"",$Y49&lt;$B49),"response before receipt; ","")&amp;IF(AND($AD49="Y",$AE49=""),"exemption needs a reason in Notes; ","")="","OK","Check: "&amp;IF(OR($B49="",$C49="",$D49="",$V49="",$W49=""),"missing required field; ","")&amp;IF(COUNTIF($A$2:$A$201,$A49)&gt;1,"duplicate ID; ","")&amp;IF(AND($B49&lt;&gt;"",$B49&gt;ReportDate),"received after snapshot date; ","")&amp;IF(AND($I49&lt;&gt;"",$B49&lt;&gt;"",$I49&lt;$B49),"acknowledged before receipt; ","")&amp;IF(AND($K49="Y",$L49="",$W49&lt;&gt;"Logged"),"ID requested date missing; ","")&amp;IF(AND($L49&lt;&gt;"",$M49&lt;&gt;"",$M49&lt;$L49),"ID dates out of order; ","")&amp;IF(AND($K49&lt;&gt;"Y",OR($L49&lt;&gt;"",$W49="Awaiting ID")),"ID fields used but ID_Check_Needed is not Y; ","")&amp;IF(AND($R49="Y",$S49=""),"extension notice date missing; ","")&amp;IF(AND($R49&lt;&gt;"Y",$S49&lt;&gt;""),"notice date but Extended is not Y; ","")&amp;IF(AND($W49="Closed",$Y49=""),"closed without response date; ","")&amp;IF(AND($Y49&lt;&gt;"",$W49&lt;&gt;"Closed"),"response date but status not Closed; ","")&amp;IF(AND($Y49&lt;&gt;"",$B49&lt;&gt;"",$Y49&lt;$B49),"response before receipt; ","")&amp;IF(AND($AD49="Y",$AE49=""),"exemption needs a reason in Notes; ","")))</f>
        <v/>
      </c>
    </row>
    <row r="50" spans="1:32" x14ac:dyDescent="0.35">
      <c r="A50" s="22"/>
      <c r="B50" s="23"/>
      <c r="C50" s="22"/>
      <c r="D50" s="22"/>
      <c r="E50" s="20" t="str">
        <f>IF($A50="","",IFERROR(VLOOKUP($D50,ReqTypes,2,FALSE),"?"))</f>
        <v/>
      </c>
      <c r="F50" s="20" t="str">
        <f>IF($A50="","",IFERROR(VLOOKUP($D50,ReqTypes,3,FALSE),"?"))</f>
        <v/>
      </c>
      <c r="G50" s="22"/>
      <c r="H50" s="22"/>
      <c r="I50" s="23"/>
      <c r="J50" s="20" t="str">
        <f>IF(OR($A50="",$I50=""),"",IF(NETWORKDAYS($B50,$I50,Holidays)-1&lt;=AckDays,"Y","N"))</f>
        <v/>
      </c>
      <c r="K50" s="22"/>
      <c r="L50" s="23"/>
      <c r="M50" s="23"/>
      <c r="N50" s="20" t="str">
        <f>IF(OR($A50="",$K50&lt;&gt;"Y"),"",IF($L50="","Pending",IF($L50-$B50&lt;=IDPromptDays,"Y","Check")))</f>
        <v/>
      </c>
      <c r="O50" s="20" t="str">
        <f>IF($A50="","",IF(OR($K50&lt;&gt;"Y",$L50=""),0,IF($M50="",MAX(0,ReportDate-$L50),$M50-$L50)))</f>
        <v/>
      </c>
      <c r="P50" s="21" t="str">
        <f>IF($A50="","",IF($F50&lt;&gt;"Y","n/a",WORKDAY(EDATE($B50,1)+$O50-1,1,Holidays)))</f>
        <v/>
      </c>
      <c r="Q50" s="21" t="str">
        <f>IF($A50="","",$B50+$O50+InternalDays)</f>
        <v/>
      </c>
      <c r="R50" s="22"/>
      <c r="S50" s="23"/>
      <c r="T50" s="20" t="str">
        <f t="shared" si="2"/>
        <v/>
      </c>
      <c r="U50" s="21" t="str">
        <f>IF($A50="","",IF($F50&lt;&gt;"Y",$Q50,IF(AND($R50="Y",$T50="Y"),WORKDAY(EDATE($B50,3)+$O50-1,1,Holidays),$P50)))</f>
        <v/>
      </c>
      <c r="V50" s="22"/>
      <c r="W50" s="22"/>
      <c r="X50" s="22"/>
      <c r="Y50" s="23"/>
      <c r="Z50" s="20" t="str">
        <f>IF($A50="","",IF($Y50&lt;&gt;"",$Y50-$B50,ReportDate-$B50))</f>
        <v/>
      </c>
      <c r="AA50" s="20" t="str">
        <f>IF(OR($A50="",$W50="Closed"),"",$U50-ReportDate)</f>
        <v/>
      </c>
      <c r="AB50" s="20" t="str">
        <f>IF($A50="","",IF($W50="Closed",IF($Y50&lt;=$U50,"Closed on time","Closed late"),IF($W50="Awaiting ID","Paused",IF($AA50&lt;0,"Overdue",IF($AA50&lt;=RedDays,"Red",IF($AA50&lt;=AmberDays,"Amber","Green"))))))</f>
        <v/>
      </c>
      <c r="AC50" s="20" t="str">
        <f t="shared" si="3"/>
        <v/>
      </c>
      <c r="AD50" s="22"/>
      <c r="AE50" s="22"/>
      <c r="AF50" s="20" t="str">
        <f>IF($A50="","",IF(IF(OR($B50="",$C50="",$D50="",$V50="",$W50=""),"missing required field; ","")&amp;IF(COUNTIF($A$2:$A$201,$A50)&gt;1,"duplicate ID; ","")&amp;IF(AND($B50&lt;&gt;"",$B50&gt;ReportDate),"received after snapshot date; ","")&amp;IF(AND($I50&lt;&gt;"",$B50&lt;&gt;"",$I50&lt;$B50),"acknowledged before receipt; ","")&amp;IF(AND($K50="Y",$L50="",$W50&lt;&gt;"Logged"),"ID requested date missing; ","")&amp;IF(AND($L50&lt;&gt;"",$M50&lt;&gt;"",$M50&lt;$L50),"ID dates out of order; ","")&amp;IF(AND($K50&lt;&gt;"Y",OR($L50&lt;&gt;"",$W50="Awaiting ID")),"ID fields used but ID_Check_Needed is not Y; ","")&amp;IF(AND($R50="Y",$S50=""),"extension notice date missing; ","")&amp;IF(AND($R50&lt;&gt;"Y",$S50&lt;&gt;""),"notice date but Extended is not Y; ","")&amp;IF(AND($W50="Closed",$Y50=""),"closed without response date; ","")&amp;IF(AND($Y50&lt;&gt;"",$W50&lt;&gt;"Closed"),"response date but status not Closed; ","")&amp;IF(AND($Y50&lt;&gt;"",$B50&lt;&gt;"",$Y50&lt;$B50),"response before receipt; ","")&amp;IF(AND($AD50="Y",$AE50=""),"exemption needs a reason in Notes; ","")="","OK","Check: "&amp;IF(OR($B50="",$C50="",$D50="",$V50="",$W50=""),"missing required field; ","")&amp;IF(COUNTIF($A$2:$A$201,$A50)&gt;1,"duplicate ID; ","")&amp;IF(AND($B50&lt;&gt;"",$B50&gt;ReportDate),"received after snapshot date; ","")&amp;IF(AND($I50&lt;&gt;"",$B50&lt;&gt;"",$I50&lt;$B50),"acknowledged before receipt; ","")&amp;IF(AND($K50="Y",$L50="",$W50&lt;&gt;"Logged"),"ID requested date missing; ","")&amp;IF(AND($L50&lt;&gt;"",$M50&lt;&gt;"",$M50&lt;$L50),"ID dates out of order; ","")&amp;IF(AND($K50&lt;&gt;"Y",OR($L50&lt;&gt;"",$W50="Awaiting ID")),"ID fields used but ID_Check_Needed is not Y; ","")&amp;IF(AND($R50="Y",$S50=""),"extension notice date missing; ","")&amp;IF(AND($R50&lt;&gt;"Y",$S50&lt;&gt;""),"notice date but Extended is not Y; ","")&amp;IF(AND($W50="Closed",$Y50=""),"closed without response date; ","")&amp;IF(AND($Y50&lt;&gt;"",$W50&lt;&gt;"Closed"),"response date but status not Closed; ","")&amp;IF(AND($Y50&lt;&gt;"",$B50&lt;&gt;"",$Y50&lt;$B50),"response before receipt; ","")&amp;IF(AND($AD50="Y",$AE50=""),"exemption needs a reason in Notes; ","")))</f>
        <v/>
      </c>
    </row>
    <row r="51" spans="1:32" x14ac:dyDescent="0.35">
      <c r="A51" s="22"/>
      <c r="B51" s="23"/>
      <c r="C51" s="22"/>
      <c r="D51" s="22"/>
      <c r="E51" s="20" t="str">
        <f>IF($A51="","",IFERROR(VLOOKUP($D51,ReqTypes,2,FALSE),"?"))</f>
        <v/>
      </c>
      <c r="F51" s="20" t="str">
        <f>IF($A51="","",IFERROR(VLOOKUP($D51,ReqTypes,3,FALSE),"?"))</f>
        <v/>
      </c>
      <c r="G51" s="22"/>
      <c r="H51" s="22"/>
      <c r="I51" s="23"/>
      <c r="J51" s="20" t="str">
        <f>IF(OR($A51="",$I51=""),"",IF(NETWORKDAYS($B51,$I51,Holidays)-1&lt;=AckDays,"Y","N"))</f>
        <v/>
      </c>
      <c r="K51" s="22"/>
      <c r="L51" s="23"/>
      <c r="M51" s="23"/>
      <c r="N51" s="20" t="str">
        <f>IF(OR($A51="",$K51&lt;&gt;"Y"),"",IF($L51="","Pending",IF($L51-$B51&lt;=IDPromptDays,"Y","Check")))</f>
        <v/>
      </c>
      <c r="O51" s="20" t="str">
        <f>IF($A51="","",IF(OR($K51&lt;&gt;"Y",$L51=""),0,IF($M51="",MAX(0,ReportDate-$L51),$M51-$L51)))</f>
        <v/>
      </c>
      <c r="P51" s="21" t="str">
        <f>IF($A51="","",IF($F51&lt;&gt;"Y","n/a",WORKDAY(EDATE($B51,1)+$O51-1,1,Holidays)))</f>
        <v/>
      </c>
      <c r="Q51" s="21" t="str">
        <f>IF($A51="","",$B51+$O51+InternalDays)</f>
        <v/>
      </c>
      <c r="R51" s="22"/>
      <c r="S51" s="23"/>
      <c r="T51" s="20" t="str">
        <f t="shared" si="2"/>
        <v/>
      </c>
      <c r="U51" s="21" t="str">
        <f>IF($A51="","",IF($F51&lt;&gt;"Y",$Q51,IF(AND($R51="Y",$T51="Y"),WORKDAY(EDATE($B51,3)+$O51-1,1,Holidays),$P51)))</f>
        <v/>
      </c>
      <c r="V51" s="22"/>
      <c r="W51" s="22"/>
      <c r="X51" s="22"/>
      <c r="Y51" s="23"/>
      <c r="Z51" s="20" t="str">
        <f>IF($A51="","",IF($Y51&lt;&gt;"",$Y51-$B51,ReportDate-$B51))</f>
        <v/>
      </c>
      <c r="AA51" s="20" t="str">
        <f>IF(OR($A51="",$W51="Closed"),"",$U51-ReportDate)</f>
        <v/>
      </c>
      <c r="AB51" s="20" t="str">
        <f>IF($A51="","",IF($W51="Closed",IF($Y51&lt;=$U51,"Closed on time","Closed late"),IF($W51="Awaiting ID","Paused",IF($AA51&lt;0,"Overdue",IF($AA51&lt;=RedDays,"Red",IF($AA51&lt;=AmberDays,"Amber","Green"))))))</f>
        <v/>
      </c>
      <c r="AC51" s="20" t="str">
        <f t="shared" si="3"/>
        <v/>
      </c>
      <c r="AD51" s="22"/>
      <c r="AE51" s="22"/>
      <c r="AF51" s="20" t="str">
        <f>IF($A51="","",IF(IF(OR($B51="",$C51="",$D51="",$V51="",$W51=""),"missing required field; ","")&amp;IF(COUNTIF($A$2:$A$201,$A51)&gt;1,"duplicate ID; ","")&amp;IF(AND($B51&lt;&gt;"",$B51&gt;ReportDate),"received after snapshot date; ","")&amp;IF(AND($I51&lt;&gt;"",$B51&lt;&gt;"",$I51&lt;$B51),"acknowledged before receipt; ","")&amp;IF(AND($K51="Y",$L51="",$W51&lt;&gt;"Logged"),"ID requested date missing; ","")&amp;IF(AND($L51&lt;&gt;"",$M51&lt;&gt;"",$M51&lt;$L51),"ID dates out of order; ","")&amp;IF(AND($K51&lt;&gt;"Y",OR($L51&lt;&gt;"",$W51="Awaiting ID")),"ID fields used but ID_Check_Needed is not Y; ","")&amp;IF(AND($R51="Y",$S51=""),"extension notice date missing; ","")&amp;IF(AND($R51&lt;&gt;"Y",$S51&lt;&gt;""),"notice date but Extended is not Y; ","")&amp;IF(AND($W51="Closed",$Y51=""),"closed without response date; ","")&amp;IF(AND($Y51&lt;&gt;"",$W51&lt;&gt;"Closed"),"response date but status not Closed; ","")&amp;IF(AND($Y51&lt;&gt;"",$B51&lt;&gt;"",$Y51&lt;$B51),"response before receipt; ","")&amp;IF(AND($AD51="Y",$AE51=""),"exemption needs a reason in Notes; ","")="","OK","Check: "&amp;IF(OR($B51="",$C51="",$D51="",$V51="",$W51=""),"missing required field; ","")&amp;IF(COUNTIF($A$2:$A$201,$A51)&gt;1,"duplicate ID; ","")&amp;IF(AND($B51&lt;&gt;"",$B51&gt;ReportDate),"received after snapshot date; ","")&amp;IF(AND($I51&lt;&gt;"",$B51&lt;&gt;"",$I51&lt;$B51),"acknowledged before receipt; ","")&amp;IF(AND($K51="Y",$L51="",$W51&lt;&gt;"Logged"),"ID requested date missing; ","")&amp;IF(AND($L51&lt;&gt;"",$M51&lt;&gt;"",$M51&lt;$L51),"ID dates out of order; ","")&amp;IF(AND($K51&lt;&gt;"Y",OR($L51&lt;&gt;"",$W51="Awaiting ID")),"ID fields used but ID_Check_Needed is not Y; ","")&amp;IF(AND($R51="Y",$S51=""),"extension notice date missing; ","")&amp;IF(AND($R51&lt;&gt;"Y",$S51&lt;&gt;""),"notice date but Extended is not Y; ","")&amp;IF(AND($W51="Closed",$Y51=""),"closed without response date; ","")&amp;IF(AND($Y51&lt;&gt;"",$W51&lt;&gt;"Closed"),"response date but status not Closed; ","")&amp;IF(AND($Y51&lt;&gt;"",$B51&lt;&gt;"",$Y51&lt;$B51),"response before receipt; ","")&amp;IF(AND($AD51="Y",$AE51=""),"exemption needs a reason in Notes; ","")))</f>
        <v/>
      </c>
    </row>
    <row r="52" spans="1:32" x14ac:dyDescent="0.35">
      <c r="A52" s="22"/>
      <c r="B52" s="23"/>
      <c r="C52" s="22"/>
      <c r="D52" s="22"/>
      <c r="E52" s="20" t="str">
        <f>IF($A52="","",IFERROR(VLOOKUP($D52,ReqTypes,2,FALSE),"?"))</f>
        <v/>
      </c>
      <c r="F52" s="20" t="str">
        <f>IF($A52="","",IFERROR(VLOOKUP($D52,ReqTypes,3,FALSE),"?"))</f>
        <v/>
      </c>
      <c r="G52" s="22"/>
      <c r="H52" s="22"/>
      <c r="I52" s="23"/>
      <c r="J52" s="20" t="str">
        <f>IF(OR($A52="",$I52=""),"",IF(NETWORKDAYS($B52,$I52,Holidays)-1&lt;=AckDays,"Y","N"))</f>
        <v/>
      </c>
      <c r="K52" s="22"/>
      <c r="L52" s="23"/>
      <c r="M52" s="23"/>
      <c r="N52" s="20" t="str">
        <f>IF(OR($A52="",$K52&lt;&gt;"Y"),"",IF($L52="","Pending",IF($L52-$B52&lt;=IDPromptDays,"Y","Check")))</f>
        <v/>
      </c>
      <c r="O52" s="20" t="str">
        <f>IF($A52="","",IF(OR($K52&lt;&gt;"Y",$L52=""),0,IF($M52="",MAX(0,ReportDate-$L52),$M52-$L52)))</f>
        <v/>
      </c>
      <c r="P52" s="21" t="str">
        <f>IF($A52="","",IF($F52&lt;&gt;"Y","n/a",WORKDAY(EDATE($B52,1)+$O52-1,1,Holidays)))</f>
        <v/>
      </c>
      <c r="Q52" s="21" t="str">
        <f>IF($A52="","",$B52+$O52+InternalDays)</f>
        <v/>
      </c>
      <c r="R52" s="22"/>
      <c r="S52" s="23"/>
      <c r="T52" s="20" t="str">
        <f t="shared" si="2"/>
        <v/>
      </c>
      <c r="U52" s="21" t="str">
        <f>IF($A52="","",IF($F52&lt;&gt;"Y",$Q52,IF(AND($R52="Y",$T52="Y"),WORKDAY(EDATE($B52,3)+$O52-1,1,Holidays),$P52)))</f>
        <v/>
      </c>
      <c r="V52" s="22"/>
      <c r="W52" s="22"/>
      <c r="X52" s="22"/>
      <c r="Y52" s="23"/>
      <c r="Z52" s="20" t="str">
        <f>IF($A52="","",IF($Y52&lt;&gt;"",$Y52-$B52,ReportDate-$B52))</f>
        <v/>
      </c>
      <c r="AA52" s="20" t="str">
        <f>IF(OR($A52="",$W52="Closed"),"",$U52-ReportDate)</f>
        <v/>
      </c>
      <c r="AB52" s="20" t="str">
        <f>IF($A52="","",IF($W52="Closed",IF($Y52&lt;=$U52,"Closed on time","Closed late"),IF($W52="Awaiting ID","Paused",IF($AA52&lt;0,"Overdue",IF($AA52&lt;=RedDays,"Red",IF($AA52&lt;=AmberDays,"Amber","Green"))))))</f>
        <v/>
      </c>
      <c r="AC52" s="20" t="str">
        <f t="shared" si="3"/>
        <v/>
      </c>
      <c r="AD52" s="22"/>
      <c r="AE52" s="22"/>
      <c r="AF52" s="20" t="str">
        <f>IF($A52="","",IF(IF(OR($B52="",$C52="",$D52="",$V52="",$W52=""),"missing required field; ","")&amp;IF(COUNTIF($A$2:$A$201,$A52)&gt;1,"duplicate ID; ","")&amp;IF(AND($B52&lt;&gt;"",$B52&gt;ReportDate),"received after snapshot date; ","")&amp;IF(AND($I52&lt;&gt;"",$B52&lt;&gt;"",$I52&lt;$B52),"acknowledged before receipt; ","")&amp;IF(AND($K52="Y",$L52="",$W52&lt;&gt;"Logged"),"ID requested date missing; ","")&amp;IF(AND($L52&lt;&gt;"",$M52&lt;&gt;"",$M52&lt;$L52),"ID dates out of order; ","")&amp;IF(AND($K52&lt;&gt;"Y",OR($L52&lt;&gt;"",$W52="Awaiting ID")),"ID fields used but ID_Check_Needed is not Y; ","")&amp;IF(AND($R52="Y",$S52=""),"extension notice date missing; ","")&amp;IF(AND($R52&lt;&gt;"Y",$S52&lt;&gt;""),"notice date but Extended is not Y; ","")&amp;IF(AND($W52="Closed",$Y52=""),"closed without response date; ","")&amp;IF(AND($Y52&lt;&gt;"",$W52&lt;&gt;"Closed"),"response date but status not Closed; ","")&amp;IF(AND($Y52&lt;&gt;"",$B52&lt;&gt;"",$Y52&lt;$B52),"response before receipt; ","")&amp;IF(AND($AD52="Y",$AE52=""),"exemption needs a reason in Notes; ","")="","OK","Check: "&amp;IF(OR($B52="",$C52="",$D52="",$V52="",$W52=""),"missing required field; ","")&amp;IF(COUNTIF($A$2:$A$201,$A52)&gt;1,"duplicate ID; ","")&amp;IF(AND($B52&lt;&gt;"",$B52&gt;ReportDate),"received after snapshot date; ","")&amp;IF(AND($I52&lt;&gt;"",$B52&lt;&gt;"",$I52&lt;$B52),"acknowledged before receipt; ","")&amp;IF(AND($K52="Y",$L52="",$W52&lt;&gt;"Logged"),"ID requested date missing; ","")&amp;IF(AND($L52&lt;&gt;"",$M52&lt;&gt;"",$M52&lt;$L52),"ID dates out of order; ","")&amp;IF(AND($K52&lt;&gt;"Y",OR($L52&lt;&gt;"",$W52="Awaiting ID")),"ID fields used but ID_Check_Needed is not Y; ","")&amp;IF(AND($R52="Y",$S52=""),"extension notice date missing; ","")&amp;IF(AND($R52&lt;&gt;"Y",$S52&lt;&gt;""),"notice date but Extended is not Y; ","")&amp;IF(AND($W52="Closed",$Y52=""),"closed without response date; ","")&amp;IF(AND($Y52&lt;&gt;"",$W52&lt;&gt;"Closed"),"response date but status not Closed; ","")&amp;IF(AND($Y52&lt;&gt;"",$B52&lt;&gt;"",$Y52&lt;$B52),"response before receipt; ","")&amp;IF(AND($AD52="Y",$AE52=""),"exemption needs a reason in Notes; ","")))</f>
        <v/>
      </c>
    </row>
    <row r="53" spans="1:32" x14ac:dyDescent="0.35">
      <c r="A53" s="22"/>
      <c r="B53" s="23"/>
      <c r="C53" s="22"/>
      <c r="D53" s="22"/>
      <c r="E53" s="20" t="str">
        <f>IF($A53="","",IFERROR(VLOOKUP($D53,ReqTypes,2,FALSE),"?"))</f>
        <v/>
      </c>
      <c r="F53" s="20" t="str">
        <f>IF($A53="","",IFERROR(VLOOKUP($D53,ReqTypes,3,FALSE),"?"))</f>
        <v/>
      </c>
      <c r="G53" s="22"/>
      <c r="H53" s="22"/>
      <c r="I53" s="23"/>
      <c r="J53" s="20" t="str">
        <f>IF(OR($A53="",$I53=""),"",IF(NETWORKDAYS($B53,$I53,Holidays)-1&lt;=AckDays,"Y","N"))</f>
        <v/>
      </c>
      <c r="K53" s="22"/>
      <c r="L53" s="23"/>
      <c r="M53" s="23"/>
      <c r="N53" s="20" t="str">
        <f>IF(OR($A53="",$K53&lt;&gt;"Y"),"",IF($L53="","Pending",IF($L53-$B53&lt;=IDPromptDays,"Y","Check")))</f>
        <v/>
      </c>
      <c r="O53" s="20" t="str">
        <f>IF($A53="","",IF(OR($K53&lt;&gt;"Y",$L53=""),0,IF($M53="",MAX(0,ReportDate-$L53),$M53-$L53)))</f>
        <v/>
      </c>
      <c r="P53" s="21" t="str">
        <f>IF($A53="","",IF($F53&lt;&gt;"Y","n/a",WORKDAY(EDATE($B53,1)+$O53-1,1,Holidays)))</f>
        <v/>
      </c>
      <c r="Q53" s="21" t="str">
        <f>IF($A53="","",$B53+$O53+InternalDays)</f>
        <v/>
      </c>
      <c r="R53" s="22"/>
      <c r="S53" s="23"/>
      <c r="T53" s="20" t="str">
        <f t="shared" si="2"/>
        <v/>
      </c>
      <c r="U53" s="21" t="str">
        <f>IF($A53="","",IF($F53&lt;&gt;"Y",$Q53,IF(AND($R53="Y",$T53="Y"),WORKDAY(EDATE($B53,3)+$O53-1,1,Holidays),$P53)))</f>
        <v/>
      </c>
      <c r="V53" s="22"/>
      <c r="W53" s="22"/>
      <c r="X53" s="22"/>
      <c r="Y53" s="23"/>
      <c r="Z53" s="20" t="str">
        <f>IF($A53="","",IF($Y53&lt;&gt;"",$Y53-$B53,ReportDate-$B53))</f>
        <v/>
      </c>
      <c r="AA53" s="20" t="str">
        <f>IF(OR($A53="",$W53="Closed"),"",$U53-ReportDate)</f>
        <v/>
      </c>
      <c r="AB53" s="20" t="str">
        <f>IF($A53="","",IF($W53="Closed",IF($Y53&lt;=$U53,"Closed on time","Closed late"),IF($W53="Awaiting ID","Paused",IF($AA53&lt;0,"Overdue",IF($AA53&lt;=RedDays,"Red",IF($AA53&lt;=AmberDays,"Amber","Green"))))))</f>
        <v/>
      </c>
      <c r="AC53" s="20" t="str">
        <f t="shared" si="3"/>
        <v/>
      </c>
      <c r="AD53" s="22"/>
      <c r="AE53" s="22"/>
      <c r="AF53" s="20" t="str">
        <f>IF($A53="","",IF(IF(OR($B53="",$C53="",$D53="",$V53="",$W53=""),"missing required field; ","")&amp;IF(COUNTIF($A$2:$A$201,$A53)&gt;1,"duplicate ID; ","")&amp;IF(AND($B53&lt;&gt;"",$B53&gt;ReportDate),"received after snapshot date; ","")&amp;IF(AND($I53&lt;&gt;"",$B53&lt;&gt;"",$I53&lt;$B53),"acknowledged before receipt; ","")&amp;IF(AND($K53="Y",$L53="",$W53&lt;&gt;"Logged"),"ID requested date missing; ","")&amp;IF(AND($L53&lt;&gt;"",$M53&lt;&gt;"",$M53&lt;$L53),"ID dates out of order; ","")&amp;IF(AND($K53&lt;&gt;"Y",OR($L53&lt;&gt;"",$W53="Awaiting ID")),"ID fields used but ID_Check_Needed is not Y; ","")&amp;IF(AND($R53="Y",$S53=""),"extension notice date missing; ","")&amp;IF(AND($R53&lt;&gt;"Y",$S53&lt;&gt;""),"notice date but Extended is not Y; ","")&amp;IF(AND($W53="Closed",$Y53=""),"closed without response date; ","")&amp;IF(AND($Y53&lt;&gt;"",$W53&lt;&gt;"Closed"),"response date but status not Closed; ","")&amp;IF(AND($Y53&lt;&gt;"",$B53&lt;&gt;"",$Y53&lt;$B53),"response before receipt; ","")&amp;IF(AND($AD53="Y",$AE53=""),"exemption needs a reason in Notes; ","")="","OK","Check: "&amp;IF(OR($B53="",$C53="",$D53="",$V53="",$W53=""),"missing required field; ","")&amp;IF(COUNTIF($A$2:$A$201,$A53)&gt;1,"duplicate ID; ","")&amp;IF(AND($B53&lt;&gt;"",$B53&gt;ReportDate),"received after snapshot date; ","")&amp;IF(AND($I53&lt;&gt;"",$B53&lt;&gt;"",$I53&lt;$B53),"acknowledged before receipt; ","")&amp;IF(AND($K53="Y",$L53="",$W53&lt;&gt;"Logged"),"ID requested date missing; ","")&amp;IF(AND($L53&lt;&gt;"",$M53&lt;&gt;"",$M53&lt;$L53),"ID dates out of order; ","")&amp;IF(AND($K53&lt;&gt;"Y",OR($L53&lt;&gt;"",$W53="Awaiting ID")),"ID fields used but ID_Check_Needed is not Y; ","")&amp;IF(AND($R53="Y",$S53=""),"extension notice date missing; ","")&amp;IF(AND($R53&lt;&gt;"Y",$S53&lt;&gt;""),"notice date but Extended is not Y; ","")&amp;IF(AND($W53="Closed",$Y53=""),"closed without response date; ","")&amp;IF(AND($Y53&lt;&gt;"",$W53&lt;&gt;"Closed"),"response date but status not Closed; ","")&amp;IF(AND($Y53&lt;&gt;"",$B53&lt;&gt;"",$Y53&lt;$B53),"response before receipt; ","")&amp;IF(AND($AD53="Y",$AE53=""),"exemption needs a reason in Notes; ","")))</f>
        <v/>
      </c>
    </row>
    <row r="54" spans="1:32" x14ac:dyDescent="0.35">
      <c r="A54" s="22"/>
      <c r="B54" s="23"/>
      <c r="C54" s="22"/>
      <c r="D54" s="22"/>
      <c r="E54" s="20" t="str">
        <f>IF($A54="","",IFERROR(VLOOKUP($D54,ReqTypes,2,FALSE),"?"))</f>
        <v/>
      </c>
      <c r="F54" s="20" t="str">
        <f>IF($A54="","",IFERROR(VLOOKUP($D54,ReqTypes,3,FALSE),"?"))</f>
        <v/>
      </c>
      <c r="G54" s="22"/>
      <c r="H54" s="22"/>
      <c r="I54" s="23"/>
      <c r="J54" s="20" t="str">
        <f>IF(OR($A54="",$I54=""),"",IF(NETWORKDAYS($B54,$I54,Holidays)-1&lt;=AckDays,"Y","N"))</f>
        <v/>
      </c>
      <c r="K54" s="22"/>
      <c r="L54" s="23"/>
      <c r="M54" s="23"/>
      <c r="N54" s="20" t="str">
        <f>IF(OR($A54="",$K54&lt;&gt;"Y"),"",IF($L54="","Pending",IF($L54-$B54&lt;=IDPromptDays,"Y","Check")))</f>
        <v/>
      </c>
      <c r="O54" s="20" t="str">
        <f>IF($A54="","",IF(OR($K54&lt;&gt;"Y",$L54=""),0,IF($M54="",MAX(0,ReportDate-$L54),$M54-$L54)))</f>
        <v/>
      </c>
      <c r="P54" s="21" t="str">
        <f>IF($A54="","",IF($F54&lt;&gt;"Y","n/a",WORKDAY(EDATE($B54,1)+$O54-1,1,Holidays)))</f>
        <v/>
      </c>
      <c r="Q54" s="21" t="str">
        <f>IF($A54="","",$B54+$O54+InternalDays)</f>
        <v/>
      </c>
      <c r="R54" s="22"/>
      <c r="S54" s="23"/>
      <c r="T54" s="20" t="str">
        <f t="shared" si="2"/>
        <v/>
      </c>
      <c r="U54" s="21" t="str">
        <f>IF($A54="","",IF($F54&lt;&gt;"Y",$Q54,IF(AND($R54="Y",$T54="Y"),WORKDAY(EDATE($B54,3)+$O54-1,1,Holidays),$P54)))</f>
        <v/>
      </c>
      <c r="V54" s="22"/>
      <c r="W54" s="22"/>
      <c r="X54" s="22"/>
      <c r="Y54" s="23"/>
      <c r="Z54" s="20" t="str">
        <f>IF($A54="","",IF($Y54&lt;&gt;"",$Y54-$B54,ReportDate-$B54))</f>
        <v/>
      </c>
      <c r="AA54" s="20" t="str">
        <f>IF(OR($A54="",$W54="Closed"),"",$U54-ReportDate)</f>
        <v/>
      </c>
      <c r="AB54" s="20" t="str">
        <f>IF($A54="","",IF($W54="Closed",IF($Y54&lt;=$U54,"Closed on time","Closed late"),IF($W54="Awaiting ID","Paused",IF($AA54&lt;0,"Overdue",IF($AA54&lt;=RedDays,"Red",IF($AA54&lt;=AmberDays,"Amber","Green"))))))</f>
        <v/>
      </c>
      <c r="AC54" s="20" t="str">
        <f t="shared" si="3"/>
        <v/>
      </c>
      <c r="AD54" s="22"/>
      <c r="AE54" s="22"/>
      <c r="AF54" s="20" t="str">
        <f>IF($A54="","",IF(IF(OR($B54="",$C54="",$D54="",$V54="",$W54=""),"missing required field; ","")&amp;IF(COUNTIF($A$2:$A$201,$A54)&gt;1,"duplicate ID; ","")&amp;IF(AND($B54&lt;&gt;"",$B54&gt;ReportDate),"received after snapshot date; ","")&amp;IF(AND($I54&lt;&gt;"",$B54&lt;&gt;"",$I54&lt;$B54),"acknowledged before receipt; ","")&amp;IF(AND($K54="Y",$L54="",$W54&lt;&gt;"Logged"),"ID requested date missing; ","")&amp;IF(AND($L54&lt;&gt;"",$M54&lt;&gt;"",$M54&lt;$L54),"ID dates out of order; ","")&amp;IF(AND($K54&lt;&gt;"Y",OR($L54&lt;&gt;"",$W54="Awaiting ID")),"ID fields used but ID_Check_Needed is not Y; ","")&amp;IF(AND($R54="Y",$S54=""),"extension notice date missing; ","")&amp;IF(AND($R54&lt;&gt;"Y",$S54&lt;&gt;""),"notice date but Extended is not Y; ","")&amp;IF(AND($W54="Closed",$Y54=""),"closed without response date; ","")&amp;IF(AND($Y54&lt;&gt;"",$W54&lt;&gt;"Closed"),"response date but status not Closed; ","")&amp;IF(AND($Y54&lt;&gt;"",$B54&lt;&gt;"",$Y54&lt;$B54),"response before receipt; ","")&amp;IF(AND($AD54="Y",$AE54=""),"exemption needs a reason in Notes; ","")="","OK","Check: "&amp;IF(OR($B54="",$C54="",$D54="",$V54="",$W54=""),"missing required field; ","")&amp;IF(COUNTIF($A$2:$A$201,$A54)&gt;1,"duplicate ID; ","")&amp;IF(AND($B54&lt;&gt;"",$B54&gt;ReportDate),"received after snapshot date; ","")&amp;IF(AND($I54&lt;&gt;"",$B54&lt;&gt;"",$I54&lt;$B54),"acknowledged before receipt; ","")&amp;IF(AND($K54="Y",$L54="",$W54&lt;&gt;"Logged"),"ID requested date missing; ","")&amp;IF(AND($L54&lt;&gt;"",$M54&lt;&gt;"",$M54&lt;$L54),"ID dates out of order; ","")&amp;IF(AND($K54&lt;&gt;"Y",OR($L54&lt;&gt;"",$W54="Awaiting ID")),"ID fields used but ID_Check_Needed is not Y; ","")&amp;IF(AND($R54="Y",$S54=""),"extension notice date missing; ","")&amp;IF(AND($R54&lt;&gt;"Y",$S54&lt;&gt;""),"notice date but Extended is not Y; ","")&amp;IF(AND($W54="Closed",$Y54=""),"closed without response date; ","")&amp;IF(AND($Y54&lt;&gt;"",$W54&lt;&gt;"Closed"),"response date but status not Closed; ","")&amp;IF(AND($Y54&lt;&gt;"",$B54&lt;&gt;"",$Y54&lt;$B54),"response before receipt; ","")&amp;IF(AND($AD54="Y",$AE54=""),"exemption needs a reason in Notes; ","")))</f>
        <v/>
      </c>
    </row>
    <row r="55" spans="1:32" x14ac:dyDescent="0.35">
      <c r="A55" s="22"/>
      <c r="B55" s="23"/>
      <c r="C55" s="22"/>
      <c r="D55" s="22"/>
      <c r="E55" s="20" t="str">
        <f>IF($A55="","",IFERROR(VLOOKUP($D55,ReqTypes,2,FALSE),"?"))</f>
        <v/>
      </c>
      <c r="F55" s="20" t="str">
        <f>IF($A55="","",IFERROR(VLOOKUP($D55,ReqTypes,3,FALSE),"?"))</f>
        <v/>
      </c>
      <c r="G55" s="22"/>
      <c r="H55" s="22"/>
      <c r="I55" s="23"/>
      <c r="J55" s="20" t="str">
        <f>IF(OR($A55="",$I55=""),"",IF(NETWORKDAYS($B55,$I55,Holidays)-1&lt;=AckDays,"Y","N"))</f>
        <v/>
      </c>
      <c r="K55" s="22"/>
      <c r="L55" s="23"/>
      <c r="M55" s="23"/>
      <c r="N55" s="20" t="str">
        <f>IF(OR($A55="",$K55&lt;&gt;"Y"),"",IF($L55="","Pending",IF($L55-$B55&lt;=IDPromptDays,"Y","Check")))</f>
        <v/>
      </c>
      <c r="O55" s="20" t="str">
        <f>IF($A55="","",IF(OR($K55&lt;&gt;"Y",$L55=""),0,IF($M55="",MAX(0,ReportDate-$L55),$M55-$L55)))</f>
        <v/>
      </c>
      <c r="P55" s="21" t="str">
        <f>IF($A55="","",IF($F55&lt;&gt;"Y","n/a",WORKDAY(EDATE($B55,1)+$O55-1,1,Holidays)))</f>
        <v/>
      </c>
      <c r="Q55" s="21" t="str">
        <f>IF($A55="","",$B55+$O55+InternalDays)</f>
        <v/>
      </c>
      <c r="R55" s="22"/>
      <c r="S55" s="23"/>
      <c r="T55" s="20" t="str">
        <f t="shared" si="2"/>
        <v/>
      </c>
      <c r="U55" s="21" t="str">
        <f>IF($A55="","",IF($F55&lt;&gt;"Y",$Q55,IF(AND($R55="Y",$T55="Y"),WORKDAY(EDATE($B55,3)+$O55-1,1,Holidays),$P55)))</f>
        <v/>
      </c>
      <c r="V55" s="22"/>
      <c r="W55" s="22"/>
      <c r="X55" s="22"/>
      <c r="Y55" s="23"/>
      <c r="Z55" s="20" t="str">
        <f>IF($A55="","",IF($Y55&lt;&gt;"",$Y55-$B55,ReportDate-$B55))</f>
        <v/>
      </c>
      <c r="AA55" s="20" t="str">
        <f>IF(OR($A55="",$W55="Closed"),"",$U55-ReportDate)</f>
        <v/>
      </c>
      <c r="AB55" s="20" t="str">
        <f>IF($A55="","",IF($W55="Closed",IF($Y55&lt;=$U55,"Closed on time","Closed late"),IF($W55="Awaiting ID","Paused",IF($AA55&lt;0,"Overdue",IF($AA55&lt;=RedDays,"Red",IF($AA55&lt;=AmberDays,"Amber","Green"))))))</f>
        <v/>
      </c>
      <c r="AC55" s="20" t="str">
        <f t="shared" si="3"/>
        <v/>
      </c>
      <c r="AD55" s="22"/>
      <c r="AE55" s="22"/>
      <c r="AF55" s="20" t="str">
        <f>IF($A55="","",IF(IF(OR($B55="",$C55="",$D55="",$V55="",$W55=""),"missing required field; ","")&amp;IF(COUNTIF($A$2:$A$201,$A55)&gt;1,"duplicate ID; ","")&amp;IF(AND($B55&lt;&gt;"",$B55&gt;ReportDate),"received after snapshot date; ","")&amp;IF(AND($I55&lt;&gt;"",$B55&lt;&gt;"",$I55&lt;$B55),"acknowledged before receipt; ","")&amp;IF(AND($K55="Y",$L55="",$W55&lt;&gt;"Logged"),"ID requested date missing; ","")&amp;IF(AND($L55&lt;&gt;"",$M55&lt;&gt;"",$M55&lt;$L55),"ID dates out of order; ","")&amp;IF(AND($K55&lt;&gt;"Y",OR($L55&lt;&gt;"",$W55="Awaiting ID")),"ID fields used but ID_Check_Needed is not Y; ","")&amp;IF(AND($R55="Y",$S55=""),"extension notice date missing; ","")&amp;IF(AND($R55&lt;&gt;"Y",$S55&lt;&gt;""),"notice date but Extended is not Y; ","")&amp;IF(AND($W55="Closed",$Y55=""),"closed without response date; ","")&amp;IF(AND($Y55&lt;&gt;"",$W55&lt;&gt;"Closed"),"response date but status not Closed; ","")&amp;IF(AND($Y55&lt;&gt;"",$B55&lt;&gt;"",$Y55&lt;$B55),"response before receipt; ","")&amp;IF(AND($AD55="Y",$AE55=""),"exemption needs a reason in Notes; ","")="","OK","Check: "&amp;IF(OR($B55="",$C55="",$D55="",$V55="",$W55=""),"missing required field; ","")&amp;IF(COUNTIF($A$2:$A$201,$A55)&gt;1,"duplicate ID; ","")&amp;IF(AND($B55&lt;&gt;"",$B55&gt;ReportDate),"received after snapshot date; ","")&amp;IF(AND($I55&lt;&gt;"",$B55&lt;&gt;"",$I55&lt;$B55),"acknowledged before receipt; ","")&amp;IF(AND($K55="Y",$L55="",$W55&lt;&gt;"Logged"),"ID requested date missing; ","")&amp;IF(AND($L55&lt;&gt;"",$M55&lt;&gt;"",$M55&lt;$L55),"ID dates out of order; ","")&amp;IF(AND($K55&lt;&gt;"Y",OR($L55&lt;&gt;"",$W55="Awaiting ID")),"ID fields used but ID_Check_Needed is not Y; ","")&amp;IF(AND($R55="Y",$S55=""),"extension notice date missing; ","")&amp;IF(AND($R55&lt;&gt;"Y",$S55&lt;&gt;""),"notice date but Extended is not Y; ","")&amp;IF(AND($W55="Closed",$Y55=""),"closed without response date; ","")&amp;IF(AND($Y55&lt;&gt;"",$W55&lt;&gt;"Closed"),"response date but status not Closed; ","")&amp;IF(AND($Y55&lt;&gt;"",$B55&lt;&gt;"",$Y55&lt;$B55),"response before receipt; ","")&amp;IF(AND($AD55="Y",$AE55=""),"exemption needs a reason in Notes; ","")))</f>
        <v/>
      </c>
    </row>
    <row r="56" spans="1:32" x14ac:dyDescent="0.35">
      <c r="A56" s="22"/>
      <c r="B56" s="23"/>
      <c r="C56" s="22"/>
      <c r="D56" s="22"/>
      <c r="E56" s="20" t="str">
        <f>IF($A56="","",IFERROR(VLOOKUP($D56,ReqTypes,2,FALSE),"?"))</f>
        <v/>
      </c>
      <c r="F56" s="20" t="str">
        <f>IF($A56="","",IFERROR(VLOOKUP($D56,ReqTypes,3,FALSE),"?"))</f>
        <v/>
      </c>
      <c r="G56" s="22"/>
      <c r="H56" s="22"/>
      <c r="I56" s="23"/>
      <c r="J56" s="20" t="str">
        <f>IF(OR($A56="",$I56=""),"",IF(NETWORKDAYS($B56,$I56,Holidays)-1&lt;=AckDays,"Y","N"))</f>
        <v/>
      </c>
      <c r="K56" s="22"/>
      <c r="L56" s="23"/>
      <c r="M56" s="23"/>
      <c r="N56" s="20" t="str">
        <f>IF(OR($A56="",$K56&lt;&gt;"Y"),"",IF($L56="","Pending",IF($L56-$B56&lt;=IDPromptDays,"Y","Check")))</f>
        <v/>
      </c>
      <c r="O56" s="20" t="str">
        <f>IF($A56="","",IF(OR($K56&lt;&gt;"Y",$L56=""),0,IF($M56="",MAX(0,ReportDate-$L56),$M56-$L56)))</f>
        <v/>
      </c>
      <c r="P56" s="21" t="str">
        <f>IF($A56="","",IF($F56&lt;&gt;"Y","n/a",WORKDAY(EDATE($B56,1)+$O56-1,1,Holidays)))</f>
        <v/>
      </c>
      <c r="Q56" s="21" t="str">
        <f>IF($A56="","",$B56+$O56+InternalDays)</f>
        <v/>
      </c>
      <c r="R56" s="22"/>
      <c r="S56" s="23"/>
      <c r="T56" s="20" t="str">
        <f t="shared" si="2"/>
        <v/>
      </c>
      <c r="U56" s="21" t="str">
        <f>IF($A56="","",IF($F56&lt;&gt;"Y",$Q56,IF(AND($R56="Y",$T56="Y"),WORKDAY(EDATE($B56,3)+$O56-1,1,Holidays),$P56)))</f>
        <v/>
      </c>
      <c r="V56" s="22"/>
      <c r="W56" s="22"/>
      <c r="X56" s="22"/>
      <c r="Y56" s="23"/>
      <c r="Z56" s="20" t="str">
        <f>IF($A56="","",IF($Y56&lt;&gt;"",$Y56-$B56,ReportDate-$B56))</f>
        <v/>
      </c>
      <c r="AA56" s="20" t="str">
        <f>IF(OR($A56="",$W56="Closed"),"",$U56-ReportDate)</f>
        <v/>
      </c>
      <c r="AB56" s="20" t="str">
        <f>IF($A56="","",IF($W56="Closed",IF($Y56&lt;=$U56,"Closed on time","Closed late"),IF($W56="Awaiting ID","Paused",IF($AA56&lt;0,"Overdue",IF($AA56&lt;=RedDays,"Red",IF($AA56&lt;=AmberDays,"Amber","Green"))))))</f>
        <v/>
      </c>
      <c r="AC56" s="20" t="str">
        <f t="shared" si="3"/>
        <v/>
      </c>
      <c r="AD56" s="22"/>
      <c r="AE56" s="22"/>
      <c r="AF56" s="20" t="str">
        <f>IF($A56="","",IF(IF(OR($B56="",$C56="",$D56="",$V56="",$W56=""),"missing required field; ","")&amp;IF(COUNTIF($A$2:$A$201,$A56)&gt;1,"duplicate ID; ","")&amp;IF(AND($B56&lt;&gt;"",$B56&gt;ReportDate),"received after snapshot date; ","")&amp;IF(AND($I56&lt;&gt;"",$B56&lt;&gt;"",$I56&lt;$B56),"acknowledged before receipt; ","")&amp;IF(AND($K56="Y",$L56="",$W56&lt;&gt;"Logged"),"ID requested date missing; ","")&amp;IF(AND($L56&lt;&gt;"",$M56&lt;&gt;"",$M56&lt;$L56),"ID dates out of order; ","")&amp;IF(AND($K56&lt;&gt;"Y",OR($L56&lt;&gt;"",$W56="Awaiting ID")),"ID fields used but ID_Check_Needed is not Y; ","")&amp;IF(AND($R56="Y",$S56=""),"extension notice date missing; ","")&amp;IF(AND($R56&lt;&gt;"Y",$S56&lt;&gt;""),"notice date but Extended is not Y; ","")&amp;IF(AND($W56="Closed",$Y56=""),"closed without response date; ","")&amp;IF(AND($Y56&lt;&gt;"",$W56&lt;&gt;"Closed"),"response date but status not Closed; ","")&amp;IF(AND($Y56&lt;&gt;"",$B56&lt;&gt;"",$Y56&lt;$B56),"response before receipt; ","")&amp;IF(AND($AD56="Y",$AE56=""),"exemption needs a reason in Notes; ","")="","OK","Check: "&amp;IF(OR($B56="",$C56="",$D56="",$V56="",$W56=""),"missing required field; ","")&amp;IF(COUNTIF($A$2:$A$201,$A56)&gt;1,"duplicate ID; ","")&amp;IF(AND($B56&lt;&gt;"",$B56&gt;ReportDate),"received after snapshot date; ","")&amp;IF(AND($I56&lt;&gt;"",$B56&lt;&gt;"",$I56&lt;$B56),"acknowledged before receipt; ","")&amp;IF(AND($K56="Y",$L56="",$W56&lt;&gt;"Logged"),"ID requested date missing; ","")&amp;IF(AND($L56&lt;&gt;"",$M56&lt;&gt;"",$M56&lt;$L56),"ID dates out of order; ","")&amp;IF(AND($K56&lt;&gt;"Y",OR($L56&lt;&gt;"",$W56="Awaiting ID")),"ID fields used but ID_Check_Needed is not Y; ","")&amp;IF(AND($R56="Y",$S56=""),"extension notice date missing; ","")&amp;IF(AND($R56&lt;&gt;"Y",$S56&lt;&gt;""),"notice date but Extended is not Y; ","")&amp;IF(AND($W56="Closed",$Y56=""),"closed without response date; ","")&amp;IF(AND($Y56&lt;&gt;"",$W56&lt;&gt;"Closed"),"response date but status not Closed; ","")&amp;IF(AND($Y56&lt;&gt;"",$B56&lt;&gt;"",$Y56&lt;$B56),"response before receipt; ","")&amp;IF(AND($AD56="Y",$AE56=""),"exemption needs a reason in Notes; ","")))</f>
        <v/>
      </c>
    </row>
    <row r="57" spans="1:32" x14ac:dyDescent="0.35">
      <c r="A57" s="22"/>
      <c r="B57" s="23"/>
      <c r="C57" s="22"/>
      <c r="D57" s="22"/>
      <c r="E57" s="20" t="str">
        <f>IF($A57="","",IFERROR(VLOOKUP($D57,ReqTypes,2,FALSE),"?"))</f>
        <v/>
      </c>
      <c r="F57" s="20" t="str">
        <f>IF($A57="","",IFERROR(VLOOKUP($D57,ReqTypes,3,FALSE),"?"))</f>
        <v/>
      </c>
      <c r="G57" s="22"/>
      <c r="H57" s="22"/>
      <c r="I57" s="23"/>
      <c r="J57" s="20" t="str">
        <f>IF(OR($A57="",$I57=""),"",IF(NETWORKDAYS($B57,$I57,Holidays)-1&lt;=AckDays,"Y","N"))</f>
        <v/>
      </c>
      <c r="K57" s="22"/>
      <c r="L57" s="23"/>
      <c r="M57" s="23"/>
      <c r="N57" s="20" t="str">
        <f>IF(OR($A57="",$K57&lt;&gt;"Y"),"",IF($L57="","Pending",IF($L57-$B57&lt;=IDPromptDays,"Y","Check")))</f>
        <v/>
      </c>
      <c r="O57" s="20" t="str">
        <f>IF($A57="","",IF(OR($K57&lt;&gt;"Y",$L57=""),0,IF($M57="",MAX(0,ReportDate-$L57),$M57-$L57)))</f>
        <v/>
      </c>
      <c r="P57" s="21" t="str">
        <f>IF($A57="","",IF($F57&lt;&gt;"Y","n/a",WORKDAY(EDATE($B57,1)+$O57-1,1,Holidays)))</f>
        <v/>
      </c>
      <c r="Q57" s="21" t="str">
        <f>IF($A57="","",$B57+$O57+InternalDays)</f>
        <v/>
      </c>
      <c r="R57" s="22"/>
      <c r="S57" s="23"/>
      <c r="T57" s="20" t="str">
        <f t="shared" si="2"/>
        <v/>
      </c>
      <c r="U57" s="21" t="str">
        <f>IF($A57="","",IF($F57&lt;&gt;"Y",$Q57,IF(AND($R57="Y",$T57="Y"),WORKDAY(EDATE($B57,3)+$O57-1,1,Holidays),$P57)))</f>
        <v/>
      </c>
      <c r="V57" s="22"/>
      <c r="W57" s="22"/>
      <c r="X57" s="22"/>
      <c r="Y57" s="23"/>
      <c r="Z57" s="20" t="str">
        <f>IF($A57="","",IF($Y57&lt;&gt;"",$Y57-$B57,ReportDate-$B57))</f>
        <v/>
      </c>
      <c r="AA57" s="20" t="str">
        <f>IF(OR($A57="",$W57="Closed"),"",$U57-ReportDate)</f>
        <v/>
      </c>
      <c r="AB57" s="20" t="str">
        <f>IF($A57="","",IF($W57="Closed",IF($Y57&lt;=$U57,"Closed on time","Closed late"),IF($W57="Awaiting ID","Paused",IF($AA57&lt;0,"Overdue",IF($AA57&lt;=RedDays,"Red",IF($AA57&lt;=AmberDays,"Amber","Green"))))))</f>
        <v/>
      </c>
      <c r="AC57" s="20" t="str">
        <f t="shared" si="3"/>
        <v/>
      </c>
      <c r="AD57" s="22"/>
      <c r="AE57" s="22"/>
      <c r="AF57" s="20" t="str">
        <f>IF($A57="","",IF(IF(OR($B57="",$C57="",$D57="",$V57="",$W57=""),"missing required field; ","")&amp;IF(COUNTIF($A$2:$A$201,$A57)&gt;1,"duplicate ID; ","")&amp;IF(AND($B57&lt;&gt;"",$B57&gt;ReportDate),"received after snapshot date; ","")&amp;IF(AND($I57&lt;&gt;"",$B57&lt;&gt;"",$I57&lt;$B57),"acknowledged before receipt; ","")&amp;IF(AND($K57="Y",$L57="",$W57&lt;&gt;"Logged"),"ID requested date missing; ","")&amp;IF(AND($L57&lt;&gt;"",$M57&lt;&gt;"",$M57&lt;$L57),"ID dates out of order; ","")&amp;IF(AND($K57&lt;&gt;"Y",OR($L57&lt;&gt;"",$W57="Awaiting ID")),"ID fields used but ID_Check_Needed is not Y; ","")&amp;IF(AND($R57="Y",$S57=""),"extension notice date missing; ","")&amp;IF(AND($R57&lt;&gt;"Y",$S57&lt;&gt;""),"notice date but Extended is not Y; ","")&amp;IF(AND($W57="Closed",$Y57=""),"closed without response date; ","")&amp;IF(AND($Y57&lt;&gt;"",$W57&lt;&gt;"Closed"),"response date but status not Closed; ","")&amp;IF(AND($Y57&lt;&gt;"",$B57&lt;&gt;"",$Y57&lt;$B57),"response before receipt; ","")&amp;IF(AND($AD57="Y",$AE57=""),"exemption needs a reason in Notes; ","")="","OK","Check: "&amp;IF(OR($B57="",$C57="",$D57="",$V57="",$W57=""),"missing required field; ","")&amp;IF(COUNTIF($A$2:$A$201,$A57)&gt;1,"duplicate ID; ","")&amp;IF(AND($B57&lt;&gt;"",$B57&gt;ReportDate),"received after snapshot date; ","")&amp;IF(AND($I57&lt;&gt;"",$B57&lt;&gt;"",$I57&lt;$B57),"acknowledged before receipt; ","")&amp;IF(AND($K57="Y",$L57="",$W57&lt;&gt;"Logged"),"ID requested date missing; ","")&amp;IF(AND($L57&lt;&gt;"",$M57&lt;&gt;"",$M57&lt;$L57),"ID dates out of order; ","")&amp;IF(AND($K57&lt;&gt;"Y",OR($L57&lt;&gt;"",$W57="Awaiting ID")),"ID fields used but ID_Check_Needed is not Y; ","")&amp;IF(AND($R57="Y",$S57=""),"extension notice date missing; ","")&amp;IF(AND($R57&lt;&gt;"Y",$S57&lt;&gt;""),"notice date but Extended is not Y; ","")&amp;IF(AND($W57="Closed",$Y57=""),"closed without response date; ","")&amp;IF(AND($Y57&lt;&gt;"",$W57&lt;&gt;"Closed"),"response date but status not Closed; ","")&amp;IF(AND($Y57&lt;&gt;"",$B57&lt;&gt;"",$Y57&lt;$B57),"response before receipt; ","")&amp;IF(AND($AD57="Y",$AE57=""),"exemption needs a reason in Notes; ","")))</f>
        <v/>
      </c>
    </row>
    <row r="58" spans="1:32" x14ac:dyDescent="0.35">
      <c r="A58" s="22"/>
      <c r="B58" s="23"/>
      <c r="C58" s="22"/>
      <c r="D58" s="22"/>
      <c r="E58" s="20" t="str">
        <f>IF($A58="","",IFERROR(VLOOKUP($D58,ReqTypes,2,FALSE),"?"))</f>
        <v/>
      </c>
      <c r="F58" s="20" t="str">
        <f>IF($A58="","",IFERROR(VLOOKUP($D58,ReqTypes,3,FALSE),"?"))</f>
        <v/>
      </c>
      <c r="G58" s="22"/>
      <c r="H58" s="22"/>
      <c r="I58" s="23"/>
      <c r="J58" s="20" t="str">
        <f>IF(OR($A58="",$I58=""),"",IF(NETWORKDAYS($B58,$I58,Holidays)-1&lt;=AckDays,"Y","N"))</f>
        <v/>
      </c>
      <c r="K58" s="22"/>
      <c r="L58" s="23"/>
      <c r="M58" s="23"/>
      <c r="N58" s="20" t="str">
        <f>IF(OR($A58="",$K58&lt;&gt;"Y"),"",IF($L58="","Pending",IF($L58-$B58&lt;=IDPromptDays,"Y","Check")))</f>
        <v/>
      </c>
      <c r="O58" s="20" t="str">
        <f>IF($A58="","",IF(OR($K58&lt;&gt;"Y",$L58=""),0,IF($M58="",MAX(0,ReportDate-$L58),$M58-$L58)))</f>
        <v/>
      </c>
      <c r="P58" s="21" t="str">
        <f>IF($A58="","",IF($F58&lt;&gt;"Y","n/a",WORKDAY(EDATE($B58,1)+$O58-1,1,Holidays)))</f>
        <v/>
      </c>
      <c r="Q58" s="21" t="str">
        <f>IF($A58="","",$B58+$O58+InternalDays)</f>
        <v/>
      </c>
      <c r="R58" s="22"/>
      <c r="S58" s="23"/>
      <c r="T58" s="20" t="str">
        <f t="shared" si="2"/>
        <v/>
      </c>
      <c r="U58" s="21" t="str">
        <f>IF($A58="","",IF($F58&lt;&gt;"Y",$Q58,IF(AND($R58="Y",$T58="Y"),WORKDAY(EDATE($B58,3)+$O58-1,1,Holidays),$P58)))</f>
        <v/>
      </c>
      <c r="V58" s="22"/>
      <c r="W58" s="22"/>
      <c r="X58" s="22"/>
      <c r="Y58" s="23"/>
      <c r="Z58" s="20" t="str">
        <f>IF($A58="","",IF($Y58&lt;&gt;"",$Y58-$B58,ReportDate-$B58))</f>
        <v/>
      </c>
      <c r="AA58" s="20" t="str">
        <f>IF(OR($A58="",$W58="Closed"),"",$U58-ReportDate)</f>
        <v/>
      </c>
      <c r="AB58" s="20" t="str">
        <f>IF($A58="","",IF($W58="Closed",IF($Y58&lt;=$U58,"Closed on time","Closed late"),IF($W58="Awaiting ID","Paused",IF($AA58&lt;0,"Overdue",IF($AA58&lt;=RedDays,"Red",IF($AA58&lt;=AmberDays,"Amber","Green"))))))</f>
        <v/>
      </c>
      <c r="AC58" s="20" t="str">
        <f t="shared" si="3"/>
        <v/>
      </c>
      <c r="AD58" s="22"/>
      <c r="AE58" s="22"/>
      <c r="AF58" s="20" t="str">
        <f>IF($A58="","",IF(IF(OR($B58="",$C58="",$D58="",$V58="",$W58=""),"missing required field; ","")&amp;IF(COUNTIF($A$2:$A$201,$A58)&gt;1,"duplicate ID; ","")&amp;IF(AND($B58&lt;&gt;"",$B58&gt;ReportDate),"received after snapshot date; ","")&amp;IF(AND($I58&lt;&gt;"",$B58&lt;&gt;"",$I58&lt;$B58),"acknowledged before receipt; ","")&amp;IF(AND($K58="Y",$L58="",$W58&lt;&gt;"Logged"),"ID requested date missing; ","")&amp;IF(AND($L58&lt;&gt;"",$M58&lt;&gt;"",$M58&lt;$L58),"ID dates out of order; ","")&amp;IF(AND($K58&lt;&gt;"Y",OR($L58&lt;&gt;"",$W58="Awaiting ID")),"ID fields used but ID_Check_Needed is not Y; ","")&amp;IF(AND($R58="Y",$S58=""),"extension notice date missing; ","")&amp;IF(AND($R58&lt;&gt;"Y",$S58&lt;&gt;""),"notice date but Extended is not Y; ","")&amp;IF(AND($W58="Closed",$Y58=""),"closed without response date; ","")&amp;IF(AND($Y58&lt;&gt;"",$W58&lt;&gt;"Closed"),"response date but status not Closed; ","")&amp;IF(AND($Y58&lt;&gt;"",$B58&lt;&gt;"",$Y58&lt;$B58),"response before receipt; ","")&amp;IF(AND($AD58="Y",$AE58=""),"exemption needs a reason in Notes; ","")="","OK","Check: "&amp;IF(OR($B58="",$C58="",$D58="",$V58="",$W58=""),"missing required field; ","")&amp;IF(COUNTIF($A$2:$A$201,$A58)&gt;1,"duplicate ID; ","")&amp;IF(AND($B58&lt;&gt;"",$B58&gt;ReportDate),"received after snapshot date; ","")&amp;IF(AND($I58&lt;&gt;"",$B58&lt;&gt;"",$I58&lt;$B58),"acknowledged before receipt; ","")&amp;IF(AND($K58="Y",$L58="",$W58&lt;&gt;"Logged"),"ID requested date missing; ","")&amp;IF(AND($L58&lt;&gt;"",$M58&lt;&gt;"",$M58&lt;$L58),"ID dates out of order; ","")&amp;IF(AND($K58&lt;&gt;"Y",OR($L58&lt;&gt;"",$W58="Awaiting ID")),"ID fields used but ID_Check_Needed is not Y; ","")&amp;IF(AND($R58="Y",$S58=""),"extension notice date missing; ","")&amp;IF(AND($R58&lt;&gt;"Y",$S58&lt;&gt;""),"notice date but Extended is not Y; ","")&amp;IF(AND($W58="Closed",$Y58=""),"closed without response date; ","")&amp;IF(AND($Y58&lt;&gt;"",$W58&lt;&gt;"Closed"),"response date but status not Closed; ","")&amp;IF(AND($Y58&lt;&gt;"",$B58&lt;&gt;"",$Y58&lt;$B58),"response before receipt; ","")&amp;IF(AND($AD58="Y",$AE58=""),"exemption needs a reason in Notes; ","")))</f>
        <v/>
      </c>
    </row>
    <row r="59" spans="1:32" x14ac:dyDescent="0.35">
      <c r="A59" s="22"/>
      <c r="B59" s="23"/>
      <c r="C59" s="22"/>
      <c r="D59" s="22"/>
      <c r="E59" s="20" t="str">
        <f>IF($A59="","",IFERROR(VLOOKUP($D59,ReqTypes,2,FALSE),"?"))</f>
        <v/>
      </c>
      <c r="F59" s="20" t="str">
        <f>IF($A59="","",IFERROR(VLOOKUP($D59,ReqTypes,3,FALSE),"?"))</f>
        <v/>
      </c>
      <c r="G59" s="22"/>
      <c r="H59" s="22"/>
      <c r="I59" s="23"/>
      <c r="J59" s="20" t="str">
        <f>IF(OR($A59="",$I59=""),"",IF(NETWORKDAYS($B59,$I59,Holidays)-1&lt;=AckDays,"Y","N"))</f>
        <v/>
      </c>
      <c r="K59" s="22"/>
      <c r="L59" s="23"/>
      <c r="M59" s="23"/>
      <c r="N59" s="20" t="str">
        <f>IF(OR($A59="",$K59&lt;&gt;"Y"),"",IF($L59="","Pending",IF($L59-$B59&lt;=IDPromptDays,"Y","Check")))</f>
        <v/>
      </c>
      <c r="O59" s="20" t="str">
        <f>IF($A59="","",IF(OR($K59&lt;&gt;"Y",$L59=""),0,IF($M59="",MAX(0,ReportDate-$L59),$M59-$L59)))</f>
        <v/>
      </c>
      <c r="P59" s="21" t="str">
        <f>IF($A59="","",IF($F59&lt;&gt;"Y","n/a",WORKDAY(EDATE($B59,1)+$O59-1,1,Holidays)))</f>
        <v/>
      </c>
      <c r="Q59" s="21" t="str">
        <f>IF($A59="","",$B59+$O59+InternalDays)</f>
        <v/>
      </c>
      <c r="R59" s="22"/>
      <c r="S59" s="23"/>
      <c r="T59" s="20" t="str">
        <f t="shared" si="2"/>
        <v/>
      </c>
      <c r="U59" s="21" t="str">
        <f>IF($A59="","",IF($F59&lt;&gt;"Y",$Q59,IF(AND($R59="Y",$T59="Y"),WORKDAY(EDATE($B59,3)+$O59-1,1,Holidays),$P59)))</f>
        <v/>
      </c>
      <c r="V59" s="22"/>
      <c r="W59" s="22"/>
      <c r="X59" s="22"/>
      <c r="Y59" s="23"/>
      <c r="Z59" s="20" t="str">
        <f>IF($A59="","",IF($Y59&lt;&gt;"",$Y59-$B59,ReportDate-$B59))</f>
        <v/>
      </c>
      <c r="AA59" s="20" t="str">
        <f>IF(OR($A59="",$W59="Closed"),"",$U59-ReportDate)</f>
        <v/>
      </c>
      <c r="AB59" s="20" t="str">
        <f>IF($A59="","",IF($W59="Closed",IF($Y59&lt;=$U59,"Closed on time","Closed late"),IF($W59="Awaiting ID","Paused",IF($AA59&lt;0,"Overdue",IF($AA59&lt;=RedDays,"Red",IF($AA59&lt;=AmberDays,"Amber","Green"))))))</f>
        <v/>
      </c>
      <c r="AC59" s="20" t="str">
        <f t="shared" si="3"/>
        <v/>
      </c>
      <c r="AD59" s="22"/>
      <c r="AE59" s="22"/>
      <c r="AF59" s="20" t="str">
        <f>IF($A59="","",IF(IF(OR($B59="",$C59="",$D59="",$V59="",$W59=""),"missing required field; ","")&amp;IF(COUNTIF($A$2:$A$201,$A59)&gt;1,"duplicate ID; ","")&amp;IF(AND($B59&lt;&gt;"",$B59&gt;ReportDate),"received after snapshot date; ","")&amp;IF(AND($I59&lt;&gt;"",$B59&lt;&gt;"",$I59&lt;$B59),"acknowledged before receipt; ","")&amp;IF(AND($K59="Y",$L59="",$W59&lt;&gt;"Logged"),"ID requested date missing; ","")&amp;IF(AND($L59&lt;&gt;"",$M59&lt;&gt;"",$M59&lt;$L59),"ID dates out of order; ","")&amp;IF(AND($K59&lt;&gt;"Y",OR($L59&lt;&gt;"",$W59="Awaiting ID")),"ID fields used but ID_Check_Needed is not Y; ","")&amp;IF(AND($R59="Y",$S59=""),"extension notice date missing; ","")&amp;IF(AND($R59&lt;&gt;"Y",$S59&lt;&gt;""),"notice date but Extended is not Y; ","")&amp;IF(AND($W59="Closed",$Y59=""),"closed without response date; ","")&amp;IF(AND($Y59&lt;&gt;"",$W59&lt;&gt;"Closed"),"response date but status not Closed; ","")&amp;IF(AND($Y59&lt;&gt;"",$B59&lt;&gt;"",$Y59&lt;$B59),"response before receipt; ","")&amp;IF(AND($AD59="Y",$AE59=""),"exemption needs a reason in Notes; ","")="","OK","Check: "&amp;IF(OR($B59="",$C59="",$D59="",$V59="",$W59=""),"missing required field; ","")&amp;IF(COUNTIF($A$2:$A$201,$A59)&gt;1,"duplicate ID; ","")&amp;IF(AND($B59&lt;&gt;"",$B59&gt;ReportDate),"received after snapshot date; ","")&amp;IF(AND($I59&lt;&gt;"",$B59&lt;&gt;"",$I59&lt;$B59),"acknowledged before receipt; ","")&amp;IF(AND($K59="Y",$L59="",$W59&lt;&gt;"Logged"),"ID requested date missing; ","")&amp;IF(AND($L59&lt;&gt;"",$M59&lt;&gt;"",$M59&lt;$L59),"ID dates out of order; ","")&amp;IF(AND($K59&lt;&gt;"Y",OR($L59&lt;&gt;"",$W59="Awaiting ID")),"ID fields used but ID_Check_Needed is not Y; ","")&amp;IF(AND($R59="Y",$S59=""),"extension notice date missing; ","")&amp;IF(AND($R59&lt;&gt;"Y",$S59&lt;&gt;""),"notice date but Extended is not Y; ","")&amp;IF(AND($W59="Closed",$Y59=""),"closed without response date; ","")&amp;IF(AND($Y59&lt;&gt;"",$W59&lt;&gt;"Closed"),"response date but status not Closed; ","")&amp;IF(AND($Y59&lt;&gt;"",$B59&lt;&gt;"",$Y59&lt;$B59),"response before receipt; ","")&amp;IF(AND($AD59="Y",$AE59=""),"exemption needs a reason in Notes; ","")))</f>
        <v/>
      </c>
    </row>
    <row r="60" spans="1:32" x14ac:dyDescent="0.35">
      <c r="A60" s="22"/>
      <c r="B60" s="23"/>
      <c r="C60" s="22"/>
      <c r="D60" s="22"/>
      <c r="E60" s="20" t="str">
        <f>IF($A60="","",IFERROR(VLOOKUP($D60,ReqTypes,2,FALSE),"?"))</f>
        <v/>
      </c>
      <c r="F60" s="20" t="str">
        <f>IF($A60="","",IFERROR(VLOOKUP($D60,ReqTypes,3,FALSE),"?"))</f>
        <v/>
      </c>
      <c r="G60" s="22"/>
      <c r="H60" s="22"/>
      <c r="I60" s="23"/>
      <c r="J60" s="20" t="str">
        <f>IF(OR($A60="",$I60=""),"",IF(NETWORKDAYS($B60,$I60,Holidays)-1&lt;=AckDays,"Y","N"))</f>
        <v/>
      </c>
      <c r="K60" s="22"/>
      <c r="L60" s="23"/>
      <c r="M60" s="23"/>
      <c r="N60" s="20" t="str">
        <f>IF(OR($A60="",$K60&lt;&gt;"Y"),"",IF($L60="","Pending",IF($L60-$B60&lt;=IDPromptDays,"Y","Check")))</f>
        <v/>
      </c>
      <c r="O60" s="20" t="str">
        <f>IF($A60="","",IF(OR($K60&lt;&gt;"Y",$L60=""),0,IF($M60="",MAX(0,ReportDate-$L60),$M60-$L60)))</f>
        <v/>
      </c>
      <c r="P60" s="21" t="str">
        <f>IF($A60="","",IF($F60&lt;&gt;"Y","n/a",WORKDAY(EDATE($B60,1)+$O60-1,1,Holidays)))</f>
        <v/>
      </c>
      <c r="Q60" s="21" t="str">
        <f>IF($A60="","",$B60+$O60+InternalDays)</f>
        <v/>
      </c>
      <c r="R60" s="22"/>
      <c r="S60" s="23"/>
      <c r="T60" s="20" t="str">
        <f t="shared" si="2"/>
        <v/>
      </c>
      <c r="U60" s="21" t="str">
        <f>IF($A60="","",IF($F60&lt;&gt;"Y",$Q60,IF(AND($R60="Y",$T60="Y"),WORKDAY(EDATE($B60,3)+$O60-1,1,Holidays),$P60)))</f>
        <v/>
      </c>
      <c r="V60" s="22"/>
      <c r="W60" s="22"/>
      <c r="X60" s="22"/>
      <c r="Y60" s="23"/>
      <c r="Z60" s="20" t="str">
        <f>IF($A60="","",IF($Y60&lt;&gt;"",$Y60-$B60,ReportDate-$B60))</f>
        <v/>
      </c>
      <c r="AA60" s="20" t="str">
        <f>IF(OR($A60="",$W60="Closed"),"",$U60-ReportDate)</f>
        <v/>
      </c>
      <c r="AB60" s="20" t="str">
        <f>IF($A60="","",IF($W60="Closed",IF($Y60&lt;=$U60,"Closed on time","Closed late"),IF($W60="Awaiting ID","Paused",IF($AA60&lt;0,"Overdue",IF($AA60&lt;=RedDays,"Red",IF($AA60&lt;=AmberDays,"Amber","Green"))))))</f>
        <v/>
      </c>
      <c r="AC60" s="20" t="str">
        <f t="shared" si="3"/>
        <v/>
      </c>
      <c r="AD60" s="22"/>
      <c r="AE60" s="22"/>
      <c r="AF60" s="20" t="str">
        <f>IF($A60="","",IF(IF(OR($B60="",$C60="",$D60="",$V60="",$W60=""),"missing required field; ","")&amp;IF(COUNTIF($A$2:$A$201,$A60)&gt;1,"duplicate ID; ","")&amp;IF(AND($B60&lt;&gt;"",$B60&gt;ReportDate),"received after snapshot date; ","")&amp;IF(AND($I60&lt;&gt;"",$B60&lt;&gt;"",$I60&lt;$B60),"acknowledged before receipt; ","")&amp;IF(AND($K60="Y",$L60="",$W60&lt;&gt;"Logged"),"ID requested date missing; ","")&amp;IF(AND($L60&lt;&gt;"",$M60&lt;&gt;"",$M60&lt;$L60),"ID dates out of order; ","")&amp;IF(AND($K60&lt;&gt;"Y",OR($L60&lt;&gt;"",$W60="Awaiting ID")),"ID fields used but ID_Check_Needed is not Y; ","")&amp;IF(AND($R60="Y",$S60=""),"extension notice date missing; ","")&amp;IF(AND($R60&lt;&gt;"Y",$S60&lt;&gt;""),"notice date but Extended is not Y; ","")&amp;IF(AND($W60="Closed",$Y60=""),"closed without response date; ","")&amp;IF(AND($Y60&lt;&gt;"",$W60&lt;&gt;"Closed"),"response date but status not Closed; ","")&amp;IF(AND($Y60&lt;&gt;"",$B60&lt;&gt;"",$Y60&lt;$B60),"response before receipt; ","")&amp;IF(AND($AD60="Y",$AE60=""),"exemption needs a reason in Notes; ","")="","OK","Check: "&amp;IF(OR($B60="",$C60="",$D60="",$V60="",$W60=""),"missing required field; ","")&amp;IF(COUNTIF($A$2:$A$201,$A60)&gt;1,"duplicate ID; ","")&amp;IF(AND($B60&lt;&gt;"",$B60&gt;ReportDate),"received after snapshot date; ","")&amp;IF(AND($I60&lt;&gt;"",$B60&lt;&gt;"",$I60&lt;$B60),"acknowledged before receipt; ","")&amp;IF(AND($K60="Y",$L60="",$W60&lt;&gt;"Logged"),"ID requested date missing; ","")&amp;IF(AND($L60&lt;&gt;"",$M60&lt;&gt;"",$M60&lt;$L60),"ID dates out of order; ","")&amp;IF(AND($K60&lt;&gt;"Y",OR($L60&lt;&gt;"",$W60="Awaiting ID")),"ID fields used but ID_Check_Needed is not Y; ","")&amp;IF(AND($R60="Y",$S60=""),"extension notice date missing; ","")&amp;IF(AND($R60&lt;&gt;"Y",$S60&lt;&gt;""),"notice date but Extended is not Y; ","")&amp;IF(AND($W60="Closed",$Y60=""),"closed without response date; ","")&amp;IF(AND($Y60&lt;&gt;"",$W60&lt;&gt;"Closed"),"response date but status not Closed; ","")&amp;IF(AND($Y60&lt;&gt;"",$B60&lt;&gt;"",$Y60&lt;$B60),"response before receipt; ","")&amp;IF(AND($AD60="Y",$AE60=""),"exemption needs a reason in Notes; ","")))</f>
        <v/>
      </c>
    </row>
    <row r="61" spans="1:32" x14ac:dyDescent="0.35">
      <c r="A61" s="22"/>
      <c r="B61" s="23"/>
      <c r="C61" s="22"/>
      <c r="D61" s="22"/>
      <c r="E61" s="20" t="str">
        <f>IF($A61="","",IFERROR(VLOOKUP($D61,ReqTypes,2,FALSE),"?"))</f>
        <v/>
      </c>
      <c r="F61" s="20" t="str">
        <f>IF($A61="","",IFERROR(VLOOKUP($D61,ReqTypes,3,FALSE),"?"))</f>
        <v/>
      </c>
      <c r="G61" s="22"/>
      <c r="H61" s="22"/>
      <c r="I61" s="23"/>
      <c r="J61" s="20" t="str">
        <f>IF(OR($A61="",$I61=""),"",IF(NETWORKDAYS($B61,$I61,Holidays)-1&lt;=AckDays,"Y","N"))</f>
        <v/>
      </c>
      <c r="K61" s="22"/>
      <c r="L61" s="23"/>
      <c r="M61" s="23"/>
      <c r="N61" s="20" t="str">
        <f>IF(OR($A61="",$K61&lt;&gt;"Y"),"",IF($L61="","Pending",IF($L61-$B61&lt;=IDPromptDays,"Y","Check")))</f>
        <v/>
      </c>
      <c r="O61" s="20" t="str">
        <f>IF($A61="","",IF(OR($K61&lt;&gt;"Y",$L61=""),0,IF($M61="",MAX(0,ReportDate-$L61),$M61-$L61)))</f>
        <v/>
      </c>
      <c r="P61" s="21" t="str">
        <f>IF($A61="","",IF($F61&lt;&gt;"Y","n/a",WORKDAY(EDATE($B61,1)+$O61-1,1,Holidays)))</f>
        <v/>
      </c>
      <c r="Q61" s="21" t="str">
        <f>IF($A61="","",$B61+$O61+InternalDays)</f>
        <v/>
      </c>
      <c r="R61" s="22"/>
      <c r="S61" s="23"/>
      <c r="T61" s="20" t="str">
        <f t="shared" si="2"/>
        <v/>
      </c>
      <c r="U61" s="21" t="str">
        <f>IF($A61="","",IF($F61&lt;&gt;"Y",$Q61,IF(AND($R61="Y",$T61="Y"),WORKDAY(EDATE($B61,3)+$O61-1,1,Holidays),$P61)))</f>
        <v/>
      </c>
      <c r="V61" s="22"/>
      <c r="W61" s="22"/>
      <c r="X61" s="22"/>
      <c r="Y61" s="23"/>
      <c r="Z61" s="20" t="str">
        <f>IF($A61="","",IF($Y61&lt;&gt;"",$Y61-$B61,ReportDate-$B61))</f>
        <v/>
      </c>
      <c r="AA61" s="20" t="str">
        <f>IF(OR($A61="",$W61="Closed"),"",$U61-ReportDate)</f>
        <v/>
      </c>
      <c r="AB61" s="20" t="str">
        <f>IF($A61="","",IF($W61="Closed",IF($Y61&lt;=$U61,"Closed on time","Closed late"),IF($W61="Awaiting ID","Paused",IF($AA61&lt;0,"Overdue",IF($AA61&lt;=RedDays,"Red",IF($AA61&lt;=AmberDays,"Amber","Green"))))))</f>
        <v/>
      </c>
      <c r="AC61" s="20" t="str">
        <f t="shared" si="3"/>
        <v/>
      </c>
      <c r="AD61" s="22"/>
      <c r="AE61" s="22"/>
      <c r="AF61" s="20" t="str">
        <f>IF($A61="","",IF(IF(OR($B61="",$C61="",$D61="",$V61="",$W61=""),"missing required field; ","")&amp;IF(COUNTIF($A$2:$A$201,$A61)&gt;1,"duplicate ID; ","")&amp;IF(AND($B61&lt;&gt;"",$B61&gt;ReportDate),"received after snapshot date; ","")&amp;IF(AND($I61&lt;&gt;"",$B61&lt;&gt;"",$I61&lt;$B61),"acknowledged before receipt; ","")&amp;IF(AND($K61="Y",$L61="",$W61&lt;&gt;"Logged"),"ID requested date missing; ","")&amp;IF(AND($L61&lt;&gt;"",$M61&lt;&gt;"",$M61&lt;$L61),"ID dates out of order; ","")&amp;IF(AND($K61&lt;&gt;"Y",OR($L61&lt;&gt;"",$W61="Awaiting ID")),"ID fields used but ID_Check_Needed is not Y; ","")&amp;IF(AND($R61="Y",$S61=""),"extension notice date missing; ","")&amp;IF(AND($R61&lt;&gt;"Y",$S61&lt;&gt;""),"notice date but Extended is not Y; ","")&amp;IF(AND($W61="Closed",$Y61=""),"closed without response date; ","")&amp;IF(AND($Y61&lt;&gt;"",$W61&lt;&gt;"Closed"),"response date but status not Closed; ","")&amp;IF(AND($Y61&lt;&gt;"",$B61&lt;&gt;"",$Y61&lt;$B61),"response before receipt; ","")&amp;IF(AND($AD61="Y",$AE61=""),"exemption needs a reason in Notes; ","")="","OK","Check: "&amp;IF(OR($B61="",$C61="",$D61="",$V61="",$W61=""),"missing required field; ","")&amp;IF(COUNTIF($A$2:$A$201,$A61)&gt;1,"duplicate ID; ","")&amp;IF(AND($B61&lt;&gt;"",$B61&gt;ReportDate),"received after snapshot date; ","")&amp;IF(AND($I61&lt;&gt;"",$B61&lt;&gt;"",$I61&lt;$B61),"acknowledged before receipt; ","")&amp;IF(AND($K61="Y",$L61="",$W61&lt;&gt;"Logged"),"ID requested date missing; ","")&amp;IF(AND($L61&lt;&gt;"",$M61&lt;&gt;"",$M61&lt;$L61),"ID dates out of order; ","")&amp;IF(AND($K61&lt;&gt;"Y",OR($L61&lt;&gt;"",$W61="Awaiting ID")),"ID fields used but ID_Check_Needed is not Y; ","")&amp;IF(AND($R61="Y",$S61=""),"extension notice date missing; ","")&amp;IF(AND($R61&lt;&gt;"Y",$S61&lt;&gt;""),"notice date but Extended is not Y; ","")&amp;IF(AND($W61="Closed",$Y61=""),"closed without response date; ","")&amp;IF(AND($Y61&lt;&gt;"",$W61&lt;&gt;"Closed"),"response date but status not Closed; ","")&amp;IF(AND($Y61&lt;&gt;"",$B61&lt;&gt;"",$Y61&lt;$B61),"response before receipt; ","")&amp;IF(AND($AD61="Y",$AE61=""),"exemption needs a reason in Notes; ","")))</f>
        <v/>
      </c>
    </row>
    <row r="62" spans="1:32" x14ac:dyDescent="0.35">
      <c r="A62" s="22"/>
      <c r="B62" s="23"/>
      <c r="C62" s="22"/>
      <c r="D62" s="22"/>
      <c r="E62" s="20" t="str">
        <f>IF($A62="","",IFERROR(VLOOKUP($D62,ReqTypes,2,FALSE),"?"))</f>
        <v/>
      </c>
      <c r="F62" s="20" t="str">
        <f>IF($A62="","",IFERROR(VLOOKUP($D62,ReqTypes,3,FALSE),"?"))</f>
        <v/>
      </c>
      <c r="G62" s="22"/>
      <c r="H62" s="22"/>
      <c r="I62" s="23"/>
      <c r="J62" s="20" t="str">
        <f>IF(OR($A62="",$I62=""),"",IF(NETWORKDAYS($B62,$I62,Holidays)-1&lt;=AckDays,"Y","N"))</f>
        <v/>
      </c>
      <c r="K62" s="22"/>
      <c r="L62" s="23"/>
      <c r="M62" s="23"/>
      <c r="N62" s="20" t="str">
        <f>IF(OR($A62="",$K62&lt;&gt;"Y"),"",IF($L62="","Pending",IF($L62-$B62&lt;=IDPromptDays,"Y","Check")))</f>
        <v/>
      </c>
      <c r="O62" s="20" t="str">
        <f>IF($A62="","",IF(OR($K62&lt;&gt;"Y",$L62=""),0,IF($M62="",MAX(0,ReportDate-$L62),$M62-$L62)))</f>
        <v/>
      </c>
      <c r="P62" s="21" t="str">
        <f>IF($A62="","",IF($F62&lt;&gt;"Y","n/a",WORKDAY(EDATE($B62,1)+$O62-1,1,Holidays)))</f>
        <v/>
      </c>
      <c r="Q62" s="21" t="str">
        <f>IF($A62="","",$B62+$O62+InternalDays)</f>
        <v/>
      </c>
      <c r="R62" s="22"/>
      <c r="S62" s="23"/>
      <c r="T62" s="20" t="str">
        <f t="shared" si="2"/>
        <v/>
      </c>
      <c r="U62" s="21" t="str">
        <f>IF($A62="","",IF($F62&lt;&gt;"Y",$Q62,IF(AND($R62="Y",$T62="Y"),WORKDAY(EDATE($B62,3)+$O62-1,1,Holidays),$P62)))</f>
        <v/>
      </c>
      <c r="V62" s="22"/>
      <c r="W62" s="22"/>
      <c r="X62" s="22"/>
      <c r="Y62" s="23"/>
      <c r="Z62" s="20" t="str">
        <f>IF($A62="","",IF($Y62&lt;&gt;"",$Y62-$B62,ReportDate-$B62))</f>
        <v/>
      </c>
      <c r="AA62" s="20" t="str">
        <f>IF(OR($A62="",$W62="Closed"),"",$U62-ReportDate)</f>
        <v/>
      </c>
      <c r="AB62" s="20" t="str">
        <f>IF($A62="","",IF($W62="Closed",IF($Y62&lt;=$U62,"Closed on time","Closed late"),IF($W62="Awaiting ID","Paused",IF($AA62&lt;0,"Overdue",IF($AA62&lt;=RedDays,"Red",IF($AA62&lt;=AmberDays,"Amber","Green"))))))</f>
        <v/>
      </c>
      <c r="AC62" s="20" t="str">
        <f t="shared" si="3"/>
        <v/>
      </c>
      <c r="AD62" s="22"/>
      <c r="AE62" s="22"/>
      <c r="AF62" s="20" t="str">
        <f>IF($A62="","",IF(IF(OR($B62="",$C62="",$D62="",$V62="",$W62=""),"missing required field; ","")&amp;IF(COUNTIF($A$2:$A$201,$A62)&gt;1,"duplicate ID; ","")&amp;IF(AND($B62&lt;&gt;"",$B62&gt;ReportDate),"received after snapshot date; ","")&amp;IF(AND($I62&lt;&gt;"",$B62&lt;&gt;"",$I62&lt;$B62),"acknowledged before receipt; ","")&amp;IF(AND($K62="Y",$L62="",$W62&lt;&gt;"Logged"),"ID requested date missing; ","")&amp;IF(AND($L62&lt;&gt;"",$M62&lt;&gt;"",$M62&lt;$L62),"ID dates out of order; ","")&amp;IF(AND($K62&lt;&gt;"Y",OR($L62&lt;&gt;"",$W62="Awaiting ID")),"ID fields used but ID_Check_Needed is not Y; ","")&amp;IF(AND($R62="Y",$S62=""),"extension notice date missing; ","")&amp;IF(AND($R62&lt;&gt;"Y",$S62&lt;&gt;""),"notice date but Extended is not Y; ","")&amp;IF(AND($W62="Closed",$Y62=""),"closed without response date; ","")&amp;IF(AND($Y62&lt;&gt;"",$W62&lt;&gt;"Closed"),"response date but status not Closed; ","")&amp;IF(AND($Y62&lt;&gt;"",$B62&lt;&gt;"",$Y62&lt;$B62),"response before receipt; ","")&amp;IF(AND($AD62="Y",$AE62=""),"exemption needs a reason in Notes; ","")="","OK","Check: "&amp;IF(OR($B62="",$C62="",$D62="",$V62="",$W62=""),"missing required field; ","")&amp;IF(COUNTIF($A$2:$A$201,$A62)&gt;1,"duplicate ID; ","")&amp;IF(AND($B62&lt;&gt;"",$B62&gt;ReportDate),"received after snapshot date; ","")&amp;IF(AND($I62&lt;&gt;"",$B62&lt;&gt;"",$I62&lt;$B62),"acknowledged before receipt; ","")&amp;IF(AND($K62="Y",$L62="",$W62&lt;&gt;"Logged"),"ID requested date missing; ","")&amp;IF(AND($L62&lt;&gt;"",$M62&lt;&gt;"",$M62&lt;$L62),"ID dates out of order; ","")&amp;IF(AND($K62&lt;&gt;"Y",OR($L62&lt;&gt;"",$W62="Awaiting ID")),"ID fields used but ID_Check_Needed is not Y; ","")&amp;IF(AND($R62="Y",$S62=""),"extension notice date missing; ","")&amp;IF(AND($R62&lt;&gt;"Y",$S62&lt;&gt;""),"notice date but Extended is not Y; ","")&amp;IF(AND($W62="Closed",$Y62=""),"closed without response date; ","")&amp;IF(AND($Y62&lt;&gt;"",$W62&lt;&gt;"Closed"),"response date but status not Closed; ","")&amp;IF(AND($Y62&lt;&gt;"",$B62&lt;&gt;"",$Y62&lt;$B62),"response before receipt; ","")&amp;IF(AND($AD62="Y",$AE62=""),"exemption needs a reason in Notes; ","")))</f>
        <v/>
      </c>
    </row>
    <row r="63" spans="1:32" x14ac:dyDescent="0.35">
      <c r="A63" s="22"/>
      <c r="B63" s="23"/>
      <c r="C63" s="22"/>
      <c r="D63" s="22"/>
      <c r="E63" s="20" t="str">
        <f>IF($A63="","",IFERROR(VLOOKUP($D63,ReqTypes,2,FALSE),"?"))</f>
        <v/>
      </c>
      <c r="F63" s="20" t="str">
        <f>IF($A63="","",IFERROR(VLOOKUP($D63,ReqTypes,3,FALSE),"?"))</f>
        <v/>
      </c>
      <c r="G63" s="22"/>
      <c r="H63" s="22"/>
      <c r="I63" s="23"/>
      <c r="J63" s="20" t="str">
        <f>IF(OR($A63="",$I63=""),"",IF(NETWORKDAYS($B63,$I63,Holidays)-1&lt;=AckDays,"Y","N"))</f>
        <v/>
      </c>
      <c r="K63" s="22"/>
      <c r="L63" s="23"/>
      <c r="M63" s="23"/>
      <c r="N63" s="20" t="str">
        <f>IF(OR($A63="",$K63&lt;&gt;"Y"),"",IF($L63="","Pending",IF($L63-$B63&lt;=IDPromptDays,"Y","Check")))</f>
        <v/>
      </c>
      <c r="O63" s="20" t="str">
        <f>IF($A63="","",IF(OR($K63&lt;&gt;"Y",$L63=""),0,IF($M63="",MAX(0,ReportDate-$L63),$M63-$L63)))</f>
        <v/>
      </c>
      <c r="P63" s="21" t="str">
        <f>IF($A63="","",IF($F63&lt;&gt;"Y","n/a",WORKDAY(EDATE($B63,1)+$O63-1,1,Holidays)))</f>
        <v/>
      </c>
      <c r="Q63" s="21" t="str">
        <f>IF($A63="","",$B63+$O63+InternalDays)</f>
        <v/>
      </c>
      <c r="R63" s="22"/>
      <c r="S63" s="23"/>
      <c r="T63" s="20" t="str">
        <f t="shared" si="2"/>
        <v/>
      </c>
      <c r="U63" s="21" t="str">
        <f>IF($A63="","",IF($F63&lt;&gt;"Y",$Q63,IF(AND($R63="Y",$T63="Y"),WORKDAY(EDATE($B63,3)+$O63-1,1,Holidays),$P63)))</f>
        <v/>
      </c>
      <c r="V63" s="22"/>
      <c r="W63" s="22"/>
      <c r="X63" s="22"/>
      <c r="Y63" s="23"/>
      <c r="Z63" s="20" t="str">
        <f>IF($A63="","",IF($Y63&lt;&gt;"",$Y63-$B63,ReportDate-$B63))</f>
        <v/>
      </c>
      <c r="AA63" s="20" t="str">
        <f>IF(OR($A63="",$W63="Closed"),"",$U63-ReportDate)</f>
        <v/>
      </c>
      <c r="AB63" s="20" t="str">
        <f>IF($A63="","",IF($W63="Closed",IF($Y63&lt;=$U63,"Closed on time","Closed late"),IF($W63="Awaiting ID","Paused",IF($AA63&lt;0,"Overdue",IF($AA63&lt;=RedDays,"Red",IF($AA63&lt;=AmberDays,"Amber","Green"))))))</f>
        <v/>
      </c>
      <c r="AC63" s="20" t="str">
        <f t="shared" si="3"/>
        <v/>
      </c>
      <c r="AD63" s="22"/>
      <c r="AE63" s="22"/>
      <c r="AF63" s="20" t="str">
        <f>IF($A63="","",IF(IF(OR($B63="",$C63="",$D63="",$V63="",$W63=""),"missing required field; ","")&amp;IF(COUNTIF($A$2:$A$201,$A63)&gt;1,"duplicate ID; ","")&amp;IF(AND($B63&lt;&gt;"",$B63&gt;ReportDate),"received after snapshot date; ","")&amp;IF(AND($I63&lt;&gt;"",$B63&lt;&gt;"",$I63&lt;$B63),"acknowledged before receipt; ","")&amp;IF(AND($K63="Y",$L63="",$W63&lt;&gt;"Logged"),"ID requested date missing; ","")&amp;IF(AND($L63&lt;&gt;"",$M63&lt;&gt;"",$M63&lt;$L63),"ID dates out of order; ","")&amp;IF(AND($K63&lt;&gt;"Y",OR($L63&lt;&gt;"",$W63="Awaiting ID")),"ID fields used but ID_Check_Needed is not Y; ","")&amp;IF(AND($R63="Y",$S63=""),"extension notice date missing; ","")&amp;IF(AND($R63&lt;&gt;"Y",$S63&lt;&gt;""),"notice date but Extended is not Y; ","")&amp;IF(AND($W63="Closed",$Y63=""),"closed without response date; ","")&amp;IF(AND($Y63&lt;&gt;"",$W63&lt;&gt;"Closed"),"response date but status not Closed; ","")&amp;IF(AND($Y63&lt;&gt;"",$B63&lt;&gt;"",$Y63&lt;$B63),"response before receipt; ","")&amp;IF(AND($AD63="Y",$AE63=""),"exemption needs a reason in Notes; ","")="","OK","Check: "&amp;IF(OR($B63="",$C63="",$D63="",$V63="",$W63=""),"missing required field; ","")&amp;IF(COUNTIF($A$2:$A$201,$A63)&gt;1,"duplicate ID; ","")&amp;IF(AND($B63&lt;&gt;"",$B63&gt;ReportDate),"received after snapshot date; ","")&amp;IF(AND($I63&lt;&gt;"",$B63&lt;&gt;"",$I63&lt;$B63),"acknowledged before receipt; ","")&amp;IF(AND($K63="Y",$L63="",$W63&lt;&gt;"Logged"),"ID requested date missing; ","")&amp;IF(AND($L63&lt;&gt;"",$M63&lt;&gt;"",$M63&lt;$L63),"ID dates out of order; ","")&amp;IF(AND($K63&lt;&gt;"Y",OR($L63&lt;&gt;"",$W63="Awaiting ID")),"ID fields used but ID_Check_Needed is not Y; ","")&amp;IF(AND($R63="Y",$S63=""),"extension notice date missing; ","")&amp;IF(AND($R63&lt;&gt;"Y",$S63&lt;&gt;""),"notice date but Extended is not Y; ","")&amp;IF(AND($W63="Closed",$Y63=""),"closed without response date; ","")&amp;IF(AND($Y63&lt;&gt;"",$W63&lt;&gt;"Closed"),"response date but status not Closed; ","")&amp;IF(AND($Y63&lt;&gt;"",$B63&lt;&gt;"",$Y63&lt;$B63),"response before receipt; ","")&amp;IF(AND($AD63="Y",$AE63=""),"exemption needs a reason in Notes; ","")))</f>
        <v/>
      </c>
    </row>
    <row r="64" spans="1:32" x14ac:dyDescent="0.35">
      <c r="A64" s="22"/>
      <c r="B64" s="23"/>
      <c r="C64" s="22"/>
      <c r="D64" s="22"/>
      <c r="E64" s="20" t="str">
        <f>IF($A64="","",IFERROR(VLOOKUP($D64,ReqTypes,2,FALSE),"?"))</f>
        <v/>
      </c>
      <c r="F64" s="20" t="str">
        <f>IF($A64="","",IFERROR(VLOOKUP($D64,ReqTypes,3,FALSE),"?"))</f>
        <v/>
      </c>
      <c r="G64" s="22"/>
      <c r="H64" s="22"/>
      <c r="I64" s="23"/>
      <c r="J64" s="20" t="str">
        <f>IF(OR($A64="",$I64=""),"",IF(NETWORKDAYS($B64,$I64,Holidays)-1&lt;=AckDays,"Y","N"))</f>
        <v/>
      </c>
      <c r="K64" s="22"/>
      <c r="L64" s="23"/>
      <c r="M64" s="23"/>
      <c r="N64" s="20" t="str">
        <f>IF(OR($A64="",$K64&lt;&gt;"Y"),"",IF($L64="","Pending",IF($L64-$B64&lt;=IDPromptDays,"Y","Check")))</f>
        <v/>
      </c>
      <c r="O64" s="20" t="str">
        <f>IF($A64="","",IF(OR($K64&lt;&gt;"Y",$L64=""),0,IF($M64="",MAX(0,ReportDate-$L64),$M64-$L64)))</f>
        <v/>
      </c>
      <c r="P64" s="21" t="str">
        <f>IF($A64="","",IF($F64&lt;&gt;"Y","n/a",WORKDAY(EDATE($B64,1)+$O64-1,1,Holidays)))</f>
        <v/>
      </c>
      <c r="Q64" s="21" t="str">
        <f>IF($A64="","",$B64+$O64+InternalDays)</f>
        <v/>
      </c>
      <c r="R64" s="22"/>
      <c r="S64" s="23"/>
      <c r="T64" s="20" t="str">
        <f t="shared" si="2"/>
        <v/>
      </c>
      <c r="U64" s="21" t="str">
        <f>IF($A64="","",IF($F64&lt;&gt;"Y",$Q64,IF(AND($R64="Y",$T64="Y"),WORKDAY(EDATE($B64,3)+$O64-1,1,Holidays),$P64)))</f>
        <v/>
      </c>
      <c r="V64" s="22"/>
      <c r="W64" s="22"/>
      <c r="X64" s="22"/>
      <c r="Y64" s="23"/>
      <c r="Z64" s="20" t="str">
        <f>IF($A64="","",IF($Y64&lt;&gt;"",$Y64-$B64,ReportDate-$B64))</f>
        <v/>
      </c>
      <c r="AA64" s="20" t="str">
        <f>IF(OR($A64="",$W64="Closed"),"",$U64-ReportDate)</f>
        <v/>
      </c>
      <c r="AB64" s="20" t="str">
        <f>IF($A64="","",IF($W64="Closed",IF($Y64&lt;=$U64,"Closed on time","Closed late"),IF($W64="Awaiting ID","Paused",IF($AA64&lt;0,"Overdue",IF($AA64&lt;=RedDays,"Red",IF($AA64&lt;=AmberDays,"Amber","Green"))))))</f>
        <v/>
      </c>
      <c r="AC64" s="20" t="str">
        <f t="shared" si="3"/>
        <v/>
      </c>
      <c r="AD64" s="22"/>
      <c r="AE64" s="22"/>
      <c r="AF64" s="20" t="str">
        <f>IF($A64="","",IF(IF(OR($B64="",$C64="",$D64="",$V64="",$W64=""),"missing required field; ","")&amp;IF(COUNTIF($A$2:$A$201,$A64)&gt;1,"duplicate ID; ","")&amp;IF(AND($B64&lt;&gt;"",$B64&gt;ReportDate),"received after snapshot date; ","")&amp;IF(AND($I64&lt;&gt;"",$B64&lt;&gt;"",$I64&lt;$B64),"acknowledged before receipt; ","")&amp;IF(AND($K64="Y",$L64="",$W64&lt;&gt;"Logged"),"ID requested date missing; ","")&amp;IF(AND($L64&lt;&gt;"",$M64&lt;&gt;"",$M64&lt;$L64),"ID dates out of order; ","")&amp;IF(AND($K64&lt;&gt;"Y",OR($L64&lt;&gt;"",$W64="Awaiting ID")),"ID fields used but ID_Check_Needed is not Y; ","")&amp;IF(AND($R64="Y",$S64=""),"extension notice date missing; ","")&amp;IF(AND($R64&lt;&gt;"Y",$S64&lt;&gt;""),"notice date but Extended is not Y; ","")&amp;IF(AND($W64="Closed",$Y64=""),"closed without response date; ","")&amp;IF(AND($Y64&lt;&gt;"",$W64&lt;&gt;"Closed"),"response date but status not Closed; ","")&amp;IF(AND($Y64&lt;&gt;"",$B64&lt;&gt;"",$Y64&lt;$B64),"response before receipt; ","")&amp;IF(AND($AD64="Y",$AE64=""),"exemption needs a reason in Notes; ","")="","OK","Check: "&amp;IF(OR($B64="",$C64="",$D64="",$V64="",$W64=""),"missing required field; ","")&amp;IF(COUNTIF($A$2:$A$201,$A64)&gt;1,"duplicate ID; ","")&amp;IF(AND($B64&lt;&gt;"",$B64&gt;ReportDate),"received after snapshot date; ","")&amp;IF(AND($I64&lt;&gt;"",$B64&lt;&gt;"",$I64&lt;$B64),"acknowledged before receipt; ","")&amp;IF(AND($K64="Y",$L64="",$W64&lt;&gt;"Logged"),"ID requested date missing; ","")&amp;IF(AND($L64&lt;&gt;"",$M64&lt;&gt;"",$M64&lt;$L64),"ID dates out of order; ","")&amp;IF(AND($K64&lt;&gt;"Y",OR($L64&lt;&gt;"",$W64="Awaiting ID")),"ID fields used but ID_Check_Needed is not Y; ","")&amp;IF(AND($R64="Y",$S64=""),"extension notice date missing; ","")&amp;IF(AND($R64&lt;&gt;"Y",$S64&lt;&gt;""),"notice date but Extended is not Y; ","")&amp;IF(AND($W64="Closed",$Y64=""),"closed without response date; ","")&amp;IF(AND($Y64&lt;&gt;"",$W64&lt;&gt;"Closed"),"response date but status not Closed; ","")&amp;IF(AND($Y64&lt;&gt;"",$B64&lt;&gt;"",$Y64&lt;$B64),"response before receipt; ","")&amp;IF(AND($AD64="Y",$AE64=""),"exemption needs a reason in Notes; ","")))</f>
        <v/>
      </c>
    </row>
    <row r="65" spans="1:32" x14ac:dyDescent="0.35">
      <c r="A65" s="22"/>
      <c r="B65" s="23"/>
      <c r="C65" s="22"/>
      <c r="D65" s="22"/>
      <c r="E65" s="20" t="str">
        <f>IF($A65="","",IFERROR(VLOOKUP($D65,ReqTypes,2,FALSE),"?"))</f>
        <v/>
      </c>
      <c r="F65" s="20" t="str">
        <f>IF($A65="","",IFERROR(VLOOKUP($D65,ReqTypes,3,FALSE),"?"))</f>
        <v/>
      </c>
      <c r="G65" s="22"/>
      <c r="H65" s="22"/>
      <c r="I65" s="23"/>
      <c r="J65" s="20" t="str">
        <f>IF(OR($A65="",$I65=""),"",IF(NETWORKDAYS($B65,$I65,Holidays)-1&lt;=AckDays,"Y","N"))</f>
        <v/>
      </c>
      <c r="K65" s="22"/>
      <c r="L65" s="23"/>
      <c r="M65" s="23"/>
      <c r="N65" s="20" t="str">
        <f>IF(OR($A65="",$K65&lt;&gt;"Y"),"",IF($L65="","Pending",IF($L65-$B65&lt;=IDPromptDays,"Y","Check")))</f>
        <v/>
      </c>
      <c r="O65" s="20" t="str">
        <f>IF($A65="","",IF(OR($K65&lt;&gt;"Y",$L65=""),0,IF($M65="",MAX(0,ReportDate-$L65),$M65-$L65)))</f>
        <v/>
      </c>
      <c r="P65" s="21" t="str">
        <f>IF($A65="","",IF($F65&lt;&gt;"Y","n/a",WORKDAY(EDATE($B65,1)+$O65-1,1,Holidays)))</f>
        <v/>
      </c>
      <c r="Q65" s="21" t="str">
        <f>IF($A65="","",$B65+$O65+InternalDays)</f>
        <v/>
      </c>
      <c r="R65" s="22"/>
      <c r="S65" s="23"/>
      <c r="T65" s="20" t="str">
        <f t="shared" si="2"/>
        <v/>
      </c>
      <c r="U65" s="21" t="str">
        <f>IF($A65="","",IF($F65&lt;&gt;"Y",$Q65,IF(AND($R65="Y",$T65="Y"),WORKDAY(EDATE($B65,3)+$O65-1,1,Holidays),$P65)))</f>
        <v/>
      </c>
      <c r="V65" s="22"/>
      <c r="W65" s="22"/>
      <c r="X65" s="22"/>
      <c r="Y65" s="23"/>
      <c r="Z65" s="20" t="str">
        <f>IF($A65="","",IF($Y65&lt;&gt;"",$Y65-$B65,ReportDate-$B65))</f>
        <v/>
      </c>
      <c r="AA65" s="20" t="str">
        <f>IF(OR($A65="",$W65="Closed"),"",$U65-ReportDate)</f>
        <v/>
      </c>
      <c r="AB65" s="20" t="str">
        <f>IF($A65="","",IF($W65="Closed",IF($Y65&lt;=$U65,"Closed on time","Closed late"),IF($W65="Awaiting ID","Paused",IF($AA65&lt;0,"Overdue",IF($AA65&lt;=RedDays,"Red",IF($AA65&lt;=AmberDays,"Amber","Green"))))))</f>
        <v/>
      </c>
      <c r="AC65" s="20" t="str">
        <f t="shared" si="3"/>
        <v/>
      </c>
      <c r="AD65" s="22"/>
      <c r="AE65" s="22"/>
      <c r="AF65" s="20" t="str">
        <f>IF($A65="","",IF(IF(OR($B65="",$C65="",$D65="",$V65="",$W65=""),"missing required field; ","")&amp;IF(COUNTIF($A$2:$A$201,$A65)&gt;1,"duplicate ID; ","")&amp;IF(AND($B65&lt;&gt;"",$B65&gt;ReportDate),"received after snapshot date; ","")&amp;IF(AND($I65&lt;&gt;"",$B65&lt;&gt;"",$I65&lt;$B65),"acknowledged before receipt; ","")&amp;IF(AND($K65="Y",$L65="",$W65&lt;&gt;"Logged"),"ID requested date missing; ","")&amp;IF(AND($L65&lt;&gt;"",$M65&lt;&gt;"",$M65&lt;$L65),"ID dates out of order; ","")&amp;IF(AND($K65&lt;&gt;"Y",OR($L65&lt;&gt;"",$W65="Awaiting ID")),"ID fields used but ID_Check_Needed is not Y; ","")&amp;IF(AND($R65="Y",$S65=""),"extension notice date missing; ","")&amp;IF(AND($R65&lt;&gt;"Y",$S65&lt;&gt;""),"notice date but Extended is not Y; ","")&amp;IF(AND($W65="Closed",$Y65=""),"closed without response date; ","")&amp;IF(AND($Y65&lt;&gt;"",$W65&lt;&gt;"Closed"),"response date but status not Closed; ","")&amp;IF(AND($Y65&lt;&gt;"",$B65&lt;&gt;"",$Y65&lt;$B65),"response before receipt; ","")&amp;IF(AND($AD65="Y",$AE65=""),"exemption needs a reason in Notes; ","")="","OK","Check: "&amp;IF(OR($B65="",$C65="",$D65="",$V65="",$W65=""),"missing required field; ","")&amp;IF(COUNTIF($A$2:$A$201,$A65)&gt;1,"duplicate ID; ","")&amp;IF(AND($B65&lt;&gt;"",$B65&gt;ReportDate),"received after snapshot date; ","")&amp;IF(AND($I65&lt;&gt;"",$B65&lt;&gt;"",$I65&lt;$B65),"acknowledged before receipt; ","")&amp;IF(AND($K65="Y",$L65="",$W65&lt;&gt;"Logged"),"ID requested date missing; ","")&amp;IF(AND($L65&lt;&gt;"",$M65&lt;&gt;"",$M65&lt;$L65),"ID dates out of order; ","")&amp;IF(AND($K65&lt;&gt;"Y",OR($L65&lt;&gt;"",$W65="Awaiting ID")),"ID fields used but ID_Check_Needed is not Y; ","")&amp;IF(AND($R65="Y",$S65=""),"extension notice date missing; ","")&amp;IF(AND($R65&lt;&gt;"Y",$S65&lt;&gt;""),"notice date but Extended is not Y; ","")&amp;IF(AND($W65="Closed",$Y65=""),"closed without response date; ","")&amp;IF(AND($Y65&lt;&gt;"",$W65&lt;&gt;"Closed"),"response date but status not Closed; ","")&amp;IF(AND($Y65&lt;&gt;"",$B65&lt;&gt;"",$Y65&lt;$B65),"response before receipt; ","")&amp;IF(AND($AD65="Y",$AE65=""),"exemption needs a reason in Notes; ","")))</f>
        <v/>
      </c>
    </row>
    <row r="66" spans="1:32" x14ac:dyDescent="0.35">
      <c r="A66" s="22"/>
      <c r="B66" s="23"/>
      <c r="C66" s="22"/>
      <c r="D66" s="22"/>
      <c r="E66" s="20" t="str">
        <f>IF($A66="","",IFERROR(VLOOKUP($D66,ReqTypes,2,FALSE),"?"))</f>
        <v/>
      </c>
      <c r="F66" s="20" t="str">
        <f>IF($A66="","",IFERROR(VLOOKUP($D66,ReqTypes,3,FALSE),"?"))</f>
        <v/>
      </c>
      <c r="G66" s="22"/>
      <c r="H66" s="22"/>
      <c r="I66" s="23"/>
      <c r="J66" s="20" t="str">
        <f>IF(OR($A66="",$I66=""),"",IF(NETWORKDAYS($B66,$I66,Holidays)-1&lt;=AckDays,"Y","N"))</f>
        <v/>
      </c>
      <c r="K66" s="22"/>
      <c r="L66" s="23"/>
      <c r="M66" s="23"/>
      <c r="N66" s="20" t="str">
        <f>IF(OR($A66="",$K66&lt;&gt;"Y"),"",IF($L66="","Pending",IF($L66-$B66&lt;=IDPromptDays,"Y","Check")))</f>
        <v/>
      </c>
      <c r="O66" s="20" t="str">
        <f>IF($A66="","",IF(OR($K66&lt;&gt;"Y",$L66=""),0,IF($M66="",MAX(0,ReportDate-$L66),$M66-$L66)))</f>
        <v/>
      </c>
      <c r="P66" s="21" t="str">
        <f>IF($A66="","",IF($F66&lt;&gt;"Y","n/a",WORKDAY(EDATE($B66,1)+$O66-1,1,Holidays)))</f>
        <v/>
      </c>
      <c r="Q66" s="21" t="str">
        <f>IF($A66="","",$B66+$O66+InternalDays)</f>
        <v/>
      </c>
      <c r="R66" s="22"/>
      <c r="S66" s="23"/>
      <c r="T66" s="20" t="str">
        <f t="shared" ref="T66:T97" si="4">IF(OR($A66="",$R66&lt;&gt;"Y"),"",IF($S66="","Missing",IF(AND($F66="Y",$S66&lt;=$P66),"Y","Late")))</f>
        <v/>
      </c>
      <c r="U66" s="21" t="str">
        <f>IF($A66="","",IF($F66&lt;&gt;"Y",$Q66,IF(AND($R66="Y",$T66="Y"),WORKDAY(EDATE($B66,3)+$O66-1,1,Holidays),$P66)))</f>
        <v/>
      </c>
      <c r="V66" s="22"/>
      <c r="W66" s="22"/>
      <c r="X66" s="22"/>
      <c r="Y66" s="23"/>
      <c r="Z66" s="20" t="str">
        <f>IF($A66="","",IF($Y66&lt;&gt;"",$Y66-$B66,ReportDate-$B66))</f>
        <v/>
      </c>
      <c r="AA66" s="20" t="str">
        <f>IF(OR($A66="",$W66="Closed"),"",$U66-ReportDate)</f>
        <v/>
      </c>
      <c r="AB66" s="20" t="str">
        <f>IF($A66="","",IF($W66="Closed",IF($Y66&lt;=$U66,"Closed on time","Closed late"),IF($W66="Awaiting ID","Paused",IF($AA66&lt;0,"Overdue",IF($AA66&lt;=RedDays,"Red",IF($AA66&lt;=AmberDays,"Amber","Green"))))))</f>
        <v/>
      </c>
      <c r="AC66" s="20" t="str">
        <f t="shared" ref="AC66:AC97" si="5">IF(OR($A66="",$Y66=""),"",IF($Y66&lt;=$U66,"Y","N"))</f>
        <v/>
      </c>
      <c r="AD66" s="22"/>
      <c r="AE66" s="22"/>
      <c r="AF66" s="20" t="str">
        <f>IF($A66="","",IF(IF(OR($B66="",$C66="",$D66="",$V66="",$W66=""),"missing required field; ","")&amp;IF(COUNTIF($A$2:$A$201,$A66)&gt;1,"duplicate ID; ","")&amp;IF(AND($B66&lt;&gt;"",$B66&gt;ReportDate),"received after snapshot date; ","")&amp;IF(AND($I66&lt;&gt;"",$B66&lt;&gt;"",$I66&lt;$B66),"acknowledged before receipt; ","")&amp;IF(AND($K66="Y",$L66="",$W66&lt;&gt;"Logged"),"ID requested date missing; ","")&amp;IF(AND($L66&lt;&gt;"",$M66&lt;&gt;"",$M66&lt;$L66),"ID dates out of order; ","")&amp;IF(AND($K66&lt;&gt;"Y",OR($L66&lt;&gt;"",$W66="Awaiting ID")),"ID fields used but ID_Check_Needed is not Y; ","")&amp;IF(AND($R66="Y",$S66=""),"extension notice date missing; ","")&amp;IF(AND($R66&lt;&gt;"Y",$S66&lt;&gt;""),"notice date but Extended is not Y; ","")&amp;IF(AND($W66="Closed",$Y66=""),"closed without response date; ","")&amp;IF(AND($Y66&lt;&gt;"",$W66&lt;&gt;"Closed"),"response date but status not Closed; ","")&amp;IF(AND($Y66&lt;&gt;"",$B66&lt;&gt;"",$Y66&lt;$B66),"response before receipt; ","")&amp;IF(AND($AD66="Y",$AE66=""),"exemption needs a reason in Notes; ","")="","OK","Check: "&amp;IF(OR($B66="",$C66="",$D66="",$V66="",$W66=""),"missing required field; ","")&amp;IF(COUNTIF($A$2:$A$201,$A66)&gt;1,"duplicate ID; ","")&amp;IF(AND($B66&lt;&gt;"",$B66&gt;ReportDate),"received after snapshot date; ","")&amp;IF(AND($I66&lt;&gt;"",$B66&lt;&gt;"",$I66&lt;$B66),"acknowledged before receipt; ","")&amp;IF(AND($K66="Y",$L66="",$W66&lt;&gt;"Logged"),"ID requested date missing; ","")&amp;IF(AND($L66&lt;&gt;"",$M66&lt;&gt;"",$M66&lt;$L66),"ID dates out of order; ","")&amp;IF(AND($K66&lt;&gt;"Y",OR($L66&lt;&gt;"",$W66="Awaiting ID")),"ID fields used but ID_Check_Needed is not Y; ","")&amp;IF(AND($R66="Y",$S66=""),"extension notice date missing; ","")&amp;IF(AND($R66&lt;&gt;"Y",$S66&lt;&gt;""),"notice date but Extended is not Y; ","")&amp;IF(AND($W66="Closed",$Y66=""),"closed without response date; ","")&amp;IF(AND($Y66&lt;&gt;"",$W66&lt;&gt;"Closed"),"response date but status not Closed; ","")&amp;IF(AND($Y66&lt;&gt;"",$B66&lt;&gt;"",$Y66&lt;$B66),"response before receipt; ","")&amp;IF(AND($AD66="Y",$AE66=""),"exemption needs a reason in Notes; ","")))</f>
        <v/>
      </c>
    </row>
    <row r="67" spans="1:32" x14ac:dyDescent="0.35">
      <c r="A67" s="22"/>
      <c r="B67" s="23"/>
      <c r="C67" s="22"/>
      <c r="D67" s="22"/>
      <c r="E67" s="20" t="str">
        <f>IF($A67="","",IFERROR(VLOOKUP($D67,ReqTypes,2,FALSE),"?"))</f>
        <v/>
      </c>
      <c r="F67" s="20" t="str">
        <f>IF($A67="","",IFERROR(VLOOKUP($D67,ReqTypes,3,FALSE),"?"))</f>
        <v/>
      </c>
      <c r="G67" s="22"/>
      <c r="H67" s="22"/>
      <c r="I67" s="23"/>
      <c r="J67" s="20" t="str">
        <f>IF(OR($A67="",$I67=""),"",IF(NETWORKDAYS($B67,$I67,Holidays)-1&lt;=AckDays,"Y","N"))</f>
        <v/>
      </c>
      <c r="K67" s="22"/>
      <c r="L67" s="23"/>
      <c r="M67" s="23"/>
      <c r="N67" s="20" t="str">
        <f>IF(OR($A67="",$K67&lt;&gt;"Y"),"",IF($L67="","Pending",IF($L67-$B67&lt;=IDPromptDays,"Y","Check")))</f>
        <v/>
      </c>
      <c r="O67" s="20" t="str">
        <f>IF($A67="","",IF(OR($K67&lt;&gt;"Y",$L67=""),0,IF($M67="",MAX(0,ReportDate-$L67),$M67-$L67)))</f>
        <v/>
      </c>
      <c r="P67" s="21" t="str">
        <f>IF($A67="","",IF($F67&lt;&gt;"Y","n/a",WORKDAY(EDATE($B67,1)+$O67-1,1,Holidays)))</f>
        <v/>
      </c>
      <c r="Q67" s="21" t="str">
        <f>IF($A67="","",$B67+$O67+InternalDays)</f>
        <v/>
      </c>
      <c r="R67" s="22"/>
      <c r="S67" s="23"/>
      <c r="T67" s="20" t="str">
        <f t="shared" si="4"/>
        <v/>
      </c>
      <c r="U67" s="21" t="str">
        <f>IF($A67="","",IF($F67&lt;&gt;"Y",$Q67,IF(AND($R67="Y",$T67="Y"),WORKDAY(EDATE($B67,3)+$O67-1,1,Holidays),$P67)))</f>
        <v/>
      </c>
      <c r="V67" s="22"/>
      <c r="W67" s="22"/>
      <c r="X67" s="22"/>
      <c r="Y67" s="23"/>
      <c r="Z67" s="20" t="str">
        <f>IF($A67="","",IF($Y67&lt;&gt;"",$Y67-$B67,ReportDate-$B67))</f>
        <v/>
      </c>
      <c r="AA67" s="20" t="str">
        <f>IF(OR($A67="",$W67="Closed"),"",$U67-ReportDate)</f>
        <v/>
      </c>
      <c r="AB67" s="20" t="str">
        <f>IF($A67="","",IF($W67="Closed",IF($Y67&lt;=$U67,"Closed on time","Closed late"),IF($W67="Awaiting ID","Paused",IF($AA67&lt;0,"Overdue",IF($AA67&lt;=RedDays,"Red",IF($AA67&lt;=AmberDays,"Amber","Green"))))))</f>
        <v/>
      </c>
      <c r="AC67" s="20" t="str">
        <f t="shared" si="5"/>
        <v/>
      </c>
      <c r="AD67" s="22"/>
      <c r="AE67" s="22"/>
      <c r="AF67" s="20" t="str">
        <f>IF($A67="","",IF(IF(OR($B67="",$C67="",$D67="",$V67="",$W67=""),"missing required field; ","")&amp;IF(COUNTIF($A$2:$A$201,$A67)&gt;1,"duplicate ID; ","")&amp;IF(AND($B67&lt;&gt;"",$B67&gt;ReportDate),"received after snapshot date; ","")&amp;IF(AND($I67&lt;&gt;"",$B67&lt;&gt;"",$I67&lt;$B67),"acknowledged before receipt; ","")&amp;IF(AND($K67="Y",$L67="",$W67&lt;&gt;"Logged"),"ID requested date missing; ","")&amp;IF(AND($L67&lt;&gt;"",$M67&lt;&gt;"",$M67&lt;$L67),"ID dates out of order; ","")&amp;IF(AND($K67&lt;&gt;"Y",OR($L67&lt;&gt;"",$W67="Awaiting ID")),"ID fields used but ID_Check_Needed is not Y; ","")&amp;IF(AND($R67="Y",$S67=""),"extension notice date missing; ","")&amp;IF(AND($R67&lt;&gt;"Y",$S67&lt;&gt;""),"notice date but Extended is not Y; ","")&amp;IF(AND($W67="Closed",$Y67=""),"closed without response date; ","")&amp;IF(AND($Y67&lt;&gt;"",$W67&lt;&gt;"Closed"),"response date but status not Closed; ","")&amp;IF(AND($Y67&lt;&gt;"",$B67&lt;&gt;"",$Y67&lt;$B67),"response before receipt; ","")&amp;IF(AND($AD67="Y",$AE67=""),"exemption needs a reason in Notes; ","")="","OK","Check: "&amp;IF(OR($B67="",$C67="",$D67="",$V67="",$W67=""),"missing required field; ","")&amp;IF(COUNTIF($A$2:$A$201,$A67)&gt;1,"duplicate ID; ","")&amp;IF(AND($B67&lt;&gt;"",$B67&gt;ReportDate),"received after snapshot date; ","")&amp;IF(AND($I67&lt;&gt;"",$B67&lt;&gt;"",$I67&lt;$B67),"acknowledged before receipt; ","")&amp;IF(AND($K67="Y",$L67="",$W67&lt;&gt;"Logged"),"ID requested date missing; ","")&amp;IF(AND($L67&lt;&gt;"",$M67&lt;&gt;"",$M67&lt;$L67),"ID dates out of order; ","")&amp;IF(AND($K67&lt;&gt;"Y",OR($L67&lt;&gt;"",$W67="Awaiting ID")),"ID fields used but ID_Check_Needed is not Y; ","")&amp;IF(AND($R67="Y",$S67=""),"extension notice date missing; ","")&amp;IF(AND($R67&lt;&gt;"Y",$S67&lt;&gt;""),"notice date but Extended is not Y; ","")&amp;IF(AND($W67="Closed",$Y67=""),"closed without response date; ","")&amp;IF(AND($Y67&lt;&gt;"",$W67&lt;&gt;"Closed"),"response date but status not Closed; ","")&amp;IF(AND($Y67&lt;&gt;"",$B67&lt;&gt;"",$Y67&lt;$B67),"response before receipt; ","")&amp;IF(AND($AD67="Y",$AE67=""),"exemption needs a reason in Notes; ","")))</f>
        <v/>
      </c>
    </row>
    <row r="68" spans="1:32" x14ac:dyDescent="0.35">
      <c r="A68" s="22"/>
      <c r="B68" s="23"/>
      <c r="C68" s="22"/>
      <c r="D68" s="22"/>
      <c r="E68" s="20" t="str">
        <f>IF($A68="","",IFERROR(VLOOKUP($D68,ReqTypes,2,FALSE),"?"))</f>
        <v/>
      </c>
      <c r="F68" s="20" t="str">
        <f>IF($A68="","",IFERROR(VLOOKUP($D68,ReqTypes,3,FALSE),"?"))</f>
        <v/>
      </c>
      <c r="G68" s="22"/>
      <c r="H68" s="22"/>
      <c r="I68" s="23"/>
      <c r="J68" s="20" t="str">
        <f>IF(OR($A68="",$I68=""),"",IF(NETWORKDAYS($B68,$I68,Holidays)-1&lt;=AckDays,"Y","N"))</f>
        <v/>
      </c>
      <c r="K68" s="22"/>
      <c r="L68" s="23"/>
      <c r="M68" s="23"/>
      <c r="N68" s="20" t="str">
        <f>IF(OR($A68="",$K68&lt;&gt;"Y"),"",IF($L68="","Pending",IF($L68-$B68&lt;=IDPromptDays,"Y","Check")))</f>
        <v/>
      </c>
      <c r="O68" s="20" t="str">
        <f>IF($A68="","",IF(OR($K68&lt;&gt;"Y",$L68=""),0,IF($M68="",MAX(0,ReportDate-$L68),$M68-$L68)))</f>
        <v/>
      </c>
      <c r="P68" s="21" t="str">
        <f>IF($A68="","",IF($F68&lt;&gt;"Y","n/a",WORKDAY(EDATE($B68,1)+$O68-1,1,Holidays)))</f>
        <v/>
      </c>
      <c r="Q68" s="21" t="str">
        <f>IF($A68="","",$B68+$O68+InternalDays)</f>
        <v/>
      </c>
      <c r="R68" s="22"/>
      <c r="S68" s="23"/>
      <c r="T68" s="20" t="str">
        <f t="shared" si="4"/>
        <v/>
      </c>
      <c r="U68" s="21" t="str">
        <f>IF($A68="","",IF($F68&lt;&gt;"Y",$Q68,IF(AND($R68="Y",$T68="Y"),WORKDAY(EDATE($B68,3)+$O68-1,1,Holidays),$P68)))</f>
        <v/>
      </c>
      <c r="V68" s="22"/>
      <c r="W68" s="22"/>
      <c r="X68" s="22"/>
      <c r="Y68" s="23"/>
      <c r="Z68" s="20" t="str">
        <f>IF($A68="","",IF($Y68&lt;&gt;"",$Y68-$B68,ReportDate-$B68))</f>
        <v/>
      </c>
      <c r="AA68" s="20" t="str">
        <f>IF(OR($A68="",$W68="Closed"),"",$U68-ReportDate)</f>
        <v/>
      </c>
      <c r="AB68" s="20" t="str">
        <f>IF($A68="","",IF($W68="Closed",IF($Y68&lt;=$U68,"Closed on time","Closed late"),IF($W68="Awaiting ID","Paused",IF($AA68&lt;0,"Overdue",IF($AA68&lt;=RedDays,"Red",IF($AA68&lt;=AmberDays,"Amber","Green"))))))</f>
        <v/>
      </c>
      <c r="AC68" s="20" t="str">
        <f t="shared" si="5"/>
        <v/>
      </c>
      <c r="AD68" s="22"/>
      <c r="AE68" s="22"/>
      <c r="AF68" s="20" t="str">
        <f>IF($A68="","",IF(IF(OR($B68="",$C68="",$D68="",$V68="",$W68=""),"missing required field; ","")&amp;IF(COUNTIF($A$2:$A$201,$A68)&gt;1,"duplicate ID; ","")&amp;IF(AND($B68&lt;&gt;"",$B68&gt;ReportDate),"received after snapshot date; ","")&amp;IF(AND($I68&lt;&gt;"",$B68&lt;&gt;"",$I68&lt;$B68),"acknowledged before receipt; ","")&amp;IF(AND($K68="Y",$L68="",$W68&lt;&gt;"Logged"),"ID requested date missing; ","")&amp;IF(AND($L68&lt;&gt;"",$M68&lt;&gt;"",$M68&lt;$L68),"ID dates out of order; ","")&amp;IF(AND($K68&lt;&gt;"Y",OR($L68&lt;&gt;"",$W68="Awaiting ID")),"ID fields used but ID_Check_Needed is not Y; ","")&amp;IF(AND($R68="Y",$S68=""),"extension notice date missing; ","")&amp;IF(AND($R68&lt;&gt;"Y",$S68&lt;&gt;""),"notice date but Extended is not Y; ","")&amp;IF(AND($W68="Closed",$Y68=""),"closed without response date; ","")&amp;IF(AND($Y68&lt;&gt;"",$W68&lt;&gt;"Closed"),"response date but status not Closed; ","")&amp;IF(AND($Y68&lt;&gt;"",$B68&lt;&gt;"",$Y68&lt;$B68),"response before receipt; ","")&amp;IF(AND($AD68="Y",$AE68=""),"exemption needs a reason in Notes; ","")="","OK","Check: "&amp;IF(OR($B68="",$C68="",$D68="",$V68="",$W68=""),"missing required field; ","")&amp;IF(COUNTIF($A$2:$A$201,$A68)&gt;1,"duplicate ID; ","")&amp;IF(AND($B68&lt;&gt;"",$B68&gt;ReportDate),"received after snapshot date; ","")&amp;IF(AND($I68&lt;&gt;"",$B68&lt;&gt;"",$I68&lt;$B68),"acknowledged before receipt; ","")&amp;IF(AND($K68="Y",$L68="",$W68&lt;&gt;"Logged"),"ID requested date missing; ","")&amp;IF(AND($L68&lt;&gt;"",$M68&lt;&gt;"",$M68&lt;$L68),"ID dates out of order; ","")&amp;IF(AND($K68&lt;&gt;"Y",OR($L68&lt;&gt;"",$W68="Awaiting ID")),"ID fields used but ID_Check_Needed is not Y; ","")&amp;IF(AND($R68="Y",$S68=""),"extension notice date missing; ","")&amp;IF(AND($R68&lt;&gt;"Y",$S68&lt;&gt;""),"notice date but Extended is not Y; ","")&amp;IF(AND($W68="Closed",$Y68=""),"closed without response date; ","")&amp;IF(AND($Y68&lt;&gt;"",$W68&lt;&gt;"Closed"),"response date but status not Closed; ","")&amp;IF(AND($Y68&lt;&gt;"",$B68&lt;&gt;"",$Y68&lt;$B68),"response before receipt; ","")&amp;IF(AND($AD68="Y",$AE68=""),"exemption needs a reason in Notes; ","")))</f>
        <v/>
      </c>
    </row>
    <row r="69" spans="1:32" x14ac:dyDescent="0.35">
      <c r="A69" s="22"/>
      <c r="B69" s="23"/>
      <c r="C69" s="22"/>
      <c r="D69" s="22"/>
      <c r="E69" s="20" t="str">
        <f>IF($A69="","",IFERROR(VLOOKUP($D69,ReqTypes,2,FALSE),"?"))</f>
        <v/>
      </c>
      <c r="F69" s="20" t="str">
        <f>IF($A69="","",IFERROR(VLOOKUP($D69,ReqTypes,3,FALSE),"?"))</f>
        <v/>
      </c>
      <c r="G69" s="22"/>
      <c r="H69" s="22"/>
      <c r="I69" s="23"/>
      <c r="J69" s="20" t="str">
        <f>IF(OR($A69="",$I69=""),"",IF(NETWORKDAYS($B69,$I69,Holidays)-1&lt;=AckDays,"Y","N"))</f>
        <v/>
      </c>
      <c r="K69" s="22"/>
      <c r="L69" s="23"/>
      <c r="M69" s="23"/>
      <c r="N69" s="20" t="str">
        <f>IF(OR($A69="",$K69&lt;&gt;"Y"),"",IF($L69="","Pending",IF($L69-$B69&lt;=IDPromptDays,"Y","Check")))</f>
        <v/>
      </c>
      <c r="O69" s="20" t="str">
        <f>IF($A69="","",IF(OR($K69&lt;&gt;"Y",$L69=""),0,IF($M69="",MAX(0,ReportDate-$L69),$M69-$L69)))</f>
        <v/>
      </c>
      <c r="P69" s="21" t="str">
        <f>IF($A69="","",IF($F69&lt;&gt;"Y","n/a",WORKDAY(EDATE($B69,1)+$O69-1,1,Holidays)))</f>
        <v/>
      </c>
      <c r="Q69" s="21" t="str">
        <f>IF($A69="","",$B69+$O69+InternalDays)</f>
        <v/>
      </c>
      <c r="R69" s="22"/>
      <c r="S69" s="23"/>
      <c r="T69" s="20" t="str">
        <f t="shared" si="4"/>
        <v/>
      </c>
      <c r="U69" s="21" t="str">
        <f>IF($A69="","",IF($F69&lt;&gt;"Y",$Q69,IF(AND($R69="Y",$T69="Y"),WORKDAY(EDATE($B69,3)+$O69-1,1,Holidays),$P69)))</f>
        <v/>
      </c>
      <c r="V69" s="22"/>
      <c r="W69" s="22"/>
      <c r="X69" s="22"/>
      <c r="Y69" s="23"/>
      <c r="Z69" s="20" t="str">
        <f>IF($A69="","",IF($Y69&lt;&gt;"",$Y69-$B69,ReportDate-$B69))</f>
        <v/>
      </c>
      <c r="AA69" s="20" t="str">
        <f>IF(OR($A69="",$W69="Closed"),"",$U69-ReportDate)</f>
        <v/>
      </c>
      <c r="AB69" s="20" t="str">
        <f>IF($A69="","",IF($W69="Closed",IF($Y69&lt;=$U69,"Closed on time","Closed late"),IF($W69="Awaiting ID","Paused",IF($AA69&lt;0,"Overdue",IF($AA69&lt;=RedDays,"Red",IF($AA69&lt;=AmberDays,"Amber","Green"))))))</f>
        <v/>
      </c>
      <c r="AC69" s="20" t="str">
        <f t="shared" si="5"/>
        <v/>
      </c>
      <c r="AD69" s="22"/>
      <c r="AE69" s="22"/>
      <c r="AF69" s="20" t="str">
        <f>IF($A69="","",IF(IF(OR($B69="",$C69="",$D69="",$V69="",$W69=""),"missing required field; ","")&amp;IF(COUNTIF($A$2:$A$201,$A69)&gt;1,"duplicate ID; ","")&amp;IF(AND($B69&lt;&gt;"",$B69&gt;ReportDate),"received after snapshot date; ","")&amp;IF(AND($I69&lt;&gt;"",$B69&lt;&gt;"",$I69&lt;$B69),"acknowledged before receipt; ","")&amp;IF(AND($K69="Y",$L69="",$W69&lt;&gt;"Logged"),"ID requested date missing; ","")&amp;IF(AND($L69&lt;&gt;"",$M69&lt;&gt;"",$M69&lt;$L69),"ID dates out of order; ","")&amp;IF(AND($K69&lt;&gt;"Y",OR($L69&lt;&gt;"",$W69="Awaiting ID")),"ID fields used but ID_Check_Needed is not Y; ","")&amp;IF(AND($R69="Y",$S69=""),"extension notice date missing; ","")&amp;IF(AND($R69&lt;&gt;"Y",$S69&lt;&gt;""),"notice date but Extended is not Y; ","")&amp;IF(AND($W69="Closed",$Y69=""),"closed without response date; ","")&amp;IF(AND($Y69&lt;&gt;"",$W69&lt;&gt;"Closed"),"response date but status not Closed; ","")&amp;IF(AND($Y69&lt;&gt;"",$B69&lt;&gt;"",$Y69&lt;$B69),"response before receipt; ","")&amp;IF(AND($AD69="Y",$AE69=""),"exemption needs a reason in Notes; ","")="","OK","Check: "&amp;IF(OR($B69="",$C69="",$D69="",$V69="",$W69=""),"missing required field; ","")&amp;IF(COUNTIF($A$2:$A$201,$A69)&gt;1,"duplicate ID; ","")&amp;IF(AND($B69&lt;&gt;"",$B69&gt;ReportDate),"received after snapshot date; ","")&amp;IF(AND($I69&lt;&gt;"",$B69&lt;&gt;"",$I69&lt;$B69),"acknowledged before receipt; ","")&amp;IF(AND($K69="Y",$L69="",$W69&lt;&gt;"Logged"),"ID requested date missing; ","")&amp;IF(AND($L69&lt;&gt;"",$M69&lt;&gt;"",$M69&lt;$L69),"ID dates out of order; ","")&amp;IF(AND($K69&lt;&gt;"Y",OR($L69&lt;&gt;"",$W69="Awaiting ID")),"ID fields used but ID_Check_Needed is not Y; ","")&amp;IF(AND($R69="Y",$S69=""),"extension notice date missing; ","")&amp;IF(AND($R69&lt;&gt;"Y",$S69&lt;&gt;""),"notice date but Extended is not Y; ","")&amp;IF(AND($W69="Closed",$Y69=""),"closed without response date; ","")&amp;IF(AND($Y69&lt;&gt;"",$W69&lt;&gt;"Closed"),"response date but status not Closed; ","")&amp;IF(AND($Y69&lt;&gt;"",$B69&lt;&gt;"",$Y69&lt;$B69),"response before receipt; ","")&amp;IF(AND($AD69="Y",$AE69=""),"exemption needs a reason in Notes; ","")))</f>
        <v/>
      </c>
    </row>
    <row r="70" spans="1:32" x14ac:dyDescent="0.35">
      <c r="A70" s="22"/>
      <c r="B70" s="23"/>
      <c r="C70" s="22"/>
      <c r="D70" s="22"/>
      <c r="E70" s="20" t="str">
        <f>IF($A70="","",IFERROR(VLOOKUP($D70,ReqTypes,2,FALSE),"?"))</f>
        <v/>
      </c>
      <c r="F70" s="20" t="str">
        <f>IF($A70="","",IFERROR(VLOOKUP($D70,ReqTypes,3,FALSE),"?"))</f>
        <v/>
      </c>
      <c r="G70" s="22"/>
      <c r="H70" s="22"/>
      <c r="I70" s="23"/>
      <c r="J70" s="20" t="str">
        <f>IF(OR($A70="",$I70=""),"",IF(NETWORKDAYS($B70,$I70,Holidays)-1&lt;=AckDays,"Y","N"))</f>
        <v/>
      </c>
      <c r="K70" s="22"/>
      <c r="L70" s="23"/>
      <c r="M70" s="23"/>
      <c r="N70" s="20" t="str">
        <f>IF(OR($A70="",$K70&lt;&gt;"Y"),"",IF($L70="","Pending",IF($L70-$B70&lt;=IDPromptDays,"Y","Check")))</f>
        <v/>
      </c>
      <c r="O70" s="20" t="str">
        <f>IF($A70="","",IF(OR($K70&lt;&gt;"Y",$L70=""),0,IF($M70="",MAX(0,ReportDate-$L70),$M70-$L70)))</f>
        <v/>
      </c>
      <c r="P70" s="21" t="str">
        <f>IF($A70="","",IF($F70&lt;&gt;"Y","n/a",WORKDAY(EDATE($B70,1)+$O70-1,1,Holidays)))</f>
        <v/>
      </c>
      <c r="Q70" s="21" t="str">
        <f>IF($A70="","",$B70+$O70+InternalDays)</f>
        <v/>
      </c>
      <c r="R70" s="22"/>
      <c r="S70" s="23"/>
      <c r="T70" s="20" t="str">
        <f t="shared" si="4"/>
        <v/>
      </c>
      <c r="U70" s="21" t="str">
        <f>IF($A70="","",IF($F70&lt;&gt;"Y",$Q70,IF(AND($R70="Y",$T70="Y"),WORKDAY(EDATE($B70,3)+$O70-1,1,Holidays),$P70)))</f>
        <v/>
      </c>
      <c r="V70" s="22"/>
      <c r="W70" s="22"/>
      <c r="X70" s="22"/>
      <c r="Y70" s="23"/>
      <c r="Z70" s="20" t="str">
        <f>IF($A70="","",IF($Y70&lt;&gt;"",$Y70-$B70,ReportDate-$B70))</f>
        <v/>
      </c>
      <c r="AA70" s="20" t="str">
        <f>IF(OR($A70="",$W70="Closed"),"",$U70-ReportDate)</f>
        <v/>
      </c>
      <c r="AB70" s="20" t="str">
        <f>IF($A70="","",IF($W70="Closed",IF($Y70&lt;=$U70,"Closed on time","Closed late"),IF($W70="Awaiting ID","Paused",IF($AA70&lt;0,"Overdue",IF($AA70&lt;=RedDays,"Red",IF($AA70&lt;=AmberDays,"Amber","Green"))))))</f>
        <v/>
      </c>
      <c r="AC70" s="20" t="str">
        <f t="shared" si="5"/>
        <v/>
      </c>
      <c r="AD70" s="22"/>
      <c r="AE70" s="22"/>
      <c r="AF70" s="20" t="str">
        <f>IF($A70="","",IF(IF(OR($B70="",$C70="",$D70="",$V70="",$W70=""),"missing required field; ","")&amp;IF(COUNTIF($A$2:$A$201,$A70)&gt;1,"duplicate ID; ","")&amp;IF(AND($B70&lt;&gt;"",$B70&gt;ReportDate),"received after snapshot date; ","")&amp;IF(AND($I70&lt;&gt;"",$B70&lt;&gt;"",$I70&lt;$B70),"acknowledged before receipt; ","")&amp;IF(AND($K70="Y",$L70="",$W70&lt;&gt;"Logged"),"ID requested date missing; ","")&amp;IF(AND($L70&lt;&gt;"",$M70&lt;&gt;"",$M70&lt;$L70),"ID dates out of order; ","")&amp;IF(AND($K70&lt;&gt;"Y",OR($L70&lt;&gt;"",$W70="Awaiting ID")),"ID fields used but ID_Check_Needed is not Y; ","")&amp;IF(AND($R70="Y",$S70=""),"extension notice date missing; ","")&amp;IF(AND($R70&lt;&gt;"Y",$S70&lt;&gt;""),"notice date but Extended is not Y; ","")&amp;IF(AND($W70="Closed",$Y70=""),"closed without response date; ","")&amp;IF(AND($Y70&lt;&gt;"",$W70&lt;&gt;"Closed"),"response date but status not Closed; ","")&amp;IF(AND($Y70&lt;&gt;"",$B70&lt;&gt;"",$Y70&lt;$B70),"response before receipt; ","")&amp;IF(AND($AD70="Y",$AE70=""),"exemption needs a reason in Notes; ","")="","OK","Check: "&amp;IF(OR($B70="",$C70="",$D70="",$V70="",$W70=""),"missing required field; ","")&amp;IF(COUNTIF($A$2:$A$201,$A70)&gt;1,"duplicate ID; ","")&amp;IF(AND($B70&lt;&gt;"",$B70&gt;ReportDate),"received after snapshot date; ","")&amp;IF(AND($I70&lt;&gt;"",$B70&lt;&gt;"",$I70&lt;$B70),"acknowledged before receipt; ","")&amp;IF(AND($K70="Y",$L70="",$W70&lt;&gt;"Logged"),"ID requested date missing; ","")&amp;IF(AND($L70&lt;&gt;"",$M70&lt;&gt;"",$M70&lt;$L70),"ID dates out of order; ","")&amp;IF(AND($K70&lt;&gt;"Y",OR($L70&lt;&gt;"",$W70="Awaiting ID")),"ID fields used but ID_Check_Needed is not Y; ","")&amp;IF(AND($R70="Y",$S70=""),"extension notice date missing; ","")&amp;IF(AND($R70&lt;&gt;"Y",$S70&lt;&gt;""),"notice date but Extended is not Y; ","")&amp;IF(AND($W70="Closed",$Y70=""),"closed without response date; ","")&amp;IF(AND($Y70&lt;&gt;"",$W70&lt;&gt;"Closed"),"response date but status not Closed; ","")&amp;IF(AND($Y70&lt;&gt;"",$B70&lt;&gt;"",$Y70&lt;$B70),"response before receipt; ","")&amp;IF(AND($AD70="Y",$AE70=""),"exemption needs a reason in Notes; ","")))</f>
        <v/>
      </c>
    </row>
    <row r="71" spans="1:32" x14ac:dyDescent="0.35">
      <c r="A71" s="22"/>
      <c r="B71" s="23"/>
      <c r="C71" s="22"/>
      <c r="D71" s="22"/>
      <c r="E71" s="20" t="str">
        <f>IF($A71="","",IFERROR(VLOOKUP($D71,ReqTypes,2,FALSE),"?"))</f>
        <v/>
      </c>
      <c r="F71" s="20" t="str">
        <f>IF($A71="","",IFERROR(VLOOKUP($D71,ReqTypes,3,FALSE),"?"))</f>
        <v/>
      </c>
      <c r="G71" s="22"/>
      <c r="H71" s="22"/>
      <c r="I71" s="23"/>
      <c r="J71" s="20" t="str">
        <f>IF(OR($A71="",$I71=""),"",IF(NETWORKDAYS($B71,$I71,Holidays)-1&lt;=AckDays,"Y","N"))</f>
        <v/>
      </c>
      <c r="K71" s="22"/>
      <c r="L71" s="23"/>
      <c r="M71" s="23"/>
      <c r="N71" s="20" t="str">
        <f>IF(OR($A71="",$K71&lt;&gt;"Y"),"",IF($L71="","Pending",IF($L71-$B71&lt;=IDPromptDays,"Y","Check")))</f>
        <v/>
      </c>
      <c r="O71" s="20" t="str">
        <f>IF($A71="","",IF(OR($K71&lt;&gt;"Y",$L71=""),0,IF($M71="",MAX(0,ReportDate-$L71),$M71-$L71)))</f>
        <v/>
      </c>
      <c r="P71" s="21" t="str">
        <f>IF($A71="","",IF($F71&lt;&gt;"Y","n/a",WORKDAY(EDATE($B71,1)+$O71-1,1,Holidays)))</f>
        <v/>
      </c>
      <c r="Q71" s="21" t="str">
        <f>IF($A71="","",$B71+$O71+InternalDays)</f>
        <v/>
      </c>
      <c r="R71" s="22"/>
      <c r="S71" s="23"/>
      <c r="T71" s="20" t="str">
        <f t="shared" si="4"/>
        <v/>
      </c>
      <c r="U71" s="21" t="str">
        <f>IF($A71="","",IF($F71&lt;&gt;"Y",$Q71,IF(AND($R71="Y",$T71="Y"),WORKDAY(EDATE($B71,3)+$O71-1,1,Holidays),$P71)))</f>
        <v/>
      </c>
      <c r="V71" s="22"/>
      <c r="W71" s="22"/>
      <c r="X71" s="22"/>
      <c r="Y71" s="23"/>
      <c r="Z71" s="20" t="str">
        <f>IF($A71="","",IF($Y71&lt;&gt;"",$Y71-$B71,ReportDate-$B71))</f>
        <v/>
      </c>
      <c r="AA71" s="20" t="str">
        <f>IF(OR($A71="",$W71="Closed"),"",$U71-ReportDate)</f>
        <v/>
      </c>
      <c r="AB71" s="20" t="str">
        <f>IF($A71="","",IF($W71="Closed",IF($Y71&lt;=$U71,"Closed on time","Closed late"),IF($W71="Awaiting ID","Paused",IF($AA71&lt;0,"Overdue",IF($AA71&lt;=RedDays,"Red",IF($AA71&lt;=AmberDays,"Amber","Green"))))))</f>
        <v/>
      </c>
      <c r="AC71" s="20" t="str">
        <f t="shared" si="5"/>
        <v/>
      </c>
      <c r="AD71" s="22"/>
      <c r="AE71" s="22"/>
      <c r="AF71" s="20" t="str">
        <f>IF($A71="","",IF(IF(OR($B71="",$C71="",$D71="",$V71="",$W71=""),"missing required field; ","")&amp;IF(COUNTIF($A$2:$A$201,$A71)&gt;1,"duplicate ID; ","")&amp;IF(AND($B71&lt;&gt;"",$B71&gt;ReportDate),"received after snapshot date; ","")&amp;IF(AND($I71&lt;&gt;"",$B71&lt;&gt;"",$I71&lt;$B71),"acknowledged before receipt; ","")&amp;IF(AND($K71="Y",$L71="",$W71&lt;&gt;"Logged"),"ID requested date missing; ","")&amp;IF(AND($L71&lt;&gt;"",$M71&lt;&gt;"",$M71&lt;$L71),"ID dates out of order; ","")&amp;IF(AND($K71&lt;&gt;"Y",OR($L71&lt;&gt;"",$W71="Awaiting ID")),"ID fields used but ID_Check_Needed is not Y; ","")&amp;IF(AND($R71="Y",$S71=""),"extension notice date missing; ","")&amp;IF(AND($R71&lt;&gt;"Y",$S71&lt;&gt;""),"notice date but Extended is not Y; ","")&amp;IF(AND($W71="Closed",$Y71=""),"closed without response date; ","")&amp;IF(AND($Y71&lt;&gt;"",$W71&lt;&gt;"Closed"),"response date but status not Closed; ","")&amp;IF(AND($Y71&lt;&gt;"",$B71&lt;&gt;"",$Y71&lt;$B71),"response before receipt; ","")&amp;IF(AND($AD71="Y",$AE71=""),"exemption needs a reason in Notes; ","")="","OK","Check: "&amp;IF(OR($B71="",$C71="",$D71="",$V71="",$W71=""),"missing required field; ","")&amp;IF(COUNTIF($A$2:$A$201,$A71)&gt;1,"duplicate ID; ","")&amp;IF(AND($B71&lt;&gt;"",$B71&gt;ReportDate),"received after snapshot date; ","")&amp;IF(AND($I71&lt;&gt;"",$B71&lt;&gt;"",$I71&lt;$B71),"acknowledged before receipt; ","")&amp;IF(AND($K71="Y",$L71="",$W71&lt;&gt;"Logged"),"ID requested date missing; ","")&amp;IF(AND($L71&lt;&gt;"",$M71&lt;&gt;"",$M71&lt;$L71),"ID dates out of order; ","")&amp;IF(AND($K71&lt;&gt;"Y",OR($L71&lt;&gt;"",$W71="Awaiting ID")),"ID fields used but ID_Check_Needed is not Y; ","")&amp;IF(AND($R71="Y",$S71=""),"extension notice date missing; ","")&amp;IF(AND($R71&lt;&gt;"Y",$S71&lt;&gt;""),"notice date but Extended is not Y; ","")&amp;IF(AND($W71="Closed",$Y71=""),"closed without response date; ","")&amp;IF(AND($Y71&lt;&gt;"",$W71&lt;&gt;"Closed"),"response date but status not Closed; ","")&amp;IF(AND($Y71&lt;&gt;"",$B71&lt;&gt;"",$Y71&lt;$B71),"response before receipt; ","")&amp;IF(AND($AD71="Y",$AE71=""),"exemption needs a reason in Notes; ","")))</f>
        <v/>
      </c>
    </row>
    <row r="72" spans="1:32" x14ac:dyDescent="0.35">
      <c r="A72" s="22"/>
      <c r="B72" s="23"/>
      <c r="C72" s="22"/>
      <c r="D72" s="22"/>
      <c r="E72" s="20" t="str">
        <f>IF($A72="","",IFERROR(VLOOKUP($D72,ReqTypes,2,FALSE),"?"))</f>
        <v/>
      </c>
      <c r="F72" s="20" t="str">
        <f>IF($A72="","",IFERROR(VLOOKUP($D72,ReqTypes,3,FALSE),"?"))</f>
        <v/>
      </c>
      <c r="G72" s="22"/>
      <c r="H72" s="22"/>
      <c r="I72" s="23"/>
      <c r="J72" s="20" t="str">
        <f>IF(OR($A72="",$I72=""),"",IF(NETWORKDAYS($B72,$I72,Holidays)-1&lt;=AckDays,"Y","N"))</f>
        <v/>
      </c>
      <c r="K72" s="22"/>
      <c r="L72" s="23"/>
      <c r="M72" s="23"/>
      <c r="N72" s="20" t="str">
        <f>IF(OR($A72="",$K72&lt;&gt;"Y"),"",IF($L72="","Pending",IF($L72-$B72&lt;=IDPromptDays,"Y","Check")))</f>
        <v/>
      </c>
      <c r="O72" s="20" t="str">
        <f>IF($A72="","",IF(OR($K72&lt;&gt;"Y",$L72=""),0,IF($M72="",MAX(0,ReportDate-$L72),$M72-$L72)))</f>
        <v/>
      </c>
      <c r="P72" s="21" t="str">
        <f>IF($A72="","",IF($F72&lt;&gt;"Y","n/a",WORKDAY(EDATE($B72,1)+$O72-1,1,Holidays)))</f>
        <v/>
      </c>
      <c r="Q72" s="21" t="str">
        <f>IF($A72="","",$B72+$O72+InternalDays)</f>
        <v/>
      </c>
      <c r="R72" s="22"/>
      <c r="S72" s="23"/>
      <c r="T72" s="20" t="str">
        <f t="shared" si="4"/>
        <v/>
      </c>
      <c r="U72" s="21" t="str">
        <f>IF($A72="","",IF($F72&lt;&gt;"Y",$Q72,IF(AND($R72="Y",$T72="Y"),WORKDAY(EDATE($B72,3)+$O72-1,1,Holidays),$P72)))</f>
        <v/>
      </c>
      <c r="V72" s="22"/>
      <c r="W72" s="22"/>
      <c r="X72" s="22"/>
      <c r="Y72" s="23"/>
      <c r="Z72" s="20" t="str">
        <f>IF($A72="","",IF($Y72&lt;&gt;"",$Y72-$B72,ReportDate-$B72))</f>
        <v/>
      </c>
      <c r="AA72" s="20" t="str">
        <f>IF(OR($A72="",$W72="Closed"),"",$U72-ReportDate)</f>
        <v/>
      </c>
      <c r="AB72" s="20" t="str">
        <f>IF($A72="","",IF($W72="Closed",IF($Y72&lt;=$U72,"Closed on time","Closed late"),IF($W72="Awaiting ID","Paused",IF($AA72&lt;0,"Overdue",IF($AA72&lt;=RedDays,"Red",IF($AA72&lt;=AmberDays,"Amber","Green"))))))</f>
        <v/>
      </c>
      <c r="AC72" s="20" t="str">
        <f t="shared" si="5"/>
        <v/>
      </c>
      <c r="AD72" s="22"/>
      <c r="AE72" s="22"/>
      <c r="AF72" s="20" t="str">
        <f>IF($A72="","",IF(IF(OR($B72="",$C72="",$D72="",$V72="",$W72=""),"missing required field; ","")&amp;IF(COUNTIF($A$2:$A$201,$A72)&gt;1,"duplicate ID; ","")&amp;IF(AND($B72&lt;&gt;"",$B72&gt;ReportDate),"received after snapshot date; ","")&amp;IF(AND($I72&lt;&gt;"",$B72&lt;&gt;"",$I72&lt;$B72),"acknowledged before receipt; ","")&amp;IF(AND($K72="Y",$L72="",$W72&lt;&gt;"Logged"),"ID requested date missing; ","")&amp;IF(AND($L72&lt;&gt;"",$M72&lt;&gt;"",$M72&lt;$L72),"ID dates out of order; ","")&amp;IF(AND($K72&lt;&gt;"Y",OR($L72&lt;&gt;"",$W72="Awaiting ID")),"ID fields used but ID_Check_Needed is not Y; ","")&amp;IF(AND($R72="Y",$S72=""),"extension notice date missing; ","")&amp;IF(AND($R72&lt;&gt;"Y",$S72&lt;&gt;""),"notice date but Extended is not Y; ","")&amp;IF(AND($W72="Closed",$Y72=""),"closed without response date; ","")&amp;IF(AND($Y72&lt;&gt;"",$W72&lt;&gt;"Closed"),"response date but status not Closed; ","")&amp;IF(AND($Y72&lt;&gt;"",$B72&lt;&gt;"",$Y72&lt;$B72),"response before receipt; ","")&amp;IF(AND($AD72="Y",$AE72=""),"exemption needs a reason in Notes; ","")="","OK","Check: "&amp;IF(OR($B72="",$C72="",$D72="",$V72="",$W72=""),"missing required field; ","")&amp;IF(COUNTIF($A$2:$A$201,$A72)&gt;1,"duplicate ID; ","")&amp;IF(AND($B72&lt;&gt;"",$B72&gt;ReportDate),"received after snapshot date; ","")&amp;IF(AND($I72&lt;&gt;"",$B72&lt;&gt;"",$I72&lt;$B72),"acknowledged before receipt; ","")&amp;IF(AND($K72="Y",$L72="",$W72&lt;&gt;"Logged"),"ID requested date missing; ","")&amp;IF(AND($L72&lt;&gt;"",$M72&lt;&gt;"",$M72&lt;$L72),"ID dates out of order; ","")&amp;IF(AND($K72&lt;&gt;"Y",OR($L72&lt;&gt;"",$W72="Awaiting ID")),"ID fields used but ID_Check_Needed is not Y; ","")&amp;IF(AND($R72="Y",$S72=""),"extension notice date missing; ","")&amp;IF(AND($R72&lt;&gt;"Y",$S72&lt;&gt;""),"notice date but Extended is not Y; ","")&amp;IF(AND($W72="Closed",$Y72=""),"closed without response date; ","")&amp;IF(AND($Y72&lt;&gt;"",$W72&lt;&gt;"Closed"),"response date but status not Closed; ","")&amp;IF(AND($Y72&lt;&gt;"",$B72&lt;&gt;"",$Y72&lt;$B72),"response before receipt; ","")&amp;IF(AND($AD72="Y",$AE72=""),"exemption needs a reason in Notes; ","")))</f>
        <v/>
      </c>
    </row>
    <row r="73" spans="1:32" x14ac:dyDescent="0.35">
      <c r="A73" s="22"/>
      <c r="B73" s="23"/>
      <c r="C73" s="22"/>
      <c r="D73" s="22"/>
      <c r="E73" s="20" t="str">
        <f>IF($A73="","",IFERROR(VLOOKUP($D73,ReqTypes,2,FALSE),"?"))</f>
        <v/>
      </c>
      <c r="F73" s="20" t="str">
        <f>IF($A73="","",IFERROR(VLOOKUP($D73,ReqTypes,3,FALSE),"?"))</f>
        <v/>
      </c>
      <c r="G73" s="22"/>
      <c r="H73" s="22"/>
      <c r="I73" s="23"/>
      <c r="J73" s="20" t="str">
        <f>IF(OR($A73="",$I73=""),"",IF(NETWORKDAYS($B73,$I73,Holidays)-1&lt;=AckDays,"Y","N"))</f>
        <v/>
      </c>
      <c r="K73" s="22"/>
      <c r="L73" s="23"/>
      <c r="M73" s="23"/>
      <c r="N73" s="20" t="str">
        <f>IF(OR($A73="",$K73&lt;&gt;"Y"),"",IF($L73="","Pending",IF($L73-$B73&lt;=IDPromptDays,"Y","Check")))</f>
        <v/>
      </c>
      <c r="O73" s="20" t="str">
        <f>IF($A73="","",IF(OR($K73&lt;&gt;"Y",$L73=""),0,IF($M73="",MAX(0,ReportDate-$L73),$M73-$L73)))</f>
        <v/>
      </c>
      <c r="P73" s="21" t="str">
        <f>IF($A73="","",IF($F73&lt;&gt;"Y","n/a",WORKDAY(EDATE($B73,1)+$O73-1,1,Holidays)))</f>
        <v/>
      </c>
      <c r="Q73" s="21" t="str">
        <f>IF($A73="","",$B73+$O73+InternalDays)</f>
        <v/>
      </c>
      <c r="R73" s="22"/>
      <c r="S73" s="23"/>
      <c r="T73" s="20" t="str">
        <f t="shared" si="4"/>
        <v/>
      </c>
      <c r="U73" s="21" t="str">
        <f>IF($A73="","",IF($F73&lt;&gt;"Y",$Q73,IF(AND($R73="Y",$T73="Y"),WORKDAY(EDATE($B73,3)+$O73-1,1,Holidays),$P73)))</f>
        <v/>
      </c>
      <c r="V73" s="22"/>
      <c r="W73" s="22"/>
      <c r="X73" s="22"/>
      <c r="Y73" s="23"/>
      <c r="Z73" s="20" t="str">
        <f>IF($A73="","",IF($Y73&lt;&gt;"",$Y73-$B73,ReportDate-$B73))</f>
        <v/>
      </c>
      <c r="AA73" s="20" t="str">
        <f>IF(OR($A73="",$W73="Closed"),"",$U73-ReportDate)</f>
        <v/>
      </c>
      <c r="AB73" s="20" t="str">
        <f>IF($A73="","",IF($W73="Closed",IF($Y73&lt;=$U73,"Closed on time","Closed late"),IF($W73="Awaiting ID","Paused",IF($AA73&lt;0,"Overdue",IF($AA73&lt;=RedDays,"Red",IF($AA73&lt;=AmberDays,"Amber","Green"))))))</f>
        <v/>
      </c>
      <c r="AC73" s="20" t="str">
        <f t="shared" si="5"/>
        <v/>
      </c>
      <c r="AD73" s="22"/>
      <c r="AE73" s="22"/>
      <c r="AF73" s="20" t="str">
        <f>IF($A73="","",IF(IF(OR($B73="",$C73="",$D73="",$V73="",$W73=""),"missing required field; ","")&amp;IF(COUNTIF($A$2:$A$201,$A73)&gt;1,"duplicate ID; ","")&amp;IF(AND($B73&lt;&gt;"",$B73&gt;ReportDate),"received after snapshot date; ","")&amp;IF(AND($I73&lt;&gt;"",$B73&lt;&gt;"",$I73&lt;$B73),"acknowledged before receipt; ","")&amp;IF(AND($K73="Y",$L73="",$W73&lt;&gt;"Logged"),"ID requested date missing; ","")&amp;IF(AND($L73&lt;&gt;"",$M73&lt;&gt;"",$M73&lt;$L73),"ID dates out of order; ","")&amp;IF(AND($K73&lt;&gt;"Y",OR($L73&lt;&gt;"",$W73="Awaiting ID")),"ID fields used but ID_Check_Needed is not Y; ","")&amp;IF(AND($R73="Y",$S73=""),"extension notice date missing; ","")&amp;IF(AND($R73&lt;&gt;"Y",$S73&lt;&gt;""),"notice date but Extended is not Y; ","")&amp;IF(AND($W73="Closed",$Y73=""),"closed without response date; ","")&amp;IF(AND($Y73&lt;&gt;"",$W73&lt;&gt;"Closed"),"response date but status not Closed; ","")&amp;IF(AND($Y73&lt;&gt;"",$B73&lt;&gt;"",$Y73&lt;$B73),"response before receipt; ","")&amp;IF(AND($AD73="Y",$AE73=""),"exemption needs a reason in Notes; ","")="","OK","Check: "&amp;IF(OR($B73="",$C73="",$D73="",$V73="",$W73=""),"missing required field; ","")&amp;IF(COUNTIF($A$2:$A$201,$A73)&gt;1,"duplicate ID; ","")&amp;IF(AND($B73&lt;&gt;"",$B73&gt;ReportDate),"received after snapshot date; ","")&amp;IF(AND($I73&lt;&gt;"",$B73&lt;&gt;"",$I73&lt;$B73),"acknowledged before receipt; ","")&amp;IF(AND($K73="Y",$L73="",$W73&lt;&gt;"Logged"),"ID requested date missing; ","")&amp;IF(AND($L73&lt;&gt;"",$M73&lt;&gt;"",$M73&lt;$L73),"ID dates out of order; ","")&amp;IF(AND($K73&lt;&gt;"Y",OR($L73&lt;&gt;"",$W73="Awaiting ID")),"ID fields used but ID_Check_Needed is not Y; ","")&amp;IF(AND($R73="Y",$S73=""),"extension notice date missing; ","")&amp;IF(AND($R73&lt;&gt;"Y",$S73&lt;&gt;""),"notice date but Extended is not Y; ","")&amp;IF(AND($W73="Closed",$Y73=""),"closed without response date; ","")&amp;IF(AND($Y73&lt;&gt;"",$W73&lt;&gt;"Closed"),"response date but status not Closed; ","")&amp;IF(AND($Y73&lt;&gt;"",$B73&lt;&gt;"",$Y73&lt;$B73),"response before receipt; ","")&amp;IF(AND($AD73="Y",$AE73=""),"exemption needs a reason in Notes; ","")))</f>
        <v/>
      </c>
    </row>
    <row r="74" spans="1:32" x14ac:dyDescent="0.35">
      <c r="A74" s="22"/>
      <c r="B74" s="23"/>
      <c r="C74" s="22"/>
      <c r="D74" s="22"/>
      <c r="E74" s="20" t="str">
        <f>IF($A74="","",IFERROR(VLOOKUP($D74,ReqTypes,2,FALSE),"?"))</f>
        <v/>
      </c>
      <c r="F74" s="20" t="str">
        <f>IF($A74="","",IFERROR(VLOOKUP($D74,ReqTypes,3,FALSE),"?"))</f>
        <v/>
      </c>
      <c r="G74" s="22"/>
      <c r="H74" s="22"/>
      <c r="I74" s="23"/>
      <c r="J74" s="20" t="str">
        <f>IF(OR($A74="",$I74=""),"",IF(NETWORKDAYS($B74,$I74,Holidays)-1&lt;=AckDays,"Y","N"))</f>
        <v/>
      </c>
      <c r="K74" s="22"/>
      <c r="L74" s="23"/>
      <c r="M74" s="23"/>
      <c r="N74" s="20" t="str">
        <f>IF(OR($A74="",$K74&lt;&gt;"Y"),"",IF($L74="","Pending",IF($L74-$B74&lt;=IDPromptDays,"Y","Check")))</f>
        <v/>
      </c>
      <c r="O74" s="20" t="str">
        <f>IF($A74="","",IF(OR($K74&lt;&gt;"Y",$L74=""),0,IF($M74="",MAX(0,ReportDate-$L74),$M74-$L74)))</f>
        <v/>
      </c>
      <c r="P74" s="21" t="str">
        <f>IF($A74="","",IF($F74&lt;&gt;"Y","n/a",WORKDAY(EDATE($B74,1)+$O74-1,1,Holidays)))</f>
        <v/>
      </c>
      <c r="Q74" s="21" t="str">
        <f>IF($A74="","",$B74+$O74+InternalDays)</f>
        <v/>
      </c>
      <c r="R74" s="22"/>
      <c r="S74" s="23"/>
      <c r="T74" s="20" t="str">
        <f t="shared" si="4"/>
        <v/>
      </c>
      <c r="U74" s="21" t="str">
        <f>IF($A74="","",IF($F74&lt;&gt;"Y",$Q74,IF(AND($R74="Y",$T74="Y"),WORKDAY(EDATE($B74,3)+$O74-1,1,Holidays),$P74)))</f>
        <v/>
      </c>
      <c r="V74" s="22"/>
      <c r="W74" s="22"/>
      <c r="X74" s="22"/>
      <c r="Y74" s="23"/>
      <c r="Z74" s="20" t="str">
        <f>IF($A74="","",IF($Y74&lt;&gt;"",$Y74-$B74,ReportDate-$B74))</f>
        <v/>
      </c>
      <c r="AA74" s="20" t="str">
        <f>IF(OR($A74="",$W74="Closed"),"",$U74-ReportDate)</f>
        <v/>
      </c>
      <c r="AB74" s="20" t="str">
        <f>IF($A74="","",IF($W74="Closed",IF($Y74&lt;=$U74,"Closed on time","Closed late"),IF($W74="Awaiting ID","Paused",IF($AA74&lt;0,"Overdue",IF($AA74&lt;=RedDays,"Red",IF($AA74&lt;=AmberDays,"Amber","Green"))))))</f>
        <v/>
      </c>
      <c r="AC74" s="20" t="str">
        <f t="shared" si="5"/>
        <v/>
      </c>
      <c r="AD74" s="22"/>
      <c r="AE74" s="22"/>
      <c r="AF74" s="20" t="str">
        <f>IF($A74="","",IF(IF(OR($B74="",$C74="",$D74="",$V74="",$W74=""),"missing required field; ","")&amp;IF(COUNTIF($A$2:$A$201,$A74)&gt;1,"duplicate ID; ","")&amp;IF(AND($B74&lt;&gt;"",$B74&gt;ReportDate),"received after snapshot date; ","")&amp;IF(AND($I74&lt;&gt;"",$B74&lt;&gt;"",$I74&lt;$B74),"acknowledged before receipt; ","")&amp;IF(AND($K74="Y",$L74="",$W74&lt;&gt;"Logged"),"ID requested date missing; ","")&amp;IF(AND($L74&lt;&gt;"",$M74&lt;&gt;"",$M74&lt;$L74),"ID dates out of order; ","")&amp;IF(AND($K74&lt;&gt;"Y",OR($L74&lt;&gt;"",$W74="Awaiting ID")),"ID fields used but ID_Check_Needed is not Y; ","")&amp;IF(AND($R74="Y",$S74=""),"extension notice date missing; ","")&amp;IF(AND($R74&lt;&gt;"Y",$S74&lt;&gt;""),"notice date but Extended is not Y; ","")&amp;IF(AND($W74="Closed",$Y74=""),"closed without response date; ","")&amp;IF(AND($Y74&lt;&gt;"",$W74&lt;&gt;"Closed"),"response date but status not Closed; ","")&amp;IF(AND($Y74&lt;&gt;"",$B74&lt;&gt;"",$Y74&lt;$B74),"response before receipt; ","")&amp;IF(AND($AD74="Y",$AE74=""),"exemption needs a reason in Notes; ","")="","OK","Check: "&amp;IF(OR($B74="",$C74="",$D74="",$V74="",$W74=""),"missing required field; ","")&amp;IF(COUNTIF($A$2:$A$201,$A74)&gt;1,"duplicate ID; ","")&amp;IF(AND($B74&lt;&gt;"",$B74&gt;ReportDate),"received after snapshot date; ","")&amp;IF(AND($I74&lt;&gt;"",$B74&lt;&gt;"",$I74&lt;$B74),"acknowledged before receipt; ","")&amp;IF(AND($K74="Y",$L74="",$W74&lt;&gt;"Logged"),"ID requested date missing; ","")&amp;IF(AND($L74&lt;&gt;"",$M74&lt;&gt;"",$M74&lt;$L74),"ID dates out of order; ","")&amp;IF(AND($K74&lt;&gt;"Y",OR($L74&lt;&gt;"",$W74="Awaiting ID")),"ID fields used but ID_Check_Needed is not Y; ","")&amp;IF(AND($R74="Y",$S74=""),"extension notice date missing; ","")&amp;IF(AND($R74&lt;&gt;"Y",$S74&lt;&gt;""),"notice date but Extended is not Y; ","")&amp;IF(AND($W74="Closed",$Y74=""),"closed without response date; ","")&amp;IF(AND($Y74&lt;&gt;"",$W74&lt;&gt;"Closed"),"response date but status not Closed; ","")&amp;IF(AND($Y74&lt;&gt;"",$B74&lt;&gt;"",$Y74&lt;$B74),"response before receipt; ","")&amp;IF(AND($AD74="Y",$AE74=""),"exemption needs a reason in Notes; ","")))</f>
        <v/>
      </c>
    </row>
    <row r="75" spans="1:32" x14ac:dyDescent="0.35">
      <c r="A75" s="22"/>
      <c r="B75" s="23"/>
      <c r="C75" s="22"/>
      <c r="D75" s="22"/>
      <c r="E75" s="20" t="str">
        <f>IF($A75="","",IFERROR(VLOOKUP($D75,ReqTypes,2,FALSE),"?"))</f>
        <v/>
      </c>
      <c r="F75" s="20" t="str">
        <f>IF($A75="","",IFERROR(VLOOKUP($D75,ReqTypes,3,FALSE),"?"))</f>
        <v/>
      </c>
      <c r="G75" s="22"/>
      <c r="H75" s="22"/>
      <c r="I75" s="23"/>
      <c r="J75" s="20" t="str">
        <f>IF(OR($A75="",$I75=""),"",IF(NETWORKDAYS($B75,$I75,Holidays)-1&lt;=AckDays,"Y","N"))</f>
        <v/>
      </c>
      <c r="K75" s="22"/>
      <c r="L75" s="23"/>
      <c r="M75" s="23"/>
      <c r="N75" s="20" t="str">
        <f>IF(OR($A75="",$K75&lt;&gt;"Y"),"",IF($L75="","Pending",IF($L75-$B75&lt;=IDPromptDays,"Y","Check")))</f>
        <v/>
      </c>
      <c r="O75" s="20" t="str">
        <f>IF($A75="","",IF(OR($K75&lt;&gt;"Y",$L75=""),0,IF($M75="",MAX(0,ReportDate-$L75),$M75-$L75)))</f>
        <v/>
      </c>
      <c r="P75" s="21" t="str">
        <f>IF($A75="","",IF($F75&lt;&gt;"Y","n/a",WORKDAY(EDATE($B75,1)+$O75-1,1,Holidays)))</f>
        <v/>
      </c>
      <c r="Q75" s="21" t="str">
        <f>IF($A75="","",$B75+$O75+InternalDays)</f>
        <v/>
      </c>
      <c r="R75" s="22"/>
      <c r="S75" s="23"/>
      <c r="T75" s="20" t="str">
        <f t="shared" si="4"/>
        <v/>
      </c>
      <c r="U75" s="21" t="str">
        <f>IF($A75="","",IF($F75&lt;&gt;"Y",$Q75,IF(AND($R75="Y",$T75="Y"),WORKDAY(EDATE($B75,3)+$O75-1,1,Holidays),$P75)))</f>
        <v/>
      </c>
      <c r="V75" s="22"/>
      <c r="W75" s="22"/>
      <c r="X75" s="22"/>
      <c r="Y75" s="23"/>
      <c r="Z75" s="20" t="str">
        <f>IF($A75="","",IF($Y75&lt;&gt;"",$Y75-$B75,ReportDate-$B75))</f>
        <v/>
      </c>
      <c r="AA75" s="20" t="str">
        <f>IF(OR($A75="",$W75="Closed"),"",$U75-ReportDate)</f>
        <v/>
      </c>
      <c r="AB75" s="20" t="str">
        <f>IF($A75="","",IF($W75="Closed",IF($Y75&lt;=$U75,"Closed on time","Closed late"),IF($W75="Awaiting ID","Paused",IF($AA75&lt;0,"Overdue",IF($AA75&lt;=RedDays,"Red",IF($AA75&lt;=AmberDays,"Amber","Green"))))))</f>
        <v/>
      </c>
      <c r="AC75" s="20" t="str">
        <f t="shared" si="5"/>
        <v/>
      </c>
      <c r="AD75" s="22"/>
      <c r="AE75" s="22"/>
      <c r="AF75" s="20" t="str">
        <f>IF($A75="","",IF(IF(OR($B75="",$C75="",$D75="",$V75="",$W75=""),"missing required field; ","")&amp;IF(COUNTIF($A$2:$A$201,$A75)&gt;1,"duplicate ID; ","")&amp;IF(AND($B75&lt;&gt;"",$B75&gt;ReportDate),"received after snapshot date; ","")&amp;IF(AND($I75&lt;&gt;"",$B75&lt;&gt;"",$I75&lt;$B75),"acknowledged before receipt; ","")&amp;IF(AND($K75="Y",$L75="",$W75&lt;&gt;"Logged"),"ID requested date missing; ","")&amp;IF(AND($L75&lt;&gt;"",$M75&lt;&gt;"",$M75&lt;$L75),"ID dates out of order; ","")&amp;IF(AND($K75&lt;&gt;"Y",OR($L75&lt;&gt;"",$W75="Awaiting ID")),"ID fields used but ID_Check_Needed is not Y; ","")&amp;IF(AND($R75="Y",$S75=""),"extension notice date missing; ","")&amp;IF(AND($R75&lt;&gt;"Y",$S75&lt;&gt;""),"notice date but Extended is not Y; ","")&amp;IF(AND($W75="Closed",$Y75=""),"closed without response date; ","")&amp;IF(AND($Y75&lt;&gt;"",$W75&lt;&gt;"Closed"),"response date but status not Closed; ","")&amp;IF(AND($Y75&lt;&gt;"",$B75&lt;&gt;"",$Y75&lt;$B75),"response before receipt; ","")&amp;IF(AND($AD75="Y",$AE75=""),"exemption needs a reason in Notes; ","")="","OK","Check: "&amp;IF(OR($B75="",$C75="",$D75="",$V75="",$W75=""),"missing required field; ","")&amp;IF(COUNTIF($A$2:$A$201,$A75)&gt;1,"duplicate ID; ","")&amp;IF(AND($B75&lt;&gt;"",$B75&gt;ReportDate),"received after snapshot date; ","")&amp;IF(AND($I75&lt;&gt;"",$B75&lt;&gt;"",$I75&lt;$B75),"acknowledged before receipt; ","")&amp;IF(AND($K75="Y",$L75="",$W75&lt;&gt;"Logged"),"ID requested date missing; ","")&amp;IF(AND($L75&lt;&gt;"",$M75&lt;&gt;"",$M75&lt;$L75),"ID dates out of order; ","")&amp;IF(AND($K75&lt;&gt;"Y",OR($L75&lt;&gt;"",$W75="Awaiting ID")),"ID fields used but ID_Check_Needed is not Y; ","")&amp;IF(AND($R75="Y",$S75=""),"extension notice date missing; ","")&amp;IF(AND($R75&lt;&gt;"Y",$S75&lt;&gt;""),"notice date but Extended is not Y; ","")&amp;IF(AND($W75="Closed",$Y75=""),"closed without response date; ","")&amp;IF(AND($Y75&lt;&gt;"",$W75&lt;&gt;"Closed"),"response date but status not Closed; ","")&amp;IF(AND($Y75&lt;&gt;"",$B75&lt;&gt;"",$Y75&lt;$B75),"response before receipt; ","")&amp;IF(AND($AD75="Y",$AE75=""),"exemption needs a reason in Notes; ","")))</f>
        <v/>
      </c>
    </row>
    <row r="76" spans="1:32" x14ac:dyDescent="0.35">
      <c r="A76" s="22"/>
      <c r="B76" s="23"/>
      <c r="C76" s="22"/>
      <c r="D76" s="22"/>
      <c r="E76" s="20" t="str">
        <f>IF($A76="","",IFERROR(VLOOKUP($D76,ReqTypes,2,FALSE),"?"))</f>
        <v/>
      </c>
      <c r="F76" s="20" t="str">
        <f>IF($A76="","",IFERROR(VLOOKUP($D76,ReqTypes,3,FALSE),"?"))</f>
        <v/>
      </c>
      <c r="G76" s="22"/>
      <c r="H76" s="22"/>
      <c r="I76" s="23"/>
      <c r="J76" s="20" t="str">
        <f>IF(OR($A76="",$I76=""),"",IF(NETWORKDAYS($B76,$I76,Holidays)-1&lt;=AckDays,"Y","N"))</f>
        <v/>
      </c>
      <c r="K76" s="22"/>
      <c r="L76" s="23"/>
      <c r="M76" s="23"/>
      <c r="N76" s="20" t="str">
        <f>IF(OR($A76="",$K76&lt;&gt;"Y"),"",IF($L76="","Pending",IF($L76-$B76&lt;=IDPromptDays,"Y","Check")))</f>
        <v/>
      </c>
      <c r="O76" s="20" t="str">
        <f>IF($A76="","",IF(OR($K76&lt;&gt;"Y",$L76=""),0,IF($M76="",MAX(0,ReportDate-$L76),$M76-$L76)))</f>
        <v/>
      </c>
      <c r="P76" s="21" t="str">
        <f>IF($A76="","",IF($F76&lt;&gt;"Y","n/a",WORKDAY(EDATE($B76,1)+$O76-1,1,Holidays)))</f>
        <v/>
      </c>
      <c r="Q76" s="21" t="str">
        <f>IF($A76="","",$B76+$O76+InternalDays)</f>
        <v/>
      </c>
      <c r="R76" s="22"/>
      <c r="S76" s="23"/>
      <c r="T76" s="20" t="str">
        <f t="shared" si="4"/>
        <v/>
      </c>
      <c r="U76" s="21" t="str">
        <f>IF($A76="","",IF($F76&lt;&gt;"Y",$Q76,IF(AND($R76="Y",$T76="Y"),WORKDAY(EDATE($B76,3)+$O76-1,1,Holidays),$P76)))</f>
        <v/>
      </c>
      <c r="V76" s="22"/>
      <c r="W76" s="22"/>
      <c r="X76" s="22"/>
      <c r="Y76" s="23"/>
      <c r="Z76" s="20" t="str">
        <f>IF($A76="","",IF($Y76&lt;&gt;"",$Y76-$B76,ReportDate-$B76))</f>
        <v/>
      </c>
      <c r="AA76" s="20" t="str">
        <f>IF(OR($A76="",$W76="Closed"),"",$U76-ReportDate)</f>
        <v/>
      </c>
      <c r="AB76" s="20" t="str">
        <f>IF($A76="","",IF($W76="Closed",IF($Y76&lt;=$U76,"Closed on time","Closed late"),IF($W76="Awaiting ID","Paused",IF($AA76&lt;0,"Overdue",IF($AA76&lt;=RedDays,"Red",IF($AA76&lt;=AmberDays,"Amber","Green"))))))</f>
        <v/>
      </c>
      <c r="AC76" s="20" t="str">
        <f t="shared" si="5"/>
        <v/>
      </c>
      <c r="AD76" s="22"/>
      <c r="AE76" s="22"/>
      <c r="AF76" s="20" t="str">
        <f>IF($A76="","",IF(IF(OR($B76="",$C76="",$D76="",$V76="",$W76=""),"missing required field; ","")&amp;IF(COUNTIF($A$2:$A$201,$A76)&gt;1,"duplicate ID; ","")&amp;IF(AND($B76&lt;&gt;"",$B76&gt;ReportDate),"received after snapshot date; ","")&amp;IF(AND($I76&lt;&gt;"",$B76&lt;&gt;"",$I76&lt;$B76),"acknowledged before receipt; ","")&amp;IF(AND($K76="Y",$L76="",$W76&lt;&gt;"Logged"),"ID requested date missing; ","")&amp;IF(AND($L76&lt;&gt;"",$M76&lt;&gt;"",$M76&lt;$L76),"ID dates out of order; ","")&amp;IF(AND($K76&lt;&gt;"Y",OR($L76&lt;&gt;"",$W76="Awaiting ID")),"ID fields used but ID_Check_Needed is not Y; ","")&amp;IF(AND($R76="Y",$S76=""),"extension notice date missing; ","")&amp;IF(AND($R76&lt;&gt;"Y",$S76&lt;&gt;""),"notice date but Extended is not Y; ","")&amp;IF(AND($W76="Closed",$Y76=""),"closed without response date; ","")&amp;IF(AND($Y76&lt;&gt;"",$W76&lt;&gt;"Closed"),"response date but status not Closed; ","")&amp;IF(AND($Y76&lt;&gt;"",$B76&lt;&gt;"",$Y76&lt;$B76),"response before receipt; ","")&amp;IF(AND($AD76="Y",$AE76=""),"exemption needs a reason in Notes; ","")="","OK","Check: "&amp;IF(OR($B76="",$C76="",$D76="",$V76="",$W76=""),"missing required field; ","")&amp;IF(COUNTIF($A$2:$A$201,$A76)&gt;1,"duplicate ID; ","")&amp;IF(AND($B76&lt;&gt;"",$B76&gt;ReportDate),"received after snapshot date; ","")&amp;IF(AND($I76&lt;&gt;"",$B76&lt;&gt;"",$I76&lt;$B76),"acknowledged before receipt; ","")&amp;IF(AND($K76="Y",$L76="",$W76&lt;&gt;"Logged"),"ID requested date missing; ","")&amp;IF(AND($L76&lt;&gt;"",$M76&lt;&gt;"",$M76&lt;$L76),"ID dates out of order; ","")&amp;IF(AND($K76&lt;&gt;"Y",OR($L76&lt;&gt;"",$W76="Awaiting ID")),"ID fields used but ID_Check_Needed is not Y; ","")&amp;IF(AND($R76="Y",$S76=""),"extension notice date missing; ","")&amp;IF(AND($R76&lt;&gt;"Y",$S76&lt;&gt;""),"notice date but Extended is not Y; ","")&amp;IF(AND($W76="Closed",$Y76=""),"closed without response date; ","")&amp;IF(AND($Y76&lt;&gt;"",$W76&lt;&gt;"Closed"),"response date but status not Closed; ","")&amp;IF(AND($Y76&lt;&gt;"",$B76&lt;&gt;"",$Y76&lt;$B76),"response before receipt; ","")&amp;IF(AND($AD76="Y",$AE76=""),"exemption needs a reason in Notes; ","")))</f>
        <v/>
      </c>
    </row>
    <row r="77" spans="1:32" x14ac:dyDescent="0.35">
      <c r="A77" s="22"/>
      <c r="B77" s="23"/>
      <c r="C77" s="22"/>
      <c r="D77" s="22"/>
      <c r="E77" s="20" t="str">
        <f>IF($A77="","",IFERROR(VLOOKUP($D77,ReqTypes,2,FALSE),"?"))</f>
        <v/>
      </c>
      <c r="F77" s="20" t="str">
        <f>IF($A77="","",IFERROR(VLOOKUP($D77,ReqTypes,3,FALSE),"?"))</f>
        <v/>
      </c>
      <c r="G77" s="22"/>
      <c r="H77" s="22"/>
      <c r="I77" s="23"/>
      <c r="J77" s="20" t="str">
        <f>IF(OR($A77="",$I77=""),"",IF(NETWORKDAYS($B77,$I77,Holidays)-1&lt;=AckDays,"Y","N"))</f>
        <v/>
      </c>
      <c r="K77" s="22"/>
      <c r="L77" s="23"/>
      <c r="M77" s="23"/>
      <c r="N77" s="20" t="str">
        <f>IF(OR($A77="",$K77&lt;&gt;"Y"),"",IF($L77="","Pending",IF($L77-$B77&lt;=IDPromptDays,"Y","Check")))</f>
        <v/>
      </c>
      <c r="O77" s="20" t="str">
        <f>IF($A77="","",IF(OR($K77&lt;&gt;"Y",$L77=""),0,IF($M77="",MAX(0,ReportDate-$L77),$M77-$L77)))</f>
        <v/>
      </c>
      <c r="P77" s="21" t="str">
        <f>IF($A77="","",IF($F77&lt;&gt;"Y","n/a",WORKDAY(EDATE($B77,1)+$O77-1,1,Holidays)))</f>
        <v/>
      </c>
      <c r="Q77" s="21" t="str">
        <f>IF($A77="","",$B77+$O77+InternalDays)</f>
        <v/>
      </c>
      <c r="R77" s="22"/>
      <c r="S77" s="23"/>
      <c r="T77" s="20" t="str">
        <f t="shared" si="4"/>
        <v/>
      </c>
      <c r="U77" s="21" t="str">
        <f>IF($A77="","",IF($F77&lt;&gt;"Y",$Q77,IF(AND($R77="Y",$T77="Y"),WORKDAY(EDATE($B77,3)+$O77-1,1,Holidays),$P77)))</f>
        <v/>
      </c>
      <c r="V77" s="22"/>
      <c r="W77" s="22"/>
      <c r="X77" s="22"/>
      <c r="Y77" s="23"/>
      <c r="Z77" s="20" t="str">
        <f>IF($A77="","",IF($Y77&lt;&gt;"",$Y77-$B77,ReportDate-$B77))</f>
        <v/>
      </c>
      <c r="AA77" s="20" t="str">
        <f>IF(OR($A77="",$W77="Closed"),"",$U77-ReportDate)</f>
        <v/>
      </c>
      <c r="AB77" s="20" t="str">
        <f>IF($A77="","",IF($W77="Closed",IF($Y77&lt;=$U77,"Closed on time","Closed late"),IF($W77="Awaiting ID","Paused",IF($AA77&lt;0,"Overdue",IF($AA77&lt;=RedDays,"Red",IF($AA77&lt;=AmberDays,"Amber","Green"))))))</f>
        <v/>
      </c>
      <c r="AC77" s="20" t="str">
        <f t="shared" si="5"/>
        <v/>
      </c>
      <c r="AD77" s="22"/>
      <c r="AE77" s="22"/>
      <c r="AF77" s="20" t="str">
        <f>IF($A77="","",IF(IF(OR($B77="",$C77="",$D77="",$V77="",$W77=""),"missing required field; ","")&amp;IF(COUNTIF($A$2:$A$201,$A77)&gt;1,"duplicate ID; ","")&amp;IF(AND($B77&lt;&gt;"",$B77&gt;ReportDate),"received after snapshot date; ","")&amp;IF(AND($I77&lt;&gt;"",$B77&lt;&gt;"",$I77&lt;$B77),"acknowledged before receipt; ","")&amp;IF(AND($K77="Y",$L77="",$W77&lt;&gt;"Logged"),"ID requested date missing; ","")&amp;IF(AND($L77&lt;&gt;"",$M77&lt;&gt;"",$M77&lt;$L77),"ID dates out of order; ","")&amp;IF(AND($K77&lt;&gt;"Y",OR($L77&lt;&gt;"",$W77="Awaiting ID")),"ID fields used but ID_Check_Needed is not Y; ","")&amp;IF(AND($R77="Y",$S77=""),"extension notice date missing; ","")&amp;IF(AND($R77&lt;&gt;"Y",$S77&lt;&gt;""),"notice date but Extended is not Y; ","")&amp;IF(AND($W77="Closed",$Y77=""),"closed without response date; ","")&amp;IF(AND($Y77&lt;&gt;"",$W77&lt;&gt;"Closed"),"response date but status not Closed; ","")&amp;IF(AND($Y77&lt;&gt;"",$B77&lt;&gt;"",$Y77&lt;$B77),"response before receipt; ","")&amp;IF(AND($AD77="Y",$AE77=""),"exemption needs a reason in Notes; ","")="","OK","Check: "&amp;IF(OR($B77="",$C77="",$D77="",$V77="",$W77=""),"missing required field; ","")&amp;IF(COUNTIF($A$2:$A$201,$A77)&gt;1,"duplicate ID; ","")&amp;IF(AND($B77&lt;&gt;"",$B77&gt;ReportDate),"received after snapshot date; ","")&amp;IF(AND($I77&lt;&gt;"",$B77&lt;&gt;"",$I77&lt;$B77),"acknowledged before receipt; ","")&amp;IF(AND($K77="Y",$L77="",$W77&lt;&gt;"Logged"),"ID requested date missing; ","")&amp;IF(AND($L77&lt;&gt;"",$M77&lt;&gt;"",$M77&lt;$L77),"ID dates out of order; ","")&amp;IF(AND($K77&lt;&gt;"Y",OR($L77&lt;&gt;"",$W77="Awaiting ID")),"ID fields used but ID_Check_Needed is not Y; ","")&amp;IF(AND($R77="Y",$S77=""),"extension notice date missing; ","")&amp;IF(AND($R77&lt;&gt;"Y",$S77&lt;&gt;""),"notice date but Extended is not Y; ","")&amp;IF(AND($W77="Closed",$Y77=""),"closed without response date; ","")&amp;IF(AND($Y77&lt;&gt;"",$W77&lt;&gt;"Closed"),"response date but status not Closed; ","")&amp;IF(AND($Y77&lt;&gt;"",$B77&lt;&gt;"",$Y77&lt;$B77),"response before receipt; ","")&amp;IF(AND($AD77="Y",$AE77=""),"exemption needs a reason in Notes; ","")))</f>
        <v/>
      </c>
    </row>
    <row r="78" spans="1:32" x14ac:dyDescent="0.35">
      <c r="A78" s="22"/>
      <c r="B78" s="23"/>
      <c r="C78" s="22"/>
      <c r="D78" s="22"/>
      <c r="E78" s="20" t="str">
        <f>IF($A78="","",IFERROR(VLOOKUP($D78,ReqTypes,2,FALSE),"?"))</f>
        <v/>
      </c>
      <c r="F78" s="20" t="str">
        <f>IF($A78="","",IFERROR(VLOOKUP($D78,ReqTypes,3,FALSE),"?"))</f>
        <v/>
      </c>
      <c r="G78" s="22"/>
      <c r="H78" s="22"/>
      <c r="I78" s="23"/>
      <c r="J78" s="20" t="str">
        <f>IF(OR($A78="",$I78=""),"",IF(NETWORKDAYS($B78,$I78,Holidays)-1&lt;=AckDays,"Y","N"))</f>
        <v/>
      </c>
      <c r="K78" s="22"/>
      <c r="L78" s="23"/>
      <c r="M78" s="23"/>
      <c r="N78" s="20" t="str">
        <f>IF(OR($A78="",$K78&lt;&gt;"Y"),"",IF($L78="","Pending",IF($L78-$B78&lt;=IDPromptDays,"Y","Check")))</f>
        <v/>
      </c>
      <c r="O78" s="20" t="str">
        <f>IF($A78="","",IF(OR($K78&lt;&gt;"Y",$L78=""),0,IF($M78="",MAX(0,ReportDate-$L78),$M78-$L78)))</f>
        <v/>
      </c>
      <c r="P78" s="21" t="str">
        <f>IF($A78="","",IF($F78&lt;&gt;"Y","n/a",WORKDAY(EDATE($B78,1)+$O78-1,1,Holidays)))</f>
        <v/>
      </c>
      <c r="Q78" s="21" t="str">
        <f>IF($A78="","",$B78+$O78+InternalDays)</f>
        <v/>
      </c>
      <c r="R78" s="22"/>
      <c r="S78" s="23"/>
      <c r="T78" s="20" t="str">
        <f t="shared" si="4"/>
        <v/>
      </c>
      <c r="U78" s="21" t="str">
        <f>IF($A78="","",IF($F78&lt;&gt;"Y",$Q78,IF(AND($R78="Y",$T78="Y"),WORKDAY(EDATE($B78,3)+$O78-1,1,Holidays),$P78)))</f>
        <v/>
      </c>
      <c r="V78" s="22"/>
      <c r="W78" s="22"/>
      <c r="X78" s="22"/>
      <c r="Y78" s="23"/>
      <c r="Z78" s="20" t="str">
        <f>IF($A78="","",IF($Y78&lt;&gt;"",$Y78-$B78,ReportDate-$B78))</f>
        <v/>
      </c>
      <c r="AA78" s="20" t="str">
        <f>IF(OR($A78="",$W78="Closed"),"",$U78-ReportDate)</f>
        <v/>
      </c>
      <c r="AB78" s="20" t="str">
        <f>IF($A78="","",IF($W78="Closed",IF($Y78&lt;=$U78,"Closed on time","Closed late"),IF($W78="Awaiting ID","Paused",IF($AA78&lt;0,"Overdue",IF($AA78&lt;=RedDays,"Red",IF($AA78&lt;=AmberDays,"Amber","Green"))))))</f>
        <v/>
      </c>
      <c r="AC78" s="20" t="str">
        <f t="shared" si="5"/>
        <v/>
      </c>
      <c r="AD78" s="22"/>
      <c r="AE78" s="22"/>
      <c r="AF78" s="20" t="str">
        <f>IF($A78="","",IF(IF(OR($B78="",$C78="",$D78="",$V78="",$W78=""),"missing required field; ","")&amp;IF(COUNTIF($A$2:$A$201,$A78)&gt;1,"duplicate ID; ","")&amp;IF(AND($B78&lt;&gt;"",$B78&gt;ReportDate),"received after snapshot date; ","")&amp;IF(AND($I78&lt;&gt;"",$B78&lt;&gt;"",$I78&lt;$B78),"acknowledged before receipt; ","")&amp;IF(AND($K78="Y",$L78="",$W78&lt;&gt;"Logged"),"ID requested date missing; ","")&amp;IF(AND($L78&lt;&gt;"",$M78&lt;&gt;"",$M78&lt;$L78),"ID dates out of order; ","")&amp;IF(AND($K78&lt;&gt;"Y",OR($L78&lt;&gt;"",$W78="Awaiting ID")),"ID fields used but ID_Check_Needed is not Y; ","")&amp;IF(AND($R78="Y",$S78=""),"extension notice date missing; ","")&amp;IF(AND($R78&lt;&gt;"Y",$S78&lt;&gt;""),"notice date but Extended is not Y; ","")&amp;IF(AND($W78="Closed",$Y78=""),"closed without response date; ","")&amp;IF(AND($Y78&lt;&gt;"",$W78&lt;&gt;"Closed"),"response date but status not Closed; ","")&amp;IF(AND($Y78&lt;&gt;"",$B78&lt;&gt;"",$Y78&lt;$B78),"response before receipt; ","")&amp;IF(AND($AD78="Y",$AE78=""),"exemption needs a reason in Notes; ","")="","OK","Check: "&amp;IF(OR($B78="",$C78="",$D78="",$V78="",$W78=""),"missing required field; ","")&amp;IF(COUNTIF($A$2:$A$201,$A78)&gt;1,"duplicate ID; ","")&amp;IF(AND($B78&lt;&gt;"",$B78&gt;ReportDate),"received after snapshot date; ","")&amp;IF(AND($I78&lt;&gt;"",$B78&lt;&gt;"",$I78&lt;$B78),"acknowledged before receipt; ","")&amp;IF(AND($K78="Y",$L78="",$W78&lt;&gt;"Logged"),"ID requested date missing; ","")&amp;IF(AND($L78&lt;&gt;"",$M78&lt;&gt;"",$M78&lt;$L78),"ID dates out of order; ","")&amp;IF(AND($K78&lt;&gt;"Y",OR($L78&lt;&gt;"",$W78="Awaiting ID")),"ID fields used but ID_Check_Needed is not Y; ","")&amp;IF(AND($R78="Y",$S78=""),"extension notice date missing; ","")&amp;IF(AND($R78&lt;&gt;"Y",$S78&lt;&gt;""),"notice date but Extended is not Y; ","")&amp;IF(AND($W78="Closed",$Y78=""),"closed without response date; ","")&amp;IF(AND($Y78&lt;&gt;"",$W78&lt;&gt;"Closed"),"response date but status not Closed; ","")&amp;IF(AND($Y78&lt;&gt;"",$B78&lt;&gt;"",$Y78&lt;$B78),"response before receipt; ","")&amp;IF(AND($AD78="Y",$AE78=""),"exemption needs a reason in Notes; ","")))</f>
        <v/>
      </c>
    </row>
    <row r="79" spans="1:32" x14ac:dyDescent="0.35">
      <c r="A79" s="22"/>
      <c r="B79" s="23"/>
      <c r="C79" s="22"/>
      <c r="D79" s="22"/>
      <c r="E79" s="20" t="str">
        <f>IF($A79="","",IFERROR(VLOOKUP($D79,ReqTypes,2,FALSE),"?"))</f>
        <v/>
      </c>
      <c r="F79" s="20" t="str">
        <f>IF($A79="","",IFERROR(VLOOKUP($D79,ReqTypes,3,FALSE),"?"))</f>
        <v/>
      </c>
      <c r="G79" s="22"/>
      <c r="H79" s="22"/>
      <c r="I79" s="23"/>
      <c r="J79" s="20" t="str">
        <f>IF(OR($A79="",$I79=""),"",IF(NETWORKDAYS($B79,$I79,Holidays)-1&lt;=AckDays,"Y","N"))</f>
        <v/>
      </c>
      <c r="K79" s="22"/>
      <c r="L79" s="23"/>
      <c r="M79" s="23"/>
      <c r="N79" s="20" t="str">
        <f>IF(OR($A79="",$K79&lt;&gt;"Y"),"",IF($L79="","Pending",IF($L79-$B79&lt;=IDPromptDays,"Y","Check")))</f>
        <v/>
      </c>
      <c r="O79" s="20" t="str">
        <f>IF($A79="","",IF(OR($K79&lt;&gt;"Y",$L79=""),0,IF($M79="",MAX(0,ReportDate-$L79),$M79-$L79)))</f>
        <v/>
      </c>
      <c r="P79" s="21" t="str">
        <f>IF($A79="","",IF($F79&lt;&gt;"Y","n/a",WORKDAY(EDATE($B79,1)+$O79-1,1,Holidays)))</f>
        <v/>
      </c>
      <c r="Q79" s="21" t="str">
        <f>IF($A79="","",$B79+$O79+InternalDays)</f>
        <v/>
      </c>
      <c r="R79" s="22"/>
      <c r="S79" s="23"/>
      <c r="T79" s="20" t="str">
        <f t="shared" si="4"/>
        <v/>
      </c>
      <c r="U79" s="21" t="str">
        <f>IF($A79="","",IF($F79&lt;&gt;"Y",$Q79,IF(AND($R79="Y",$T79="Y"),WORKDAY(EDATE($B79,3)+$O79-1,1,Holidays),$P79)))</f>
        <v/>
      </c>
      <c r="V79" s="22"/>
      <c r="W79" s="22"/>
      <c r="X79" s="22"/>
      <c r="Y79" s="23"/>
      <c r="Z79" s="20" t="str">
        <f>IF($A79="","",IF($Y79&lt;&gt;"",$Y79-$B79,ReportDate-$B79))</f>
        <v/>
      </c>
      <c r="AA79" s="20" t="str">
        <f>IF(OR($A79="",$W79="Closed"),"",$U79-ReportDate)</f>
        <v/>
      </c>
      <c r="AB79" s="20" t="str">
        <f>IF($A79="","",IF($W79="Closed",IF($Y79&lt;=$U79,"Closed on time","Closed late"),IF($W79="Awaiting ID","Paused",IF($AA79&lt;0,"Overdue",IF($AA79&lt;=RedDays,"Red",IF($AA79&lt;=AmberDays,"Amber","Green"))))))</f>
        <v/>
      </c>
      <c r="AC79" s="20" t="str">
        <f t="shared" si="5"/>
        <v/>
      </c>
      <c r="AD79" s="22"/>
      <c r="AE79" s="22"/>
      <c r="AF79" s="20" t="str">
        <f>IF($A79="","",IF(IF(OR($B79="",$C79="",$D79="",$V79="",$W79=""),"missing required field; ","")&amp;IF(COUNTIF($A$2:$A$201,$A79)&gt;1,"duplicate ID; ","")&amp;IF(AND($B79&lt;&gt;"",$B79&gt;ReportDate),"received after snapshot date; ","")&amp;IF(AND($I79&lt;&gt;"",$B79&lt;&gt;"",$I79&lt;$B79),"acknowledged before receipt; ","")&amp;IF(AND($K79="Y",$L79="",$W79&lt;&gt;"Logged"),"ID requested date missing; ","")&amp;IF(AND($L79&lt;&gt;"",$M79&lt;&gt;"",$M79&lt;$L79),"ID dates out of order; ","")&amp;IF(AND($K79&lt;&gt;"Y",OR($L79&lt;&gt;"",$W79="Awaiting ID")),"ID fields used but ID_Check_Needed is not Y; ","")&amp;IF(AND($R79="Y",$S79=""),"extension notice date missing; ","")&amp;IF(AND($R79&lt;&gt;"Y",$S79&lt;&gt;""),"notice date but Extended is not Y; ","")&amp;IF(AND($W79="Closed",$Y79=""),"closed without response date; ","")&amp;IF(AND($Y79&lt;&gt;"",$W79&lt;&gt;"Closed"),"response date but status not Closed; ","")&amp;IF(AND($Y79&lt;&gt;"",$B79&lt;&gt;"",$Y79&lt;$B79),"response before receipt; ","")&amp;IF(AND($AD79="Y",$AE79=""),"exemption needs a reason in Notes; ","")="","OK","Check: "&amp;IF(OR($B79="",$C79="",$D79="",$V79="",$W79=""),"missing required field; ","")&amp;IF(COUNTIF($A$2:$A$201,$A79)&gt;1,"duplicate ID; ","")&amp;IF(AND($B79&lt;&gt;"",$B79&gt;ReportDate),"received after snapshot date; ","")&amp;IF(AND($I79&lt;&gt;"",$B79&lt;&gt;"",$I79&lt;$B79),"acknowledged before receipt; ","")&amp;IF(AND($K79="Y",$L79="",$W79&lt;&gt;"Logged"),"ID requested date missing; ","")&amp;IF(AND($L79&lt;&gt;"",$M79&lt;&gt;"",$M79&lt;$L79),"ID dates out of order; ","")&amp;IF(AND($K79&lt;&gt;"Y",OR($L79&lt;&gt;"",$W79="Awaiting ID")),"ID fields used but ID_Check_Needed is not Y; ","")&amp;IF(AND($R79="Y",$S79=""),"extension notice date missing; ","")&amp;IF(AND($R79&lt;&gt;"Y",$S79&lt;&gt;""),"notice date but Extended is not Y; ","")&amp;IF(AND($W79="Closed",$Y79=""),"closed without response date; ","")&amp;IF(AND($Y79&lt;&gt;"",$W79&lt;&gt;"Closed"),"response date but status not Closed; ","")&amp;IF(AND($Y79&lt;&gt;"",$B79&lt;&gt;"",$Y79&lt;$B79),"response before receipt; ","")&amp;IF(AND($AD79="Y",$AE79=""),"exemption needs a reason in Notes; ","")))</f>
        <v/>
      </c>
    </row>
    <row r="80" spans="1:32" x14ac:dyDescent="0.35">
      <c r="A80" s="22"/>
      <c r="B80" s="23"/>
      <c r="C80" s="22"/>
      <c r="D80" s="22"/>
      <c r="E80" s="20" t="str">
        <f>IF($A80="","",IFERROR(VLOOKUP($D80,ReqTypes,2,FALSE),"?"))</f>
        <v/>
      </c>
      <c r="F80" s="20" t="str">
        <f>IF($A80="","",IFERROR(VLOOKUP($D80,ReqTypes,3,FALSE),"?"))</f>
        <v/>
      </c>
      <c r="G80" s="22"/>
      <c r="H80" s="22"/>
      <c r="I80" s="23"/>
      <c r="J80" s="20" t="str">
        <f>IF(OR($A80="",$I80=""),"",IF(NETWORKDAYS($B80,$I80,Holidays)-1&lt;=AckDays,"Y","N"))</f>
        <v/>
      </c>
      <c r="K80" s="22"/>
      <c r="L80" s="23"/>
      <c r="M80" s="23"/>
      <c r="N80" s="20" t="str">
        <f>IF(OR($A80="",$K80&lt;&gt;"Y"),"",IF($L80="","Pending",IF($L80-$B80&lt;=IDPromptDays,"Y","Check")))</f>
        <v/>
      </c>
      <c r="O80" s="20" t="str">
        <f>IF($A80="","",IF(OR($K80&lt;&gt;"Y",$L80=""),0,IF($M80="",MAX(0,ReportDate-$L80),$M80-$L80)))</f>
        <v/>
      </c>
      <c r="P80" s="21" t="str">
        <f>IF($A80="","",IF($F80&lt;&gt;"Y","n/a",WORKDAY(EDATE($B80,1)+$O80-1,1,Holidays)))</f>
        <v/>
      </c>
      <c r="Q80" s="21" t="str">
        <f>IF($A80="","",$B80+$O80+InternalDays)</f>
        <v/>
      </c>
      <c r="R80" s="22"/>
      <c r="S80" s="23"/>
      <c r="T80" s="20" t="str">
        <f t="shared" si="4"/>
        <v/>
      </c>
      <c r="U80" s="21" t="str">
        <f>IF($A80="","",IF($F80&lt;&gt;"Y",$Q80,IF(AND($R80="Y",$T80="Y"),WORKDAY(EDATE($B80,3)+$O80-1,1,Holidays),$P80)))</f>
        <v/>
      </c>
      <c r="V80" s="22"/>
      <c r="W80" s="22"/>
      <c r="X80" s="22"/>
      <c r="Y80" s="23"/>
      <c r="Z80" s="20" t="str">
        <f>IF($A80="","",IF($Y80&lt;&gt;"",$Y80-$B80,ReportDate-$B80))</f>
        <v/>
      </c>
      <c r="AA80" s="20" t="str">
        <f>IF(OR($A80="",$W80="Closed"),"",$U80-ReportDate)</f>
        <v/>
      </c>
      <c r="AB80" s="20" t="str">
        <f>IF($A80="","",IF($W80="Closed",IF($Y80&lt;=$U80,"Closed on time","Closed late"),IF($W80="Awaiting ID","Paused",IF($AA80&lt;0,"Overdue",IF($AA80&lt;=RedDays,"Red",IF($AA80&lt;=AmberDays,"Amber","Green"))))))</f>
        <v/>
      </c>
      <c r="AC80" s="20" t="str">
        <f t="shared" si="5"/>
        <v/>
      </c>
      <c r="AD80" s="22"/>
      <c r="AE80" s="22"/>
      <c r="AF80" s="20" t="str">
        <f>IF($A80="","",IF(IF(OR($B80="",$C80="",$D80="",$V80="",$W80=""),"missing required field; ","")&amp;IF(COUNTIF($A$2:$A$201,$A80)&gt;1,"duplicate ID; ","")&amp;IF(AND($B80&lt;&gt;"",$B80&gt;ReportDate),"received after snapshot date; ","")&amp;IF(AND($I80&lt;&gt;"",$B80&lt;&gt;"",$I80&lt;$B80),"acknowledged before receipt; ","")&amp;IF(AND($K80="Y",$L80="",$W80&lt;&gt;"Logged"),"ID requested date missing; ","")&amp;IF(AND($L80&lt;&gt;"",$M80&lt;&gt;"",$M80&lt;$L80),"ID dates out of order; ","")&amp;IF(AND($K80&lt;&gt;"Y",OR($L80&lt;&gt;"",$W80="Awaiting ID")),"ID fields used but ID_Check_Needed is not Y; ","")&amp;IF(AND($R80="Y",$S80=""),"extension notice date missing; ","")&amp;IF(AND($R80&lt;&gt;"Y",$S80&lt;&gt;""),"notice date but Extended is not Y; ","")&amp;IF(AND($W80="Closed",$Y80=""),"closed without response date; ","")&amp;IF(AND($Y80&lt;&gt;"",$W80&lt;&gt;"Closed"),"response date but status not Closed; ","")&amp;IF(AND($Y80&lt;&gt;"",$B80&lt;&gt;"",$Y80&lt;$B80),"response before receipt; ","")&amp;IF(AND($AD80="Y",$AE80=""),"exemption needs a reason in Notes; ","")="","OK","Check: "&amp;IF(OR($B80="",$C80="",$D80="",$V80="",$W80=""),"missing required field; ","")&amp;IF(COUNTIF($A$2:$A$201,$A80)&gt;1,"duplicate ID; ","")&amp;IF(AND($B80&lt;&gt;"",$B80&gt;ReportDate),"received after snapshot date; ","")&amp;IF(AND($I80&lt;&gt;"",$B80&lt;&gt;"",$I80&lt;$B80),"acknowledged before receipt; ","")&amp;IF(AND($K80="Y",$L80="",$W80&lt;&gt;"Logged"),"ID requested date missing; ","")&amp;IF(AND($L80&lt;&gt;"",$M80&lt;&gt;"",$M80&lt;$L80),"ID dates out of order; ","")&amp;IF(AND($K80&lt;&gt;"Y",OR($L80&lt;&gt;"",$W80="Awaiting ID")),"ID fields used but ID_Check_Needed is not Y; ","")&amp;IF(AND($R80="Y",$S80=""),"extension notice date missing; ","")&amp;IF(AND($R80&lt;&gt;"Y",$S80&lt;&gt;""),"notice date but Extended is not Y; ","")&amp;IF(AND($W80="Closed",$Y80=""),"closed without response date; ","")&amp;IF(AND($Y80&lt;&gt;"",$W80&lt;&gt;"Closed"),"response date but status not Closed; ","")&amp;IF(AND($Y80&lt;&gt;"",$B80&lt;&gt;"",$Y80&lt;$B80),"response before receipt; ","")&amp;IF(AND($AD80="Y",$AE80=""),"exemption needs a reason in Notes; ","")))</f>
        <v/>
      </c>
    </row>
    <row r="81" spans="1:32" x14ac:dyDescent="0.35">
      <c r="A81" s="22"/>
      <c r="B81" s="23"/>
      <c r="C81" s="22"/>
      <c r="D81" s="22"/>
      <c r="E81" s="20" t="str">
        <f>IF($A81="","",IFERROR(VLOOKUP($D81,ReqTypes,2,FALSE),"?"))</f>
        <v/>
      </c>
      <c r="F81" s="20" t="str">
        <f>IF($A81="","",IFERROR(VLOOKUP($D81,ReqTypes,3,FALSE),"?"))</f>
        <v/>
      </c>
      <c r="G81" s="22"/>
      <c r="H81" s="22"/>
      <c r="I81" s="23"/>
      <c r="J81" s="20" t="str">
        <f>IF(OR($A81="",$I81=""),"",IF(NETWORKDAYS($B81,$I81,Holidays)-1&lt;=AckDays,"Y","N"))</f>
        <v/>
      </c>
      <c r="K81" s="22"/>
      <c r="L81" s="23"/>
      <c r="M81" s="23"/>
      <c r="N81" s="20" t="str">
        <f>IF(OR($A81="",$K81&lt;&gt;"Y"),"",IF($L81="","Pending",IF($L81-$B81&lt;=IDPromptDays,"Y","Check")))</f>
        <v/>
      </c>
      <c r="O81" s="20" t="str">
        <f>IF($A81="","",IF(OR($K81&lt;&gt;"Y",$L81=""),0,IF($M81="",MAX(0,ReportDate-$L81),$M81-$L81)))</f>
        <v/>
      </c>
      <c r="P81" s="21" t="str">
        <f>IF($A81="","",IF($F81&lt;&gt;"Y","n/a",WORKDAY(EDATE($B81,1)+$O81-1,1,Holidays)))</f>
        <v/>
      </c>
      <c r="Q81" s="21" t="str">
        <f>IF($A81="","",$B81+$O81+InternalDays)</f>
        <v/>
      </c>
      <c r="R81" s="22"/>
      <c r="S81" s="23"/>
      <c r="T81" s="20" t="str">
        <f t="shared" si="4"/>
        <v/>
      </c>
      <c r="U81" s="21" t="str">
        <f>IF($A81="","",IF($F81&lt;&gt;"Y",$Q81,IF(AND($R81="Y",$T81="Y"),WORKDAY(EDATE($B81,3)+$O81-1,1,Holidays),$P81)))</f>
        <v/>
      </c>
      <c r="V81" s="22"/>
      <c r="W81" s="22"/>
      <c r="X81" s="22"/>
      <c r="Y81" s="23"/>
      <c r="Z81" s="20" t="str">
        <f>IF($A81="","",IF($Y81&lt;&gt;"",$Y81-$B81,ReportDate-$B81))</f>
        <v/>
      </c>
      <c r="AA81" s="20" t="str">
        <f>IF(OR($A81="",$W81="Closed"),"",$U81-ReportDate)</f>
        <v/>
      </c>
      <c r="AB81" s="20" t="str">
        <f>IF($A81="","",IF($W81="Closed",IF($Y81&lt;=$U81,"Closed on time","Closed late"),IF($W81="Awaiting ID","Paused",IF($AA81&lt;0,"Overdue",IF($AA81&lt;=RedDays,"Red",IF($AA81&lt;=AmberDays,"Amber","Green"))))))</f>
        <v/>
      </c>
      <c r="AC81" s="20" t="str">
        <f t="shared" si="5"/>
        <v/>
      </c>
      <c r="AD81" s="22"/>
      <c r="AE81" s="22"/>
      <c r="AF81" s="20" t="str">
        <f>IF($A81="","",IF(IF(OR($B81="",$C81="",$D81="",$V81="",$W81=""),"missing required field; ","")&amp;IF(COUNTIF($A$2:$A$201,$A81)&gt;1,"duplicate ID; ","")&amp;IF(AND($B81&lt;&gt;"",$B81&gt;ReportDate),"received after snapshot date; ","")&amp;IF(AND($I81&lt;&gt;"",$B81&lt;&gt;"",$I81&lt;$B81),"acknowledged before receipt; ","")&amp;IF(AND($K81="Y",$L81="",$W81&lt;&gt;"Logged"),"ID requested date missing; ","")&amp;IF(AND($L81&lt;&gt;"",$M81&lt;&gt;"",$M81&lt;$L81),"ID dates out of order; ","")&amp;IF(AND($K81&lt;&gt;"Y",OR($L81&lt;&gt;"",$W81="Awaiting ID")),"ID fields used but ID_Check_Needed is not Y; ","")&amp;IF(AND($R81="Y",$S81=""),"extension notice date missing; ","")&amp;IF(AND($R81&lt;&gt;"Y",$S81&lt;&gt;""),"notice date but Extended is not Y; ","")&amp;IF(AND($W81="Closed",$Y81=""),"closed without response date; ","")&amp;IF(AND($Y81&lt;&gt;"",$W81&lt;&gt;"Closed"),"response date but status not Closed; ","")&amp;IF(AND($Y81&lt;&gt;"",$B81&lt;&gt;"",$Y81&lt;$B81),"response before receipt; ","")&amp;IF(AND($AD81="Y",$AE81=""),"exemption needs a reason in Notes; ","")="","OK","Check: "&amp;IF(OR($B81="",$C81="",$D81="",$V81="",$W81=""),"missing required field; ","")&amp;IF(COUNTIF($A$2:$A$201,$A81)&gt;1,"duplicate ID; ","")&amp;IF(AND($B81&lt;&gt;"",$B81&gt;ReportDate),"received after snapshot date; ","")&amp;IF(AND($I81&lt;&gt;"",$B81&lt;&gt;"",$I81&lt;$B81),"acknowledged before receipt; ","")&amp;IF(AND($K81="Y",$L81="",$W81&lt;&gt;"Logged"),"ID requested date missing; ","")&amp;IF(AND($L81&lt;&gt;"",$M81&lt;&gt;"",$M81&lt;$L81),"ID dates out of order; ","")&amp;IF(AND($K81&lt;&gt;"Y",OR($L81&lt;&gt;"",$W81="Awaiting ID")),"ID fields used but ID_Check_Needed is not Y; ","")&amp;IF(AND($R81="Y",$S81=""),"extension notice date missing; ","")&amp;IF(AND($R81&lt;&gt;"Y",$S81&lt;&gt;""),"notice date but Extended is not Y; ","")&amp;IF(AND($W81="Closed",$Y81=""),"closed without response date; ","")&amp;IF(AND($Y81&lt;&gt;"",$W81&lt;&gt;"Closed"),"response date but status not Closed; ","")&amp;IF(AND($Y81&lt;&gt;"",$B81&lt;&gt;"",$Y81&lt;$B81),"response before receipt; ","")&amp;IF(AND($AD81="Y",$AE81=""),"exemption needs a reason in Notes; ","")))</f>
        <v/>
      </c>
    </row>
    <row r="82" spans="1:32" x14ac:dyDescent="0.35">
      <c r="A82" s="22"/>
      <c r="B82" s="23"/>
      <c r="C82" s="22"/>
      <c r="D82" s="22"/>
      <c r="E82" s="20" t="str">
        <f>IF($A82="","",IFERROR(VLOOKUP($D82,ReqTypes,2,FALSE),"?"))</f>
        <v/>
      </c>
      <c r="F82" s="20" t="str">
        <f>IF($A82="","",IFERROR(VLOOKUP($D82,ReqTypes,3,FALSE),"?"))</f>
        <v/>
      </c>
      <c r="G82" s="22"/>
      <c r="H82" s="22"/>
      <c r="I82" s="23"/>
      <c r="J82" s="20" t="str">
        <f>IF(OR($A82="",$I82=""),"",IF(NETWORKDAYS($B82,$I82,Holidays)-1&lt;=AckDays,"Y","N"))</f>
        <v/>
      </c>
      <c r="K82" s="22"/>
      <c r="L82" s="23"/>
      <c r="M82" s="23"/>
      <c r="N82" s="20" t="str">
        <f>IF(OR($A82="",$K82&lt;&gt;"Y"),"",IF($L82="","Pending",IF($L82-$B82&lt;=IDPromptDays,"Y","Check")))</f>
        <v/>
      </c>
      <c r="O82" s="20" t="str">
        <f>IF($A82="","",IF(OR($K82&lt;&gt;"Y",$L82=""),0,IF($M82="",MAX(0,ReportDate-$L82),$M82-$L82)))</f>
        <v/>
      </c>
      <c r="P82" s="21" t="str">
        <f>IF($A82="","",IF($F82&lt;&gt;"Y","n/a",WORKDAY(EDATE($B82,1)+$O82-1,1,Holidays)))</f>
        <v/>
      </c>
      <c r="Q82" s="21" t="str">
        <f>IF($A82="","",$B82+$O82+InternalDays)</f>
        <v/>
      </c>
      <c r="R82" s="22"/>
      <c r="S82" s="23"/>
      <c r="T82" s="20" t="str">
        <f t="shared" si="4"/>
        <v/>
      </c>
      <c r="U82" s="21" t="str">
        <f>IF($A82="","",IF($F82&lt;&gt;"Y",$Q82,IF(AND($R82="Y",$T82="Y"),WORKDAY(EDATE($B82,3)+$O82-1,1,Holidays),$P82)))</f>
        <v/>
      </c>
      <c r="V82" s="22"/>
      <c r="W82" s="22"/>
      <c r="X82" s="22"/>
      <c r="Y82" s="23"/>
      <c r="Z82" s="20" t="str">
        <f>IF($A82="","",IF($Y82&lt;&gt;"",$Y82-$B82,ReportDate-$B82))</f>
        <v/>
      </c>
      <c r="AA82" s="20" t="str">
        <f>IF(OR($A82="",$W82="Closed"),"",$U82-ReportDate)</f>
        <v/>
      </c>
      <c r="AB82" s="20" t="str">
        <f>IF($A82="","",IF($W82="Closed",IF($Y82&lt;=$U82,"Closed on time","Closed late"),IF($W82="Awaiting ID","Paused",IF($AA82&lt;0,"Overdue",IF($AA82&lt;=RedDays,"Red",IF($AA82&lt;=AmberDays,"Amber","Green"))))))</f>
        <v/>
      </c>
      <c r="AC82" s="20" t="str">
        <f t="shared" si="5"/>
        <v/>
      </c>
      <c r="AD82" s="22"/>
      <c r="AE82" s="22"/>
      <c r="AF82" s="20" t="str">
        <f>IF($A82="","",IF(IF(OR($B82="",$C82="",$D82="",$V82="",$W82=""),"missing required field; ","")&amp;IF(COUNTIF($A$2:$A$201,$A82)&gt;1,"duplicate ID; ","")&amp;IF(AND($B82&lt;&gt;"",$B82&gt;ReportDate),"received after snapshot date; ","")&amp;IF(AND($I82&lt;&gt;"",$B82&lt;&gt;"",$I82&lt;$B82),"acknowledged before receipt; ","")&amp;IF(AND($K82="Y",$L82="",$W82&lt;&gt;"Logged"),"ID requested date missing; ","")&amp;IF(AND($L82&lt;&gt;"",$M82&lt;&gt;"",$M82&lt;$L82),"ID dates out of order; ","")&amp;IF(AND($K82&lt;&gt;"Y",OR($L82&lt;&gt;"",$W82="Awaiting ID")),"ID fields used but ID_Check_Needed is not Y; ","")&amp;IF(AND($R82="Y",$S82=""),"extension notice date missing; ","")&amp;IF(AND($R82&lt;&gt;"Y",$S82&lt;&gt;""),"notice date but Extended is not Y; ","")&amp;IF(AND($W82="Closed",$Y82=""),"closed without response date; ","")&amp;IF(AND($Y82&lt;&gt;"",$W82&lt;&gt;"Closed"),"response date but status not Closed; ","")&amp;IF(AND($Y82&lt;&gt;"",$B82&lt;&gt;"",$Y82&lt;$B82),"response before receipt; ","")&amp;IF(AND($AD82="Y",$AE82=""),"exemption needs a reason in Notes; ","")="","OK","Check: "&amp;IF(OR($B82="",$C82="",$D82="",$V82="",$W82=""),"missing required field; ","")&amp;IF(COUNTIF($A$2:$A$201,$A82)&gt;1,"duplicate ID; ","")&amp;IF(AND($B82&lt;&gt;"",$B82&gt;ReportDate),"received after snapshot date; ","")&amp;IF(AND($I82&lt;&gt;"",$B82&lt;&gt;"",$I82&lt;$B82),"acknowledged before receipt; ","")&amp;IF(AND($K82="Y",$L82="",$W82&lt;&gt;"Logged"),"ID requested date missing; ","")&amp;IF(AND($L82&lt;&gt;"",$M82&lt;&gt;"",$M82&lt;$L82),"ID dates out of order; ","")&amp;IF(AND($K82&lt;&gt;"Y",OR($L82&lt;&gt;"",$W82="Awaiting ID")),"ID fields used but ID_Check_Needed is not Y; ","")&amp;IF(AND($R82="Y",$S82=""),"extension notice date missing; ","")&amp;IF(AND($R82&lt;&gt;"Y",$S82&lt;&gt;""),"notice date but Extended is not Y; ","")&amp;IF(AND($W82="Closed",$Y82=""),"closed without response date; ","")&amp;IF(AND($Y82&lt;&gt;"",$W82&lt;&gt;"Closed"),"response date but status not Closed; ","")&amp;IF(AND($Y82&lt;&gt;"",$B82&lt;&gt;"",$Y82&lt;$B82),"response before receipt; ","")&amp;IF(AND($AD82="Y",$AE82=""),"exemption needs a reason in Notes; ","")))</f>
        <v/>
      </c>
    </row>
    <row r="83" spans="1:32" x14ac:dyDescent="0.35">
      <c r="A83" s="22"/>
      <c r="B83" s="23"/>
      <c r="C83" s="22"/>
      <c r="D83" s="22"/>
      <c r="E83" s="20" t="str">
        <f>IF($A83="","",IFERROR(VLOOKUP($D83,ReqTypes,2,FALSE),"?"))</f>
        <v/>
      </c>
      <c r="F83" s="20" t="str">
        <f>IF($A83="","",IFERROR(VLOOKUP($D83,ReqTypes,3,FALSE),"?"))</f>
        <v/>
      </c>
      <c r="G83" s="22"/>
      <c r="H83" s="22"/>
      <c r="I83" s="23"/>
      <c r="J83" s="20" t="str">
        <f>IF(OR($A83="",$I83=""),"",IF(NETWORKDAYS($B83,$I83,Holidays)-1&lt;=AckDays,"Y","N"))</f>
        <v/>
      </c>
      <c r="K83" s="22"/>
      <c r="L83" s="23"/>
      <c r="M83" s="23"/>
      <c r="N83" s="20" t="str">
        <f>IF(OR($A83="",$K83&lt;&gt;"Y"),"",IF($L83="","Pending",IF($L83-$B83&lt;=IDPromptDays,"Y","Check")))</f>
        <v/>
      </c>
      <c r="O83" s="20" t="str">
        <f>IF($A83="","",IF(OR($K83&lt;&gt;"Y",$L83=""),0,IF($M83="",MAX(0,ReportDate-$L83),$M83-$L83)))</f>
        <v/>
      </c>
      <c r="P83" s="21" t="str">
        <f>IF($A83="","",IF($F83&lt;&gt;"Y","n/a",WORKDAY(EDATE($B83,1)+$O83-1,1,Holidays)))</f>
        <v/>
      </c>
      <c r="Q83" s="21" t="str">
        <f>IF($A83="","",$B83+$O83+InternalDays)</f>
        <v/>
      </c>
      <c r="R83" s="22"/>
      <c r="S83" s="23"/>
      <c r="T83" s="20" t="str">
        <f t="shared" si="4"/>
        <v/>
      </c>
      <c r="U83" s="21" t="str">
        <f>IF($A83="","",IF($F83&lt;&gt;"Y",$Q83,IF(AND($R83="Y",$T83="Y"),WORKDAY(EDATE($B83,3)+$O83-1,1,Holidays),$P83)))</f>
        <v/>
      </c>
      <c r="V83" s="22"/>
      <c r="W83" s="22"/>
      <c r="X83" s="22"/>
      <c r="Y83" s="23"/>
      <c r="Z83" s="20" t="str">
        <f>IF($A83="","",IF($Y83&lt;&gt;"",$Y83-$B83,ReportDate-$B83))</f>
        <v/>
      </c>
      <c r="AA83" s="20" t="str">
        <f>IF(OR($A83="",$W83="Closed"),"",$U83-ReportDate)</f>
        <v/>
      </c>
      <c r="AB83" s="20" t="str">
        <f>IF($A83="","",IF($W83="Closed",IF($Y83&lt;=$U83,"Closed on time","Closed late"),IF($W83="Awaiting ID","Paused",IF($AA83&lt;0,"Overdue",IF($AA83&lt;=RedDays,"Red",IF($AA83&lt;=AmberDays,"Amber","Green"))))))</f>
        <v/>
      </c>
      <c r="AC83" s="20" t="str">
        <f t="shared" si="5"/>
        <v/>
      </c>
      <c r="AD83" s="22"/>
      <c r="AE83" s="22"/>
      <c r="AF83" s="20" t="str">
        <f>IF($A83="","",IF(IF(OR($B83="",$C83="",$D83="",$V83="",$W83=""),"missing required field; ","")&amp;IF(COUNTIF($A$2:$A$201,$A83)&gt;1,"duplicate ID; ","")&amp;IF(AND($B83&lt;&gt;"",$B83&gt;ReportDate),"received after snapshot date; ","")&amp;IF(AND($I83&lt;&gt;"",$B83&lt;&gt;"",$I83&lt;$B83),"acknowledged before receipt; ","")&amp;IF(AND($K83="Y",$L83="",$W83&lt;&gt;"Logged"),"ID requested date missing; ","")&amp;IF(AND($L83&lt;&gt;"",$M83&lt;&gt;"",$M83&lt;$L83),"ID dates out of order; ","")&amp;IF(AND($K83&lt;&gt;"Y",OR($L83&lt;&gt;"",$W83="Awaiting ID")),"ID fields used but ID_Check_Needed is not Y; ","")&amp;IF(AND($R83="Y",$S83=""),"extension notice date missing; ","")&amp;IF(AND($R83&lt;&gt;"Y",$S83&lt;&gt;""),"notice date but Extended is not Y; ","")&amp;IF(AND($W83="Closed",$Y83=""),"closed without response date; ","")&amp;IF(AND($Y83&lt;&gt;"",$W83&lt;&gt;"Closed"),"response date but status not Closed; ","")&amp;IF(AND($Y83&lt;&gt;"",$B83&lt;&gt;"",$Y83&lt;$B83),"response before receipt; ","")&amp;IF(AND($AD83="Y",$AE83=""),"exemption needs a reason in Notes; ","")="","OK","Check: "&amp;IF(OR($B83="",$C83="",$D83="",$V83="",$W83=""),"missing required field; ","")&amp;IF(COUNTIF($A$2:$A$201,$A83)&gt;1,"duplicate ID; ","")&amp;IF(AND($B83&lt;&gt;"",$B83&gt;ReportDate),"received after snapshot date; ","")&amp;IF(AND($I83&lt;&gt;"",$B83&lt;&gt;"",$I83&lt;$B83),"acknowledged before receipt; ","")&amp;IF(AND($K83="Y",$L83="",$W83&lt;&gt;"Logged"),"ID requested date missing; ","")&amp;IF(AND($L83&lt;&gt;"",$M83&lt;&gt;"",$M83&lt;$L83),"ID dates out of order; ","")&amp;IF(AND($K83&lt;&gt;"Y",OR($L83&lt;&gt;"",$W83="Awaiting ID")),"ID fields used but ID_Check_Needed is not Y; ","")&amp;IF(AND($R83="Y",$S83=""),"extension notice date missing; ","")&amp;IF(AND($R83&lt;&gt;"Y",$S83&lt;&gt;""),"notice date but Extended is not Y; ","")&amp;IF(AND($W83="Closed",$Y83=""),"closed without response date; ","")&amp;IF(AND($Y83&lt;&gt;"",$W83&lt;&gt;"Closed"),"response date but status not Closed; ","")&amp;IF(AND($Y83&lt;&gt;"",$B83&lt;&gt;"",$Y83&lt;$B83),"response before receipt; ","")&amp;IF(AND($AD83="Y",$AE83=""),"exemption needs a reason in Notes; ","")))</f>
        <v/>
      </c>
    </row>
    <row r="84" spans="1:32" x14ac:dyDescent="0.35">
      <c r="A84" s="22"/>
      <c r="B84" s="23"/>
      <c r="C84" s="22"/>
      <c r="D84" s="22"/>
      <c r="E84" s="20" t="str">
        <f>IF($A84="","",IFERROR(VLOOKUP($D84,ReqTypes,2,FALSE),"?"))</f>
        <v/>
      </c>
      <c r="F84" s="20" t="str">
        <f>IF($A84="","",IFERROR(VLOOKUP($D84,ReqTypes,3,FALSE),"?"))</f>
        <v/>
      </c>
      <c r="G84" s="22"/>
      <c r="H84" s="22"/>
      <c r="I84" s="23"/>
      <c r="J84" s="20" t="str">
        <f>IF(OR($A84="",$I84=""),"",IF(NETWORKDAYS($B84,$I84,Holidays)-1&lt;=AckDays,"Y","N"))</f>
        <v/>
      </c>
      <c r="K84" s="22"/>
      <c r="L84" s="23"/>
      <c r="M84" s="23"/>
      <c r="N84" s="20" t="str">
        <f>IF(OR($A84="",$K84&lt;&gt;"Y"),"",IF($L84="","Pending",IF($L84-$B84&lt;=IDPromptDays,"Y","Check")))</f>
        <v/>
      </c>
      <c r="O84" s="20" t="str">
        <f>IF($A84="","",IF(OR($K84&lt;&gt;"Y",$L84=""),0,IF($M84="",MAX(0,ReportDate-$L84),$M84-$L84)))</f>
        <v/>
      </c>
      <c r="P84" s="21" t="str">
        <f>IF($A84="","",IF($F84&lt;&gt;"Y","n/a",WORKDAY(EDATE($B84,1)+$O84-1,1,Holidays)))</f>
        <v/>
      </c>
      <c r="Q84" s="21" t="str">
        <f>IF($A84="","",$B84+$O84+InternalDays)</f>
        <v/>
      </c>
      <c r="R84" s="22"/>
      <c r="S84" s="23"/>
      <c r="T84" s="20" t="str">
        <f t="shared" si="4"/>
        <v/>
      </c>
      <c r="U84" s="21" t="str">
        <f>IF($A84="","",IF($F84&lt;&gt;"Y",$Q84,IF(AND($R84="Y",$T84="Y"),WORKDAY(EDATE($B84,3)+$O84-1,1,Holidays),$P84)))</f>
        <v/>
      </c>
      <c r="V84" s="22"/>
      <c r="W84" s="22"/>
      <c r="X84" s="22"/>
      <c r="Y84" s="23"/>
      <c r="Z84" s="20" t="str">
        <f>IF($A84="","",IF($Y84&lt;&gt;"",$Y84-$B84,ReportDate-$B84))</f>
        <v/>
      </c>
      <c r="AA84" s="20" t="str">
        <f>IF(OR($A84="",$W84="Closed"),"",$U84-ReportDate)</f>
        <v/>
      </c>
      <c r="AB84" s="20" t="str">
        <f>IF($A84="","",IF($W84="Closed",IF($Y84&lt;=$U84,"Closed on time","Closed late"),IF($W84="Awaiting ID","Paused",IF($AA84&lt;0,"Overdue",IF($AA84&lt;=RedDays,"Red",IF($AA84&lt;=AmberDays,"Amber","Green"))))))</f>
        <v/>
      </c>
      <c r="AC84" s="20" t="str">
        <f t="shared" si="5"/>
        <v/>
      </c>
      <c r="AD84" s="22"/>
      <c r="AE84" s="22"/>
      <c r="AF84" s="20" t="str">
        <f>IF($A84="","",IF(IF(OR($B84="",$C84="",$D84="",$V84="",$W84=""),"missing required field; ","")&amp;IF(COUNTIF($A$2:$A$201,$A84)&gt;1,"duplicate ID; ","")&amp;IF(AND($B84&lt;&gt;"",$B84&gt;ReportDate),"received after snapshot date; ","")&amp;IF(AND($I84&lt;&gt;"",$B84&lt;&gt;"",$I84&lt;$B84),"acknowledged before receipt; ","")&amp;IF(AND($K84="Y",$L84="",$W84&lt;&gt;"Logged"),"ID requested date missing; ","")&amp;IF(AND($L84&lt;&gt;"",$M84&lt;&gt;"",$M84&lt;$L84),"ID dates out of order; ","")&amp;IF(AND($K84&lt;&gt;"Y",OR($L84&lt;&gt;"",$W84="Awaiting ID")),"ID fields used but ID_Check_Needed is not Y; ","")&amp;IF(AND($R84="Y",$S84=""),"extension notice date missing; ","")&amp;IF(AND($R84&lt;&gt;"Y",$S84&lt;&gt;""),"notice date but Extended is not Y; ","")&amp;IF(AND($W84="Closed",$Y84=""),"closed without response date; ","")&amp;IF(AND($Y84&lt;&gt;"",$W84&lt;&gt;"Closed"),"response date but status not Closed; ","")&amp;IF(AND($Y84&lt;&gt;"",$B84&lt;&gt;"",$Y84&lt;$B84),"response before receipt; ","")&amp;IF(AND($AD84="Y",$AE84=""),"exemption needs a reason in Notes; ","")="","OK","Check: "&amp;IF(OR($B84="",$C84="",$D84="",$V84="",$W84=""),"missing required field; ","")&amp;IF(COUNTIF($A$2:$A$201,$A84)&gt;1,"duplicate ID; ","")&amp;IF(AND($B84&lt;&gt;"",$B84&gt;ReportDate),"received after snapshot date; ","")&amp;IF(AND($I84&lt;&gt;"",$B84&lt;&gt;"",$I84&lt;$B84),"acknowledged before receipt; ","")&amp;IF(AND($K84="Y",$L84="",$W84&lt;&gt;"Logged"),"ID requested date missing; ","")&amp;IF(AND($L84&lt;&gt;"",$M84&lt;&gt;"",$M84&lt;$L84),"ID dates out of order; ","")&amp;IF(AND($K84&lt;&gt;"Y",OR($L84&lt;&gt;"",$W84="Awaiting ID")),"ID fields used but ID_Check_Needed is not Y; ","")&amp;IF(AND($R84="Y",$S84=""),"extension notice date missing; ","")&amp;IF(AND($R84&lt;&gt;"Y",$S84&lt;&gt;""),"notice date but Extended is not Y; ","")&amp;IF(AND($W84="Closed",$Y84=""),"closed without response date; ","")&amp;IF(AND($Y84&lt;&gt;"",$W84&lt;&gt;"Closed"),"response date but status not Closed; ","")&amp;IF(AND($Y84&lt;&gt;"",$B84&lt;&gt;"",$Y84&lt;$B84),"response before receipt; ","")&amp;IF(AND($AD84="Y",$AE84=""),"exemption needs a reason in Notes; ","")))</f>
        <v/>
      </c>
    </row>
    <row r="85" spans="1:32" x14ac:dyDescent="0.35">
      <c r="A85" s="22"/>
      <c r="B85" s="23"/>
      <c r="C85" s="22"/>
      <c r="D85" s="22"/>
      <c r="E85" s="20" t="str">
        <f>IF($A85="","",IFERROR(VLOOKUP($D85,ReqTypes,2,FALSE),"?"))</f>
        <v/>
      </c>
      <c r="F85" s="20" t="str">
        <f>IF($A85="","",IFERROR(VLOOKUP($D85,ReqTypes,3,FALSE),"?"))</f>
        <v/>
      </c>
      <c r="G85" s="22"/>
      <c r="H85" s="22"/>
      <c r="I85" s="23"/>
      <c r="J85" s="20" t="str">
        <f>IF(OR($A85="",$I85=""),"",IF(NETWORKDAYS($B85,$I85,Holidays)-1&lt;=AckDays,"Y","N"))</f>
        <v/>
      </c>
      <c r="K85" s="22"/>
      <c r="L85" s="23"/>
      <c r="M85" s="23"/>
      <c r="N85" s="20" t="str">
        <f>IF(OR($A85="",$K85&lt;&gt;"Y"),"",IF($L85="","Pending",IF($L85-$B85&lt;=IDPromptDays,"Y","Check")))</f>
        <v/>
      </c>
      <c r="O85" s="20" t="str">
        <f>IF($A85="","",IF(OR($K85&lt;&gt;"Y",$L85=""),0,IF($M85="",MAX(0,ReportDate-$L85),$M85-$L85)))</f>
        <v/>
      </c>
      <c r="P85" s="21" t="str">
        <f>IF($A85="","",IF($F85&lt;&gt;"Y","n/a",WORKDAY(EDATE($B85,1)+$O85-1,1,Holidays)))</f>
        <v/>
      </c>
      <c r="Q85" s="21" t="str">
        <f>IF($A85="","",$B85+$O85+InternalDays)</f>
        <v/>
      </c>
      <c r="R85" s="22"/>
      <c r="S85" s="23"/>
      <c r="T85" s="20" t="str">
        <f t="shared" si="4"/>
        <v/>
      </c>
      <c r="U85" s="21" t="str">
        <f>IF($A85="","",IF($F85&lt;&gt;"Y",$Q85,IF(AND($R85="Y",$T85="Y"),WORKDAY(EDATE($B85,3)+$O85-1,1,Holidays),$P85)))</f>
        <v/>
      </c>
      <c r="V85" s="22"/>
      <c r="W85" s="22"/>
      <c r="X85" s="22"/>
      <c r="Y85" s="23"/>
      <c r="Z85" s="20" t="str">
        <f>IF($A85="","",IF($Y85&lt;&gt;"",$Y85-$B85,ReportDate-$B85))</f>
        <v/>
      </c>
      <c r="AA85" s="20" t="str">
        <f>IF(OR($A85="",$W85="Closed"),"",$U85-ReportDate)</f>
        <v/>
      </c>
      <c r="AB85" s="20" t="str">
        <f>IF($A85="","",IF($W85="Closed",IF($Y85&lt;=$U85,"Closed on time","Closed late"),IF($W85="Awaiting ID","Paused",IF($AA85&lt;0,"Overdue",IF($AA85&lt;=RedDays,"Red",IF($AA85&lt;=AmberDays,"Amber","Green"))))))</f>
        <v/>
      </c>
      <c r="AC85" s="20" t="str">
        <f t="shared" si="5"/>
        <v/>
      </c>
      <c r="AD85" s="22"/>
      <c r="AE85" s="22"/>
      <c r="AF85" s="20" t="str">
        <f>IF($A85="","",IF(IF(OR($B85="",$C85="",$D85="",$V85="",$W85=""),"missing required field; ","")&amp;IF(COUNTIF($A$2:$A$201,$A85)&gt;1,"duplicate ID; ","")&amp;IF(AND($B85&lt;&gt;"",$B85&gt;ReportDate),"received after snapshot date; ","")&amp;IF(AND($I85&lt;&gt;"",$B85&lt;&gt;"",$I85&lt;$B85),"acknowledged before receipt; ","")&amp;IF(AND($K85="Y",$L85="",$W85&lt;&gt;"Logged"),"ID requested date missing; ","")&amp;IF(AND($L85&lt;&gt;"",$M85&lt;&gt;"",$M85&lt;$L85),"ID dates out of order; ","")&amp;IF(AND($K85&lt;&gt;"Y",OR($L85&lt;&gt;"",$W85="Awaiting ID")),"ID fields used but ID_Check_Needed is not Y; ","")&amp;IF(AND($R85="Y",$S85=""),"extension notice date missing; ","")&amp;IF(AND($R85&lt;&gt;"Y",$S85&lt;&gt;""),"notice date but Extended is not Y; ","")&amp;IF(AND($W85="Closed",$Y85=""),"closed without response date; ","")&amp;IF(AND($Y85&lt;&gt;"",$W85&lt;&gt;"Closed"),"response date but status not Closed; ","")&amp;IF(AND($Y85&lt;&gt;"",$B85&lt;&gt;"",$Y85&lt;$B85),"response before receipt; ","")&amp;IF(AND($AD85="Y",$AE85=""),"exemption needs a reason in Notes; ","")="","OK","Check: "&amp;IF(OR($B85="",$C85="",$D85="",$V85="",$W85=""),"missing required field; ","")&amp;IF(COUNTIF($A$2:$A$201,$A85)&gt;1,"duplicate ID; ","")&amp;IF(AND($B85&lt;&gt;"",$B85&gt;ReportDate),"received after snapshot date; ","")&amp;IF(AND($I85&lt;&gt;"",$B85&lt;&gt;"",$I85&lt;$B85),"acknowledged before receipt; ","")&amp;IF(AND($K85="Y",$L85="",$W85&lt;&gt;"Logged"),"ID requested date missing; ","")&amp;IF(AND($L85&lt;&gt;"",$M85&lt;&gt;"",$M85&lt;$L85),"ID dates out of order; ","")&amp;IF(AND($K85&lt;&gt;"Y",OR($L85&lt;&gt;"",$W85="Awaiting ID")),"ID fields used but ID_Check_Needed is not Y; ","")&amp;IF(AND($R85="Y",$S85=""),"extension notice date missing; ","")&amp;IF(AND($R85&lt;&gt;"Y",$S85&lt;&gt;""),"notice date but Extended is not Y; ","")&amp;IF(AND($W85="Closed",$Y85=""),"closed without response date; ","")&amp;IF(AND($Y85&lt;&gt;"",$W85&lt;&gt;"Closed"),"response date but status not Closed; ","")&amp;IF(AND($Y85&lt;&gt;"",$B85&lt;&gt;"",$Y85&lt;$B85),"response before receipt; ","")&amp;IF(AND($AD85="Y",$AE85=""),"exemption needs a reason in Notes; ","")))</f>
        <v/>
      </c>
    </row>
    <row r="86" spans="1:32" x14ac:dyDescent="0.35">
      <c r="A86" s="22"/>
      <c r="B86" s="23"/>
      <c r="C86" s="22"/>
      <c r="D86" s="22"/>
      <c r="E86" s="20" t="str">
        <f>IF($A86="","",IFERROR(VLOOKUP($D86,ReqTypes,2,FALSE),"?"))</f>
        <v/>
      </c>
      <c r="F86" s="20" t="str">
        <f>IF($A86="","",IFERROR(VLOOKUP($D86,ReqTypes,3,FALSE),"?"))</f>
        <v/>
      </c>
      <c r="G86" s="22"/>
      <c r="H86" s="22"/>
      <c r="I86" s="23"/>
      <c r="J86" s="20" t="str">
        <f>IF(OR($A86="",$I86=""),"",IF(NETWORKDAYS($B86,$I86,Holidays)-1&lt;=AckDays,"Y","N"))</f>
        <v/>
      </c>
      <c r="K86" s="22"/>
      <c r="L86" s="23"/>
      <c r="M86" s="23"/>
      <c r="N86" s="20" t="str">
        <f>IF(OR($A86="",$K86&lt;&gt;"Y"),"",IF($L86="","Pending",IF($L86-$B86&lt;=IDPromptDays,"Y","Check")))</f>
        <v/>
      </c>
      <c r="O86" s="20" t="str">
        <f>IF($A86="","",IF(OR($K86&lt;&gt;"Y",$L86=""),0,IF($M86="",MAX(0,ReportDate-$L86),$M86-$L86)))</f>
        <v/>
      </c>
      <c r="P86" s="21" t="str">
        <f>IF($A86="","",IF($F86&lt;&gt;"Y","n/a",WORKDAY(EDATE($B86,1)+$O86-1,1,Holidays)))</f>
        <v/>
      </c>
      <c r="Q86" s="21" t="str">
        <f>IF($A86="","",$B86+$O86+InternalDays)</f>
        <v/>
      </c>
      <c r="R86" s="22"/>
      <c r="S86" s="23"/>
      <c r="T86" s="20" t="str">
        <f t="shared" si="4"/>
        <v/>
      </c>
      <c r="U86" s="21" t="str">
        <f>IF($A86="","",IF($F86&lt;&gt;"Y",$Q86,IF(AND($R86="Y",$T86="Y"),WORKDAY(EDATE($B86,3)+$O86-1,1,Holidays),$P86)))</f>
        <v/>
      </c>
      <c r="V86" s="22"/>
      <c r="W86" s="22"/>
      <c r="X86" s="22"/>
      <c r="Y86" s="23"/>
      <c r="Z86" s="20" t="str">
        <f>IF($A86="","",IF($Y86&lt;&gt;"",$Y86-$B86,ReportDate-$B86))</f>
        <v/>
      </c>
      <c r="AA86" s="20" t="str">
        <f>IF(OR($A86="",$W86="Closed"),"",$U86-ReportDate)</f>
        <v/>
      </c>
      <c r="AB86" s="20" t="str">
        <f>IF($A86="","",IF($W86="Closed",IF($Y86&lt;=$U86,"Closed on time","Closed late"),IF($W86="Awaiting ID","Paused",IF($AA86&lt;0,"Overdue",IF($AA86&lt;=RedDays,"Red",IF($AA86&lt;=AmberDays,"Amber","Green"))))))</f>
        <v/>
      </c>
      <c r="AC86" s="20" t="str">
        <f t="shared" si="5"/>
        <v/>
      </c>
      <c r="AD86" s="22"/>
      <c r="AE86" s="22"/>
      <c r="AF86" s="20" t="str">
        <f>IF($A86="","",IF(IF(OR($B86="",$C86="",$D86="",$V86="",$W86=""),"missing required field; ","")&amp;IF(COUNTIF($A$2:$A$201,$A86)&gt;1,"duplicate ID; ","")&amp;IF(AND($B86&lt;&gt;"",$B86&gt;ReportDate),"received after snapshot date; ","")&amp;IF(AND($I86&lt;&gt;"",$B86&lt;&gt;"",$I86&lt;$B86),"acknowledged before receipt; ","")&amp;IF(AND($K86="Y",$L86="",$W86&lt;&gt;"Logged"),"ID requested date missing; ","")&amp;IF(AND($L86&lt;&gt;"",$M86&lt;&gt;"",$M86&lt;$L86),"ID dates out of order; ","")&amp;IF(AND($K86&lt;&gt;"Y",OR($L86&lt;&gt;"",$W86="Awaiting ID")),"ID fields used but ID_Check_Needed is not Y; ","")&amp;IF(AND($R86="Y",$S86=""),"extension notice date missing; ","")&amp;IF(AND($R86&lt;&gt;"Y",$S86&lt;&gt;""),"notice date but Extended is not Y; ","")&amp;IF(AND($W86="Closed",$Y86=""),"closed without response date; ","")&amp;IF(AND($Y86&lt;&gt;"",$W86&lt;&gt;"Closed"),"response date but status not Closed; ","")&amp;IF(AND($Y86&lt;&gt;"",$B86&lt;&gt;"",$Y86&lt;$B86),"response before receipt; ","")&amp;IF(AND($AD86="Y",$AE86=""),"exemption needs a reason in Notes; ","")="","OK","Check: "&amp;IF(OR($B86="",$C86="",$D86="",$V86="",$W86=""),"missing required field; ","")&amp;IF(COUNTIF($A$2:$A$201,$A86)&gt;1,"duplicate ID; ","")&amp;IF(AND($B86&lt;&gt;"",$B86&gt;ReportDate),"received after snapshot date; ","")&amp;IF(AND($I86&lt;&gt;"",$B86&lt;&gt;"",$I86&lt;$B86),"acknowledged before receipt; ","")&amp;IF(AND($K86="Y",$L86="",$W86&lt;&gt;"Logged"),"ID requested date missing; ","")&amp;IF(AND($L86&lt;&gt;"",$M86&lt;&gt;"",$M86&lt;$L86),"ID dates out of order; ","")&amp;IF(AND($K86&lt;&gt;"Y",OR($L86&lt;&gt;"",$W86="Awaiting ID")),"ID fields used but ID_Check_Needed is not Y; ","")&amp;IF(AND($R86="Y",$S86=""),"extension notice date missing; ","")&amp;IF(AND($R86&lt;&gt;"Y",$S86&lt;&gt;""),"notice date but Extended is not Y; ","")&amp;IF(AND($W86="Closed",$Y86=""),"closed without response date; ","")&amp;IF(AND($Y86&lt;&gt;"",$W86&lt;&gt;"Closed"),"response date but status not Closed; ","")&amp;IF(AND($Y86&lt;&gt;"",$B86&lt;&gt;"",$Y86&lt;$B86),"response before receipt; ","")&amp;IF(AND($AD86="Y",$AE86=""),"exemption needs a reason in Notes; ","")))</f>
        <v/>
      </c>
    </row>
    <row r="87" spans="1:32" x14ac:dyDescent="0.35">
      <c r="A87" s="22"/>
      <c r="B87" s="23"/>
      <c r="C87" s="22"/>
      <c r="D87" s="22"/>
      <c r="E87" s="20" t="str">
        <f>IF($A87="","",IFERROR(VLOOKUP($D87,ReqTypes,2,FALSE),"?"))</f>
        <v/>
      </c>
      <c r="F87" s="20" t="str">
        <f>IF($A87="","",IFERROR(VLOOKUP($D87,ReqTypes,3,FALSE),"?"))</f>
        <v/>
      </c>
      <c r="G87" s="22"/>
      <c r="H87" s="22"/>
      <c r="I87" s="23"/>
      <c r="J87" s="20" t="str">
        <f>IF(OR($A87="",$I87=""),"",IF(NETWORKDAYS($B87,$I87,Holidays)-1&lt;=AckDays,"Y","N"))</f>
        <v/>
      </c>
      <c r="K87" s="22"/>
      <c r="L87" s="23"/>
      <c r="M87" s="23"/>
      <c r="N87" s="20" t="str">
        <f>IF(OR($A87="",$K87&lt;&gt;"Y"),"",IF($L87="","Pending",IF($L87-$B87&lt;=IDPromptDays,"Y","Check")))</f>
        <v/>
      </c>
      <c r="O87" s="20" t="str">
        <f>IF($A87="","",IF(OR($K87&lt;&gt;"Y",$L87=""),0,IF($M87="",MAX(0,ReportDate-$L87),$M87-$L87)))</f>
        <v/>
      </c>
      <c r="P87" s="21" t="str">
        <f>IF($A87="","",IF($F87&lt;&gt;"Y","n/a",WORKDAY(EDATE($B87,1)+$O87-1,1,Holidays)))</f>
        <v/>
      </c>
      <c r="Q87" s="21" t="str">
        <f>IF($A87="","",$B87+$O87+InternalDays)</f>
        <v/>
      </c>
      <c r="R87" s="22"/>
      <c r="S87" s="23"/>
      <c r="T87" s="20" t="str">
        <f t="shared" si="4"/>
        <v/>
      </c>
      <c r="U87" s="21" t="str">
        <f>IF($A87="","",IF($F87&lt;&gt;"Y",$Q87,IF(AND($R87="Y",$T87="Y"),WORKDAY(EDATE($B87,3)+$O87-1,1,Holidays),$P87)))</f>
        <v/>
      </c>
      <c r="V87" s="22"/>
      <c r="W87" s="22"/>
      <c r="X87" s="22"/>
      <c r="Y87" s="23"/>
      <c r="Z87" s="20" t="str">
        <f>IF($A87="","",IF($Y87&lt;&gt;"",$Y87-$B87,ReportDate-$B87))</f>
        <v/>
      </c>
      <c r="AA87" s="20" t="str">
        <f>IF(OR($A87="",$W87="Closed"),"",$U87-ReportDate)</f>
        <v/>
      </c>
      <c r="AB87" s="20" t="str">
        <f>IF($A87="","",IF($W87="Closed",IF($Y87&lt;=$U87,"Closed on time","Closed late"),IF($W87="Awaiting ID","Paused",IF($AA87&lt;0,"Overdue",IF($AA87&lt;=RedDays,"Red",IF($AA87&lt;=AmberDays,"Amber","Green"))))))</f>
        <v/>
      </c>
      <c r="AC87" s="20" t="str">
        <f t="shared" si="5"/>
        <v/>
      </c>
      <c r="AD87" s="22"/>
      <c r="AE87" s="22"/>
      <c r="AF87" s="20" t="str">
        <f>IF($A87="","",IF(IF(OR($B87="",$C87="",$D87="",$V87="",$W87=""),"missing required field; ","")&amp;IF(COUNTIF($A$2:$A$201,$A87)&gt;1,"duplicate ID; ","")&amp;IF(AND($B87&lt;&gt;"",$B87&gt;ReportDate),"received after snapshot date; ","")&amp;IF(AND($I87&lt;&gt;"",$B87&lt;&gt;"",$I87&lt;$B87),"acknowledged before receipt; ","")&amp;IF(AND($K87="Y",$L87="",$W87&lt;&gt;"Logged"),"ID requested date missing; ","")&amp;IF(AND($L87&lt;&gt;"",$M87&lt;&gt;"",$M87&lt;$L87),"ID dates out of order; ","")&amp;IF(AND($K87&lt;&gt;"Y",OR($L87&lt;&gt;"",$W87="Awaiting ID")),"ID fields used but ID_Check_Needed is not Y; ","")&amp;IF(AND($R87="Y",$S87=""),"extension notice date missing; ","")&amp;IF(AND($R87&lt;&gt;"Y",$S87&lt;&gt;""),"notice date but Extended is not Y; ","")&amp;IF(AND($W87="Closed",$Y87=""),"closed without response date; ","")&amp;IF(AND($Y87&lt;&gt;"",$W87&lt;&gt;"Closed"),"response date but status not Closed; ","")&amp;IF(AND($Y87&lt;&gt;"",$B87&lt;&gt;"",$Y87&lt;$B87),"response before receipt; ","")&amp;IF(AND($AD87="Y",$AE87=""),"exemption needs a reason in Notes; ","")="","OK","Check: "&amp;IF(OR($B87="",$C87="",$D87="",$V87="",$W87=""),"missing required field; ","")&amp;IF(COUNTIF($A$2:$A$201,$A87)&gt;1,"duplicate ID; ","")&amp;IF(AND($B87&lt;&gt;"",$B87&gt;ReportDate),"received after snapshot date; ","")&amp;IF(AND($I87&lt;&gt;"",$B87&lt;&gt;"",$I87&lt;$B87),"acknowledged before receipt; ","")&amp;IF(AND($K87="Y",$L87="",$W87&lt;&gt;"Logged"),"ID requested date missing; ","")&amp;IF(AND($L87&lt;&gt;"",$M87&lt;&gt;"",$M87&lt;$L87),"ID dates out of order; ","")&amp;IF(AND($K87&lt;&gt;"Y",OR($L87&lt;&gt;"",$W87="Awaiting ID")),"ID fields used but ID_Check_Needed is not Y; ","")&amp;IF(AND($R87="Y",$S87=""),"extension notice date missing; ","")&amp;IF(AND($R87&lt;&gt;"Y",$S87&lt;&gt;""),"notice date but Extended is not Y; ","")&amp;IF(AND($W87="Closed",$Y87=""),"closed without response date; ","")&amp;IF(AND($Y87&lt;&gt;"",$W87&lt;&gt;"Closed"),"response date but status not Closed; ","")&amp;IF(AND($Y87&lt;&gt;"",$B87&lt;&gt;"",$Y87&lt;$B87),"response before receipt; ","")&amp;IF(AND($AD87="Y",$AE87=""),"exemption needs a reason in Notes; ","")))</f>
        <v/>
      </c>
    </row>
    <row r="88" spans="1:32" x14ac:dyDescent="0.35">
      <c r="A88" s="22"/>
      <c r="B88" s="23"/>
      <c r="C88" s="22"/>
      <c r="D88" s="22"/>
      <c r="E88" s="20" t="str">
        <f>IF($A88="","",IFERROR(VLOOKUP($D88,ReqTypes,2,FALSE),"?"))</f>
        <v/>
      </c>
      <c r="F88" s="20" t="str">
        <f>IF($A88="","",IFERROR(VLOOKUP($D88,ReqTypes,3,FALSE),"?"))</f>
        <v/>
      </c>
      <c r="G88" s="22"/>
      <c r="H88" s="22"/>
      <c r="I88" s="23"/>
      <c r="J88" s="20" t="str">
        <f>IF(OR($A88="",$I88=""),"",IF(NETWORKDAYS($B88,$I88,Holidays)-1&lt;=AckDays,"Y","N"))</f>
        <v/>
      </c>
      <c r="K88" s="22"/>
      <c r="L88" s="23"/>
      <c r="M88" s="23"/>
      <c r="N88" s="20" t="str">
        <f>IF(OR($A88="",$K88&lt;&gt;"Y"),"",IF($L88="","Pending",IF($L88-$B88&lt;=IDPromptDays,"Y","Check")))</f>
        <v/>
      </c>
      <c r="O88" s="20" t="str">
        <f>IF($A88="","",IF(OR($K88&lt;&gt;"Y",$L88=""),0,IF($M88="",MAX(0,ReportDate-$L88),$M88-$L88)))</f>
        <v/>
      </c>
      <c r="P88" s="21" t="str">
        <f>IF($A88="","",IF($F88&lt;&gt;"Y","n/a",WORKDAY(EDATE($B88,1)+$O88-1,1,Holidays)))</f>
        <v/>
      </c>
      <c r="Q88" s="21" t="str">
        <f>IF($A88="","",$B88+$O88+InternalDays)</f>
        <v/>
      </c>
      <c r="R88" s="22"/>
      <c r="S88" s="23"/>
      <c r="T88" s="20" t="str">
        <f t="shared" si="4"/>
        <v/>
      </c>
      <c r="U88" s="21" t="str">
        <f>IF($A88="","",IF($F88&lt;&gt;"Y",$Q88,IF(AND($R88="Y",$T88="Y"),WORKDAY(EDATE($B88,3)+$O88-1,1,Holidays),$P88)))</f>
        <v/>
      </c>
      <c r="V88" s="22"/>
      <c r="W88" s="22"/>
      <c r="X88" s="22"/>
      <c r="Y88" s="23"/>
      <c r="Z88" s="20" t="str">
        <f>IF($A88="","",IF($Y88&lt;&gt;"",$Y88-$B88,ReportDate-$B88))</f>
        <v/>
      </c>
      <c r="AA88" s="20" t="str">
        <f>IF(OR($A88="",$W88="Closed"),"",$U88-ReportDate)</f>
        <v/>
      </c>
      <c r="AB88" s="20" t="str">
        <f>IF($A88="","",IF($W88="Closed",IF($Y88&lt;=$U88,"Closed on time","Closed late"),IF($W88="Awaiting ID","Paused",IF($AA88&lt;0,"Overdue",IF($AA88&lt;=RedDays,"Red",IF($AA88&lt;=AmberDays,"Amber","Green"))))))</f>
        <v/>
      </c>
      <c r="AC88" s="20" t="str">
        <f t="shared" si="5"/>
        <v/>
      </c>
      <c r="AD88" s="22"/>
      <c r="AE88" s="22"/>
      <c r="AF88" s="20" t="str">
        <f>IF($A88="","",IF(IF(OR($B88="",$C88="",$D88="",$V88="",$W88=""),"missing required field; ","")&amp;IF(COUNTIF($A$2:$A$201,$A88)&gt;1,"duplicate ID; ","")&amp;IF(AND($B88&lt;&gt;"",$B88&gt;ReportDate),"received after snapshot date; ","")&amp;IF(AND($I88&lt;&gt;"",$B88&lt;&gt;"",$I88&lt;$B88),"acknowledged before receipt; ","")&amp;IF(AND($K88="Y",$L88="",$W88&lt;&gt;"Logged"),"ID requested date missing; ","")&amp;IF(AND($L88&lt;&gt;"",$M88&lt;&gt;"",$M88&lt;$L88),"ID dates out of order; ","")&amp;IF(AND($K88&lt;&gt;"Y",OR($L88&lt;&gt;"",$W88="Awaiting ID")),"ID fields used but ID_Check_Needed is not Y; ","")&amp;IF(AND($R88="Y",$S88=""),"extension notice date missing; ","")&amp;IF(AND($R88&lt;&gt;"Y",$S88&lt;&gt;""),"notice date but Extended is not Y; ","")&amp;IF(AND($W88="Closed",$Y88=""),"closed without response date; ","")&amp;IF(AND($Y88&lt;&gt;"",$W88&lt;&gt;"Closed"),"response date but status not Closed; ","")&amp;IF(AND($Y88&lt;&gt;"",$B88&lt;&gt;"",$Y88&lt;$B88),"response before receipt; ","")&amp;IF(AND($AD88="Y",$AE88=""),"exemption needs a reason in Notes; ","")="","OK","Check: "&amp;IF(OR($B88="",$C88="",$D88="",$V88="",$W88=""),"missing required field; ","")&amp;IF(COUNTIF($A$2:$A$201,$A88)&gt;1,"duplicate ID; ","")&amp;IF(AND($B88&lt;&gt;"",$B88&gt;ReportDate),"received after snapshot date; ","")&amp;IF(AND($I88&lt;&gt;"",$B88&lt;&gt;"",$I88&lt;$B88),"acknowledged before receipt; ","")&amp;IF(AND($K88="Y",$L88="",$W88&lt;&gt;"Logged"),"ID requested date missing; ","")&amp;IF(AND($L88&lt;&gt;"",$M88&lt;&gt;"",$M88&lt;$L88),"ID dates out of order; ","")&amp;IF(AND($K88&lt;&gt;"Y",OR($L88&lt;&gt;"",$W88="Awaiting ID")),"ID fields used but ID_Check_Needed is not Y; ","")&amp;IF(AND($R88="Y",$S88=""),"extension notice date missing; ","")&amp;IF(AND($R88&lt;&gt;"Y",$S88&lt;&gt;""),"notice date but Extended is not Y; ","")&amp;IF(AND($W88="Closed",$Y88=""),"closed without response date; ","")&amp;IF(AND($Y88&lt;&gt;"",$W88&lt;&gt;"Closed"),"response date but status not Closed; ","")&amp;IF(AND($Y88&lt;&gt;"",$B88&lt;&gt;"",$Y88&lt;$B88),"response before receipt; ","")&amp;IF(AND($AD88="Y",$AE88=""),"exemption needs a reason in Notes; ","")))</f>
        <v/>
      </c>
    </row>
    <row r="89" spans="1:32" x14ac:dyDescent="0.35">
      <c r="A89" s="22"/>
      <c r="B89" s="23"/>
      <c r="C89" s="22"/>
      <c r="D89" s="22"/>
      <c r="E89" s="20" t="str">
        <f>IF($A89="","",IFERROR(VLOOKUP($D89,ReqTypes,2,FALSE),"?"))</f>
        <v/>
      </c>
      <c r="F89" s="20" t="str">
        <f>IF($A89="","",IFERROR(VLOOKUP($D89,ReqTypes,3,FALSE),"?"))</f>
        <v/>
      </c>
      <c r="G89" s="22"/>
      <c r="H89" s="22"/>
      <c r="I89" s="23"/>
      <c r="J89" s="20" t="str">
        <f>IF(OR($A89="",$I89=""),"",IF(NETWORKDAYS($B89,$I89,Holidays)-1&lt;=AckDays,"Y","N"))</f>
        <v/>
      </c>
      <c r="K89" s="22"/>
      <c r="L89" s="23"/>
      <c r="M89" s="23"/>
      <c r="N89" s="20" t="str">
        <f>IF(OR($A89="",$K89&lt;&gt;"Y"),"",IF($L89="","Pending",IF($L89-$B89&lt;=IDPromptDays,"Y","Check")))</f>
        <v/>
      </c>
      <c r="O89" s="20" t="str">
        <f>IF($A89="","",IF(OR($K89&lt;&gt;"Y",$L89=""),0,IF($M89="",MAX(0,ReportDate-$L89),$M89-$L89)))</f>
        <v/>
      </c>
      <c r="P89" s="21" t="str">
        <f>IF($A89="","",IF($F89&lt;&gt;"Y","n/a",WORKDAY(EDATE($B89,1)+$O89-1,1,Holidays)))</f>
        <v/>
      </c>
      <c r="Q89" s="21" t="str">
        <f>IF($A89="","",$B89+$O89+InternalDays)</f>
        <v/>
      </c>
      <c r="R89" s="22"/>
      <c r="S89" s="23"/>
      <c r="T89" s="20" t="str">
        <f t="shared" si="4"/>
        <v/>
      </c>
      <c r="U89" s="21" t="str">
        <f>IF($A89="","",IF($F89&lt;&gt;"Y",$Q89,IF(AND($R89="Y",$T89="Y"),WORKDAY(EDATE($B89,3)+$O89-1,1,Holidays),$P89)))</f>
        <v/>
      </c>
      <c r="V89" s="22"/>
      <c r="W89" s="22"/>
      <c r="X89" s="22"/>
      <c r="Y89" s="23"/>
      <c r="Z89" s="20" t="str">
        <f>IF($A89="","",IF($Y89&lt;&gt;"",$Y89-$B89,ReportDate-$B89))</f>
        <v/>
      </c>
      <c r="AA89" s="20" t="str">
        <f>IF(OR($A89="",$W89="Closed"),"",$U89-ReportDate)</f>
        <v/>
      </c>
      <c r="AB89" s="20" t="str">
        <f>IF($A89="","",IF($W89="Closed",IF($Y89&lt;=$U89,"Closed on time","Closed late"),IF($W89="Awaiting ID","Paused",IF($AA89&lt;0,"Overdue",IF($AA89&lt;=RedDays,"Red",IF($AA89&lt;=AmberDays,"Amber","Green"))))))</f>
        <v/>
      </c>
      <c r="AC89" s="20" t="str">
        <f t="shared" si="5"/>
        <v/>
      </c>
      <c r="AD89" s="22"/>
      <c r="AE89" s="22"/>
      <c r="AF89" s="20" t="str">
        <f>IF($A89="","",IF(IF(OR($B89="",$C89="",$D89="",$V89="",$W89=""),"missing required field; ","")&amp;IF(COUNTIF($A$2:$A$201,$A89)&gt;1,"duplicate ID; ","")&amp;IF(AND($B89&lt;&gt;"",$B89&gt;ReportDate),"received after snapshot date; ","")&amp;IF(AND($I89&lt;&gt;"",$B89&lt;&gt;"",$I89&lt;$B89),"acknowledged before receipt; ","")&amp;IF(AND($K89="Y",$L89="",$W89&lt;&gt;"Logged"),"ID requested date missing; ","")&amp;IF(AND($L89&lt;&gt;"",$M89&lt;&gt;"",$M89&lt;$L89),"ID dates out of order; ","")&amp;IF(AND($K89&lt;&gt;"Y",OR($L89&lt;&gt;"",$W89="Awaiting ID")),"ID fields used but ID_Check_Needed is not Y; ","")&amp;IF(AND($R89="Y",$S89=""),"extension notice date missing; ","")&amp;IF(AND($R89&lt;&gt;"Y",$S89&lt;&gt;""),"notice date but Extended is not Y; ","")&amp;IF(AND($W89="Closed",$Y89=""),"closed without response date; ","")&amp;IF(AND($Y89&lt;&gt;"",$W89&lt;&gt;"Closed"),"response date but status not Closed; ","")&amp;IF(AND($Y89&lt;&gt;"",$B89&lt;&gt;"",$Y89&lt;$B89),"response before receipt; ","")&amp;IF(AND($AD89="Y",$AE89=""),"exemption needs a reason in Notes; ","")="","OK","Check: "&amp;IF(OR($B89="",$C89="",$D89="",$V89="",$W89=""),"missing required field; ","")&amp;IF(COUNTIF($A$2:$A$201,$A89)&gt;1,"duplicate ID; ","")&amp;IF(AND($B89&lt;&gt;"",$B89&gt;ReportDate),"received after snapshot date; ","")&amp;IF(AND($I89&lt;&gt;"",$B89&lt;&gt;"",$I89&lt;$B89),"acknowledged before receipt; ","")&amp;IF(AND($K89="Y",$L89="",$W89&lt;&gt;"Logged"),"ID requested date missing; ","")&amp;IF(AND($L89&lt;&gt;"",$M89&lt;&gt;"",$M89&lt;$L89),"ID dates out of order; ","")&amp;IF(AND($K89&lt;&gt;"Y",OR($L89&lt;&gt;"",$W89="Awaiting ID")),"ID fields used but ID_Check_Needed is not Y; ","")&amp;IF(AND($R89="Y",$S89=""),"extension notice date missing; ","")&amp;IF(AND($R89&lt;&gt;"Y",$S89&lt;&gt;""),"notice date but Extended is not Y; ","")&amp;IF(AND($W89="Closed",$Y89=""),"closed without response date; ","")&amp;IF(AND($Y89&lt;&gt;"",$W89&lt;&gt;"Closed"),"response date but status not Closed; ","")&amp;IF(AND($Y89&lt;&gt;"",$B89&lt;&gt;"",$Y89&lt;$B89),"response before receipt; ","")&amp;IF(AND($AD89="Y",$AE89=""),"exemption needs a reason in Notes; ","")))</f>
        <v/>
      </c>
    </row>
    <row r="90" spans="1:32" x14ac:dyDescent="0.35">
      <c r="A90" s="22"/>
      <c r="B90" s="23"/>
      <c r="C90" s="22"/>
      <c r="D90" s="22"/>
      <c r="E90" s="20" t="str">
        <f>IF($A90="","",IFERROR(VLOOKUP($D90,ReqTypes,2,FALSE),"?"))</f>
        <v/>
      </c>
      <c r="F90" s="20" t="str">
        <f>IF($A90="","",IFERROR(VLOOKUP($D90,ReqTypes,3,FALSE),"?"))</f>
        <v/>
      </c>
      <c r="G90" s="22"/>
      <c r="H90" s="22"/>
      <c r="I90" s="23"/>
      <c r="J90" s="20" t="str">
        <f>IF(OR($A90="",$I90=""),"",IF(NETWORKDAYS($B90,$I90,Holidays)-1&lt;=AckDays,"Y","N"))</f>
        <v/>
      </c>
      <c r="K90" s="22"/>
      <c r="L90" s="23"/>
      <c r="M90" s="23"/>
      <c r="N90" s="20" t="str">
        <f>IF(OR($A90="",$K90&lt;&gt;"Y"),"",IF($L90="","Pending",IF($L90-$B90&lt;=IDPromptDays,"Y","Check")))</f>
        <v/>
      </c>
      <c r="O90" s="20" t="str">
        <f>IF($A90="","",IF(OR($K90&lt;&gt;"Y",$L90=""),0,IF($M90="",MAX(0,ReportDate-$L90),$M90-$L90)))</f>
        <v/>
      </c>
      <c r="P90" s="21" t="str">
        <f>IF($A90="","",IF($F90&lt;&gt;"Y","n/a",WORKDAY(EDATE($B90,1)+$O90-1,1,Holidays)))</f>
        <v/>
      </c>
      <c r="Q90" s="21" t="str">
        <f>IF($A90="","",$B90+$O90+InternalDays)</f>
        <v/>
      </c>
      <c r="R90" s="22"/>
      <c r="S90" s="23"/>
      <c r="T90" s="20" t="str">
        <f t="shared" si="4"/>
        <v/>
      </c>
      <c r="U90" s="21" t="str">
        <f>IF($A90="","",IF($F90&lt;&gt;"Y",$Q90,IF(AND($R90="Y",$T90="Y"),WORKDAY(EDATE($B90,3)+$O90-1,1,Holidays),$P90)))</f>
        <v/>
      </c>
      <c r="V90" s="22"/>
      <c r="W90" s="22"/>
      <c r="X90" s="22"/>
      <c r="Y90" s="23"/>
      <c r="Z90" s="20" t="str">
        <f>IF($A90="","",IF($Y90&lt;&gt;"",$Y90-$B90,ReportDate-$B90))</f>
        <v/>
      </c>
      <c r="AA90" s="20" t="str">
        <f>IF(OR($A90="",$W90="Closed"),"",$U90-ReportDate)</f>
        <v/>
      </c>
      <c r="AB90" s="20" t="str">
        <f>IF($A90="","",IF($W90="Closed",IF($Y90&lt;=$U90,"Closed on time","Closed late"),IF($W90="Awaiting ID","Paused",IF($AA90&lt;0,"Overdue",IF($AA90&lt;=RedDays,"Red",IF($AA90&lt;=AmberDays,"Amber","Green"))))))</f>
        <v/>
      </c>
      <c r="AC90" s="20" t="str">
        <f t="shared" si="5"/>
        <v/>
      </c>
      <c r="AD90" s="22"/>
      <c r="AE90" s="22"/>
      <c r="AF90" s="20" t="str">
        <f>IF($A90="","",IF(IF(OR($B90="",$C90="",$D90="",$V90="",$W90=""),"missing required field; ","")&amp;IF(COUNTIF($A$2:$A$201,$A90)&gt;1,"duplicate ID; ","")&amp;IF(AND($B90&lt;&gt;"",$B90&gt;ReportDate),"received after snapshot date; ","")&amp;IF(AND($I90&lt;&gt;"",$B90&lt;&gt;"",$I90&lt;$B90),"acknowledged before receipt; ","")&amp;IF(AND($K90="Y",$L90="",$W90&lt;&gt;"Logged"),"ID requested date missing; ","")&amp;IF(AND($L90&lt;&gt;"",$M90&lt;&gt;"",$M90&lt;$L90),"ID dates out of order; ","")&amp;IF(AND($K90&lt;&gt;"Y",OR($L90&lt;&gt;"",$W90="Awaiting ID")),"ID fields used but ID_Check_Needed is not Y; ","")&amp;IF(AND($R90="Y",$S90=""),"extension notice date missing; ","")&amp;IF(AND($R90&lt;&gt;"Y",$S90&lt;&gt;""),"notice date but Extended is not Y; ","")&amp;IF(AND($W90="Closed",$Y90=""),"closed without response date; ","")&amp;IF(AND($Y90&lt;&gt;"",$W90&lt;&gt;"Closed"),"response date but status not Closed; ","")&amp;IF(AND($Y90&lt;&gt;"",$B90&lt;&gt;"",$Y90&lt;$B90),"response before receipt; ","")&amp;IF(AND($AD90="Y",$AE90=""),"exemption needs a reason in Notes; ","")="","OK","Check: "&amp;IF(OR($B90="",$C90="",$D90="",$V90="",$W90=""),"missing required field; ","")&amp;IF(COUNTIF($A$2:$A$201,$A90)&gt;1,"duplicate ID; ","")&amp;IF(AND($B90&lt;&gt;"",$B90&gt;ReportDate),"received after snapshot date; ","")&amp;IF(AND($I90&lt;&gt;"",$B90&lt;&gt;"",$I90&lt;$B90),"acknowledged before receipt; ","")&amp;IF(AND($K90="Y",$L90="",$W90&lt;&gt;"Logged"),"ID requested date missing; ","")&amp;IF(AND($L90&lt;&gt;"",$M90&lt;&gt;"",$M90&lt;$L90),"ID dates out of order; ","")&amp;IF(AND($K90&lt;&gt;"Y",OR($L90&lt;&gt;"",$W90="Awaiting ID")),"ID fields used but ID_Check_Needed is not Y; ","")&amp;IF(AND($R90="Y",$S90=""),"extension notice date missing; ","")&amp;IF(AND($R90&lt;&gt;"Y",$S90&lt;&gt;""),"notice date but Extended is not Y; ","")&amp;IF(AND($W90="Closed",$Y90=""),"closed without response date; ","")&amp;IF(AND($Y90&lt;&gt;"",$W90&lt;&gt;"Closed"),"response date but status not Closed; ","")&amp;IF(AND($Y90&lt;&gt;"",$B90&lt;&gt;"",$Y90&lt;$B90),"response before receipt; ","")&amp;IF(AND($AD90="Y",$AE90=""),"exemption needs a reason in Notes; ","")))</f>
        <v/>
      </c>
    </row>
    <row r="91" spans="1:32" x14ac:dyDescent="0.35">
      <c r="A91" s="22"/>
      <c r="B91" s="23"/>
      <c r="C91" s="22"/>
      <c r="D91" s="22"/>
      <c r="E91" s="20" t="str">
        <f>IF($A91="","",IFERROR(VLOOKUP($D91,ReqTypes,2,FALSE),"?"))</f>
        <v/>
      </c>
      <c r="F91" s="20" t="str">
        <f>IF($A91="","",IFERROR(VLOOKUP($D91,ReqTypes,3,FALSE),"?"))</f>
        <v/>
      </c>
      <c r="G91" s="22"/>
      <c r="H91" s="22"/>
      <c r="I91" s="23"/>
      <c r="J91" s="20" t="str">
        <f>IF(OR($A91="",$I91=""),"",IF(NETWORKDAYS($B91,$I91,Holidays)-1&lt;=AckDays,"Y","N"))</f>
        <v/>
      </c>
      <c r="K91" s="22"/>
      <c r="L91" s="23"/>
      <c r="M91" s="23"/>
      <c r="N91" s="20" t="str">
        <f>IF(OR($A91="",$K91&lt;&gt;"Y"),"",IF($L91="","Pending",IF($L91-$B91&lt;=IDPromptDays,"Y","Check")))</f>
        <v/>
      </c>
      <c r="O91" s="20" t="str">
        <f>IF($A91="","",IF(OR($K91&lt;&gt;"Y",$L91=""),0,IF($M91="",MAX(0,ReportDate-$L91),$M91-$L91)))</f>
        <v/>
      </c>
      <c r="P91" s="21" t="str">
        <f>IF($A91="","",IF($F91&lt;&gt;"Y","n/a",WORKDAY(EDATE($B91,1)+$O91-1,1,Holidays)))</f>
        <v/>
      </c>
      <c r="Q91" s="21" t="str">
        <f>IF($A91="","",$B91+$O91+InternalDays)</f>
        <v/>
      </c>
      <c r="R91" s="22"/>
      <c r="S91" s="23"/>
      <c r="T91" s="20" t="str">
        <f t="shared" si="4"/>
        <v/>
      </c>
      <c r="U91" s="21" t="str">
        <f>IF($A91="","",IF($F91&lt;&gt;"Y",$Q91,IF(AND($R91="Y",$T91="Y"),WORKDAY(EDATE($B91,3)+$O91-1,1,Holidays),$P91)))</f>
        <v/>
      </c>
      <c r="V91" s="22"/>
      <c r="W91" s="22"/>
      <c r="X91" s="22"/>
      <c r="Y91" s="23"/>
      <c r="Z91" s="20" t="str">
        <f>IF($A91="","",IF($Y91&lt;&gt;"",$Y91-$B91,ReportDate-$B91))</f>
        <v/>
      </c>
      <c r="AA91" s="20" t="str">
        <f>IF(OR($A91="",$W91="Closed"),"",$U91-ReportDate)</f>
        <v/>
      </c>
      <c r="AB91" s="20" t="str">
        <f>IF($A91="","",IF($W91="Closed",IF($Y91&lt;=$U91,"Closed on time","Closed late"),IF($W91="Awaiting ID","Paused",IF($AA91&lt;0,"Overdue",IF($AA91&lt;=RedDays,"Red",IF($AA91&lt;=AmberDays,"Amber","Green"))))))</f>
        <v/>
      </c>
      <c r="AC91" s="20" t="str">
        <f t="shared" si="5"/>
        <v/>
      </c>
      <c r="AD91" s="22"/>
      <c r="AE91" s="22"/>
      <c r="AF91" s="20" t="str">
        <f>IF($A91="","",IF(IF(OR($B91="",$C91="",$D91="",$V91="",$W91=""),"missing required field; ","")&amp;IF(COUNTIF($A$2:$A$201,$A91)&gt;1,"duplicate ID; ","")&amp;IF(AND($B91&lt;&gt;"",$B91&gt;ReportDate),"received after snapshot date; ","")&amp;IF(AND($I91&lt;&gt;"",$B91&lt;&gt;"",$I91&lt;$B91),"acknowledged before receipt; ","")&amp;IF(AND($K91="Y",$L91="",$W91&lt;&gt;"Logged"),"ID requested date missing; ","")&amp;IF(AND($L91&lt;&gt;"",$M91&lt;&gt;"",$M91&lt;$L91),"ID dates out of order; ","")&amp;IF(AND($K91&lt;&gt;"Y",OR($L91&lt;&gt;"",$W91="Awaiting ID")),"ID fields used but ID_Check_Needed is not Y; ","")&amp;IF(AND($R91="Y",$S91=""),"extension notice date missing; ","")&amp;IF(AND($R91&lt;&gt;"Y",$S91&lt;&gt;""),"notice date but Extended is not Y; ","")&amp;IF(AND($W91="Closed",$Y91=""),"closed without response date; ","")&amp;IF(AND($Y91&lt;&gt;"",$W91&lt;&gt;"Closed"),"response date but status not Closed; ","")&amp;IF(AND($Y91&lt;&gt;"",$B91&lt;&gt;"",$Y91&lt;$B91),"response before receipt; ","")&amp;IF(AND($AD91="Y",$AE91=""),"exemption needs a reason in Notes; ","")="","OK","Check: "&amp;IF(OR($B91="",$C91="",$D91="",$V91="",$W91=""),"missing required field; ","")&amp;IF(COUNTIF($A$2:$A$201,$A91)&gt;1,"duplicate ID; ","")&amp;IF(AND($B91&lt;&gt;"",$B91&gt;ReportDate),"received after snapshot date; ","")&amp;IF(AND($I91&lt;&gt;"",$B91&lt;&gt;"",$I91&lt;$B91),"acknowledged before receipt; ","")&amp;IF(AND($K91="Y",$L91="",$W91&lt;&gt;"Logged"),"ID requested date missing; ","")&amp;IF(AND($L91&lt;&gt;"",$M91&lt;&gt;"",$M91&lt;$L91),"ID dates out of order; ","")&amp;IF(AND($K91&lt;&gt;"Y",OR($L91&lt;&gt;"",$W91="Awaiting ID")),"ID fields used but ID_Check_Needed is not Y; ","")&amp;IF(AND($R91="Y",$S91=""),"extension notice date missing; ","")&amp;IF(AND($R91&lt;&gt;"Y",$S91&lt;&gt;""),"notice date but Extended is not Y; ","")&amp;IF(AND($W91="Closed",$Y91=""),"closed without response date; ","")&amp;IF(AND($Y91&lt;&gt;"",$W91&lt;&gt;"Closed"),"response date but status not Closed; ","")&amp;IF(AND($Y91&lt;&gt;"",$B91&lt;&gt;"",$Y91&lt;$B91),"response before receipt; ","")&amp;IF(AND($AD91="Y",$AE91=""),"exemption needs a reason in Notes; ","")))</f>
        <v/>
      </c>
    </row>
    <row r="92" spans="1:32" x14ac:dyDescent="0.35">
      <c r="A92" s="22"/>
      <c r="B92" s="23"/>
      <c r="C92" s="22"/>
      <c r="D92" s="22"/>
      <c r="E92" s="20" t="str">
        <f>IF($A92="","",IFERROR(VLOOKUP($D92,ReqTypes,2,FALSE),"?"))</f>
        <v/>
      </c>
      <c r="F92" s="20" t="str">
        <f>IF($A92="","",IFERROR(VLOOKUP($D92,ReqTypes,3,FALSE),"?"))</f>
        <v/>
      </c>
      <c r="G92" s="22"/>
      <c r="H92" s="22"/>
      <c r="I92" s="23"/>
      <c r="J92" s="20" t="str">
        <f>IF(OR($A92="",$I92=""),"",IF(NETWORKDAYS($B92,$I92,Holidays)-1&lt;=AckDays,"Y","N"))</f>
        <v/>
      </c>
      <c r="K92" s="22"/>
      <c r="L92" s="23"/>
      <c r="M92" s="23"/>
      <c r="N92" s="20" t="str">
        <f>IF(OR($A92="",$K92&lt;&gt;"Y"),"",IF($L92="","Pending",IF($L92-$B92&lt;=IDPromptDays,"Y","Check")))</f>
        <v/>
      </c>
      <c r="O92" s="20" t="str">
        <f>IF($A92="","",IF(OR($K92&lt;&gt;"Y",$L92=""),0,IF($M92="",MAX(0,ReportDate-$L92),$M92-$L92)))</f>
        <v/>
      </c>
      <c r="P92" s="21" t="str">
        <f>IF($A92="","",IF($F92&lt;&gt;"Y","n/a",WORKDAY(EDATE($B92,1)+$O92-1,1,Holidays)))</f>
        <v/>
      </c>
      <c r="Q92" s="21" t="str">
        <f>IF($A92="","",$B92+$O92+InternalDays)</f>
        <v/>
      </c>
      <c r="R92" s="22"/>
      <c r="S92" s="23"/>
      <c r="T92" s="20" t="str">
        <f t="shared" si="4"/>
        <v/>
      </c>
      <c r="U92" s="21" t="str">
        <f>IF($A92="","",IF($F92&lt;&gt;"Y",$Q92,IF(AND($R92="Y",$T92="Y"),WORKDAY(EDATE($B92,3)+$O92-1,1,Holidays),$P92)))</f>
        <v/>
      </c>
      <c r="V92" s="22"/>
      <c r="W92" s="22"/>
      <c r="X92" s="22"/>
      <c r="Y92" s="23"/>
      <c r="Z92" s="20" t="str">
        <f>IF($A92="","",IF($Y92&lt;&gt;"",$Y92-$B92,ReportDate-$B92))</f>
        <v/>
      </c>
      <c r="AA92" s="20" t="str">
        <f>IF(OR($A92="",$W92="Closed"),"",$U92-ReportDate)</f>
        <v/>
      </c>
      <c r="AB92" s="20" t="str">
        <f>IF($A92="","",IF($W92="Closed",IF($Y92&lt;=$U92,"Closed on time","Closed late"),IF($W92="Awaiting ID","Paused",IF($AA92&lt;0,"Overdue",IF($AA92&lt;=RedDays,"Red",IF($AA92&lt;=AmberDays,"Amber","Green"))))))</f>
        <v/>
      </c>
      <c r="AC92" s="20" t="str">
        <f t="shared" si="5"/>
        <v/>
      </c>
      <c r="AD92" s="22"/>
      <c r="AE92" s="22"/>
      <c r="AF92" s="20" t="str">
        <f>IF($A92="","",IF(IF(OR($B92="",$C92="",$D92="",$V92="",$W92=""),"missing required field; ","")&amp;IF(COUNTIF($A$2:$A$201,$A92)&gt;1,"duplicate ID; ","")&amp;IF(AND($B92&lt;&gt;"",$B92&gt;ReportDate),"received after snapshot date; ","")&amp;IF(AND($I92&lt;&gt;"",$B92&lt;&gt;"",$I92&lt;$B92),"acknowledged before receipt; ","")&amp;IF(AND($K92="Y",$L92="",$W92&lt;&gt;"Logged"),"ID requested date missing; ","")&amp;IF(AND($L92&lt;&gt;"",$M92&lt;&gt;"",$M92&lt;$L92),"ID dates out of order; ","")&amp;IF(AND($K92&lt;&gt;"Y",OR($L92&lt;&gt;"",$W92="Awaiting ID")),"ID fields used but ID_Check_Needed is not Y; ","")&amp;IF(AND($R92="Y",$S92=""),"extension notice date missing; ","")&amp;IF(AND($R92&lt;&gt;"Y",$S92&lt;&gt;""),"notice date but Extended is not Y; ","")&amp;IF(AND($W92="Closed",$Y92=""),"closed without response date; ","")&amp;IF(AND($Y92&lt;&gt;"",$W92&lt;&gt;"Closed"),"response date but status not Closed; ","")&amp;IF(AND($Y92&lt;&gt;"",$B92&lt;&gt;"",$Y92&lt;$B92),"response before receipt; ","")&amp;IF(AND($AD92="Y",$AE92=""),"exemption needs a reason in Notes; ","")="","OK","Check: "&amp;IF(OR($B92="",$C92="",$D92="",$V92="",$W92=""),"missing required field; ","")&amp;IF(COUNTIF($A$2:$A$201,$A92)&gt;1,"duplicate ID; ","")&amp;IF(AND($B92&lt;&gt;"",$B92&gt;ReportDate),"received after snapshot date; ","")&amp;IF(AND($I92&lt;&gt;"",$B92&lt;&gt;"",$I92&lt;$B92),"acknowledged before receipt; ","")&amp;IF(AND($K92="Y",$L92="",$W92&lt;&gt;"Logged"),"ID requested date missing; ","")&amp;IF(AND($L92&lt;&gt;"",$M92&lt;&gt;"",$M92&lt;$L92),"ID dates out of order; ","")&amp;IF(AND($K92&lt;&gt;"Y",OR($L92&lt;&gt;"",$W92="Awaiting ID")),"ID fields used but ID_Check_Needed is not Y; ","")&amp;IF(AND($R92="Y",$S92=""),"extension notice date missing; ","")&amp;IF(AND($R92&lt;&gt;"Y",$S92&lt;&gt;""),"notice date but Extended is not Y; ","")&amp;IF(AND($W92="Closed",$Y92=""),"closed without response date; ","")&amp;IF(AND($Y92&lt;&gt;"",$W92&lt;&gt;"Closed"),"response date but status not Closed; ","")&amp;IF(AND($Y92&lt;&gt;"",$B92&lt;&gt;"",$Y92&lt;$B92),"response before receipt; ","")&amp;IF(AND($AD92="Y",$AE92=""),"exemption needs a reason in Notes; ","")))</f>
        <v/>
      </c>
    </row>
    <row r="93" spans="1:32" x14ac:dyDescent="0.35">
      <c r="A93" s="22"/>
      <c r="B93" s="23"/>
      <c r="C93" s="22"/>
      <c r="D93" s="22"/>
      <c r="E93" s="20" t="str">
        <f>IF($A93="","",IFERROR(VLOOKUP($D93,ReqTypes,2,FALSE),"?"))</f>
        <v/>
      </c>
      <c r="F93" s="20" t="str">
        <f>IF($A93="","",IFERROR(VLOOKUP($D93,ReqTypes,3,FALSE),"?"))</f>
        <v/>
      </c>
      <c r="G93" s="22"/>
      <c r="H93" s="22"/>
      <c r="I93" s="23"/>
      <c r="J93" s="20" t="str">
        <f>IF(OR($A93="",$I93=""),"",IF(NETWORKDAYS($B93,$I93,Holidays)-1&lt;=AckDays,"Y","N"))</f>
        <v/>
      </c>
      <c r="K93" s="22"/>
      <c r="L93" s="23"/>
      <c r="M93" s="23"/>
      <c r="N93" s="20" t="str">
        <f>IF(OR($A93="",$K93&lt;&gt;"Y"),"",IF($L93="","Pending",IF($L93-$B93&lt;=IDPromptDays,"Y","Check")))</f>
        <v/>
      </c>
      <c r="O93" s="20" t="str">
        <f>IF($A93="","",IF(OR($K93&lt;&gt;"Y",$L93=""),0,IF($M93="",MAX(0,ReportDate-$L93),$M93-$L93)))</f>
        <v/>
      </c>
      <c r="P93" s="21" t="str">
        <f>IF($A93="","",IF($F93&lt;&gt;"Y","n/a",WORKDAY(EDATE($B93,1)+$O93-1,1,Holidays)))</f>
        <v/>
      </c>
      <c r="Q93" s="21" t="str">
        <f>IF($A93="","",$B93+$O93+InternalDays)</f>
        <v/>
      </c>
      <c r="R93" s="22"/>
      <c r="S93" s="23"/>
      <c r="T93" s="20" t="str">
        <f t="shared" si="4"/>
        <v/>
      </c>
      <c r="U93" s="21" t="str">
        <f>IF($A93="","",IF($F93&lt;&gt;"Y",$Q93,IF(AND($R93="Y",$T93="Y"),WORKDAY(EDATE($B93,3)+$O93-1,1,Holidays),$P93)))</f>
        <v/>
      </c>
      <c r="V93" s="22"/>
      <c r="W93" s="22"/>
      <c r="X93" s="22"/>
      <c r="Y93" s="23"/>
      <c r="Z93" s="20" t="str">
        <f>IF($A93="","",IF($Y93&lt;&gt;"",$Y93-$B93,ReportDate-$B93))</f>
        <v/>
      </c>
      <c r="AA93" s="20" t="str">
        <f>IF(OR($A93="",$W93="Closed"),"",$U93-ReportDate)</f>
        <v/>
      </c>
      <c r="AB93" s="20" t="str">
        <f>IF($A93="","",IF($W93="Closed",IF($Y93&lt;=$U93,"Closed on time","Closed late"),IF($W93="Awaiting ID","Paused",IF($AA93&lt;0,"Overdue",IF($AA93&lt;=RedDays,"Red",IF($AA93&lt;=AmberDays,"Amber","Green"))))))</f>
        <v/>
      </c>
      <c r="AC93" s="20" t="str">
        <f t="shared" si="5"/>
        <v/>
      </c>
      <c r="AD93" s="22"/>
      <c r="AE93" s="22"/>
      <c r="AF93" s="20" t="str">
        <f>IF($A93="","",IF(IF(OR($B93="",$C93="",$D93="",$V93="",$W93=""),"missing required field; ","")&amp;IF(COUNTIF($A$2:$A$201,$A93)&gt;1,"duplicate ID; ","")&amp;IF(AND($B93&lt;&gt;"",$B93&gt;ReportDate),"received after snapshot date; ","")&amp;IF(AND($I93&lt;&gt;"",$B93&lt;&gt;"",$I93&lt;$B93),"acknowledged before receipt; ","")&amp;IF(AND($K93="Y",$L93="",$W93&lt;&gt;"Logged"),"ID requested date missing; ","")&amp;IF(AND($L93&lt;&gt;"",$M93&lt;&gt;"",$M93&lt;$L93),"ID dates out of order; ","")&amp;IF(AND($K93&lt;&gt;"Y",OR($L93&lt;&gt;"",$W93="Awaiting ID")),"ID fields used but ID_Check_Needed is not Y; ","")&amp;IF(AND($R93="Y",$S93=""),"extension notice date missing; ","")&amp;IF(AND($R93&lt;&gt;"Y",$S93&lt;&gt;""),"notice date but Extended is not Y; ","")&amp;IF(AND($W93="Closed",$Y93=""),"closed without response date; ","")&amp;IF(AND($Y93&lt;&gt;"",$W93&lt;&gt;"Closed"),"response date but status not Closed; ","")&amp;IF(AND($Y93&lt;&gt;"",$B93&lt;&gt;"",$Y93&lt;$B93),"response before receipt; ","")&amp;IF(AND($AD93="Y",$AE93=""),"exemption needs a reason in Notes; ","")="","OK","Check: "&amp;IF(OR($B93="",$C93="",$D93="",$V93="",$W93=""),"missing required field; ","")&amp;IF(COUNTIF($A$2:$A$201,$A93)&gt;1,"duplicate ID; ","")&amp;IF(AND($B93&lt;&gt;"",$B93&gt;ReportDate),"received after snapshot date; ","")&amp;IF(AND($I93&lt;&gt;"",$B93&lt;&gt;"",$I93&lt;$B93),"acknowledged before receipt; ","")&amp;IF(AND($K93="Y",$L93="",$W93&lt;&gt;"Logged"),"ID requested date missing; ","")&amp;IF(AND($L93&lt;&gt;"",$M93&lt;&gt;"",$M93&lt;$L93),"ID dates out of order; ","")&amp;IF(AND($K93&lt;&gt;"Y",OR($L93&lt;&gt;"",$W93="Awaiting ID")),"ID fields used but ID_Check_Needed is not Y; ","")&amp;IF(AND($R93="Y",$S93=""),"extension notice date missing; ","")&amp;IF(AND($R93&lt;&gt;"Y",$S93&lt;&gt;""),"notice date but Extended is not Y; ","")&amp;IF(AND($W93="Closed",$Y93=""),"closed without response date; ","")&amp;IF(AND($Y93&lt;&gt;"",$W93&lt;&gt;"Closed"),"response date but status not Closed; ","")&amp;IF(AND($Y93&lt;&gt;"",$B93&lt;&gt;"",$Y93&lt;$B93),"response before receipt; ","")&amp;IF(AND($AD93="Y",$AE93=""),"exemption needs a reason in Notes; ","")))</f>
        <v/>
      </c>
    </row>
    <row r="94" spans="1:32" x14ac:dyDescent="0.35">
      <c r="A94" s="22"/>
      <c r="B94" s="23"/>
      <c r="C94" s="22"/>
      <c r="D94" s="22"/>
      <c r="E94" s="20" t="str">
        <f>IF($A94="","",IFERROR(VLOOKUP($D94,ReqTypes,2,FALSE),"?"))</f>
        <v/>
      </c>
      <c r="F94" s="20" t="str">
        <f>IF($A94="","",IFERROR(VLOOKUP($D94,ReqTypes,3,FALSE),"?"))</f>
        <v/>
      </c>
      <c r="G94" s="22"/>
      <c r="H94" s="22"/>
      <c r="I94" s="23"/>
      <c r="J94" s="20" t="str">
        <f>IF(OR($A94="",$I94=""),"",IF(NETWORKDAYS($B94,$I94,Holidays)-1&lt;=AckDays,"Y","N"))</f>
        <v/>
      </c>
      <c r="K94" s="22"/>
      <c r="L94" s="23"/>
      <c r="M94" s="23"/>
      <c r="N94" s="20" t="str">
        <f>IF(OR($A94="",$K94&lt;&gt;"Y"),"",IF($L94="","Pending",IF($L94-$B94&lt;=IDPromptDays,"Y","Check")))</f>
        <v/>
      </c>
      <c r="O94" s="20" t="str">
        <f>IF($A94="","",IF(OR($K94&lt;&gt;"Y",$L94=""),0,IF($M94="",MAX(0,ReportDate-$L94),$M94-$L94)))</f>
        <v/>
      </c>
      <c r="P94" s="21" t="str">
        <f>IF($A94="","",IF($F94&lt;&gt;"Y","n/a",WORKDAY(EDATE($B94,1)+$O94-1,1,Holidays)))</f>
        <v/>
      </c>
      <c r="Q94" s="21" t="str">
        <f>IF($A94="","",$B94+$O94+InternalDays)</f>
        <v/>
      </c>
      <c r="R94" s="22"/>
      <c r="S94" s="23"/>
      <c r="T94" s="20" t="str">
        <f t="shared" si="4"/>
        <v/>
      </c>
      <c r="U94" s="21" t="str">
        <f>IF($A94="","",IF($F94&lt;&gt;"Y",$Q94,IF(AND($R94="Y",$T94="Y"),WORKDAY(EDATE($B94,3)+$O94-1,1,Holidays),$P94)))</f>
        <v/>
      </c>
      <c r="V94" s="22"/>
      <c r="W94" s="22"/>
      <c r="X94" s="22"/>
      <c r="Y94" s="23"/>
      <c r="Z94" s="20" t="str">
        <f>IF($A94="","",IF($Y94&lt;&gt;"",$Y94-$B94,ReportDate-$B94))</f>
        <v/>
      </c>
      <c r="AA94" s="20" t="str">
        <f>IF(OR($A94="",$W94="Closed"),"",$U94-ReportDate)</f>
        <v/>
      </c>
      <c r="AB94" s="20" t="str">
        <f>IF($A94="","",IF($W94="Closed",IF($Y94&lt;=$U94,"Closed on time","Closed late"),IF($W94="Awaiting ID","Paused",IF($AA94&lt;0,"Overdue",IF($AA94&lt;=RedDays,"Red",IF($AA94&lt;=AmberDays,"Amber","Green"))))))</f>
        <v/>
      </c>
      <c r="AC94" s="20" t="str">
        <f t="shared" si="5"/>
        <v/>
      </c>
      <c r="AD94" s="22"/>
      <c r="AE94" s="22"/>
      <c r="AF94" s="20" t="str">
        <f>IF($A94="","",IF(IF(OR($B94="",$C94="",$D94="",$V94="",$W94=""),"missing required field; ","")&amp;IF(COUNTIF($A$2:$A$201,$A94)&gt;1,"duplicate ID; ","")&amp;IF(AND($B94&lt;&gt;"",$B94&gt;ReportDate),"received after snapshot date; ","")&amp;IF(AND($I94&lt;&gt;"",$B94&lt;&gt;"",$I94&lt;$B94),"acknowledged before receipt; ","")&amp;IF(AND($K94="Y",$L94="",$W94&lt;&gt;"Logged"),"ID requested date missing; ","")&amp;IF(AND($L94&lt;&gt;"",$M94&lt;&gt;"",$M94&lt;$L94),"ID dates out of order; ","")&amp;IF(AND($K94&lt;&gt;"Y",OR($L94&lt;&gt;"",$W94="Awaiting ID")),"ID fields used but ID_Check_Needed is not Y; ","")&amp;IF(AND($R94="Y",$S94=""),"extension notice date missing; ","")&amp;IF(AND($R94&lt;&gt;"Y",$S94&lt;&gt;""),"notice date but Extended is not Y; ","")&amp;IF(AND($W94="Closed",$Y94=""),"closed without response date; ","")&amp;IF(AND($Y94&lt;&gt;"",$W94&lt;&gt;"Closed"),"response date but status not Closed; ","")&amp;IF(AND($Y94&lt;&gt;"",$B94&lt;&gt;"",$Y94&lt;$B94),"response before receipt; ","")&amp;IF(AND($AD94="Y",$AE94=""),"exemption needs a reason in Notes; ","")="","OK","Check: "&amp;IF(OR($B94="",$C94="",$D94="",$V94="",$W94=""),"missing required field; ","")&amp;IF(COUNTIF($A$2:$A$201,$A94)&gt;1,"duplicate ID; ","")&amp;IF(AND($B94&lt;&gt;"",$B94&gt;ReportDate),"received after snapshot date; ","")&amp;IF(AND($I94&lt;&gt;"",$B94&lt;&gt;"",$I94&lt;$B94),"acknowledged before receipt; ","")&amp;IF(AND($K94="Y",$L94="",$W94&lt;&gt;"Logged"),"ID requested date missing; ","")&amp;IF(AND($L94&lt;&gt;"",$M94&lt;&gt;"",$M94&lt;$L94),"ID dates out of order; ","")&amp;IF(AND($K94&lt;&gt;"Y",OR($L94&lt;&gt;"",$W94="Awaiting ID")),"ID fields used but ID_Check_Needed is not Y; ","")&amp;IF(AND($R94="Y",$S94=""),"extension notice date missing; ","")&amp;IF(AND($R94&lt;&gt;"Y",$S94&lt;&gt;""),"notice date but Extended is not Y; ","")&amp;IF(AND($W94="Closed",$Y94=""),"closed without response date; ","")&amp;IF(AND($Y94&lt;&gt;"",$W94&lt;&gt;"Closed"),"response date but status not Closed; ","")&amp;IF(AND($Y94&lt;&gt;"",$B94&lt;&gt;"",$Y94&lt;$B94),"response before receipt; ","")&amp;IF(AND($AD94="Y",$AE94=""),"exemption needs a reason in Notes; ","")))</f>
        <v/>
      </c>
    </row>
    <row r="95" spans="1:32" x14ac:dyDescent="0.35">
      <c r="A95" s="22"/>
      <c r="B95" s="23"/>
      <c r="C95" s="22"/>
      <c r="D95" s="22"/>
      <c r="E95" s="20" t="str">
        <f>IF($A95="","",IFERROR(VLOOKUP($D95,ReqTypes,2,FALSE),"?"))</f>
        <v/>
      </c>
      <c r="F95" s="20" t="str">
        <f>IF($A95="","",IFERROR(VLOOKUP($D95,ReqTypes,3,FALSE),"?"))</f>
        <v/>
      </c>
      <c r="G95" s="22"/>
      <c r="H95" s="22"/>
      <c r="I95" s="23"/>
      <c r="J95" s="20" t="str">
        <f>IF(OR($A95="",$I95=""),"",IF(NETWORKDAYS($B95,$I95,Holidays)-1&lt;=AckDays,"Y","N"))</f>
        <v/>
      </c>
      <c r="K95" s="22"/>
      <c r="L95" s="23"/>
      <c r="M95" s="23"/>
      <c r="N95" s="20" t="str">
        <f>IF(OR($A95="",$K95&lt;&gt;"Y"),"",IF($L95="","Pending",IF($L95-$B95&lt;=IDPromptDays,"Y","Check")))</f>
        <v/>
      </c>
      <c r="O95" s="20" t="str">
        <f>IF($A95="","",IF(OR($K95&lt;&gt;"Y",$L95=""),0,IF($M95="",MAX(0,ReportDate-$L95),$M95-$L95)))</f>
        <v/>
      </c>
      <c r="P95" s="21" t="str">
        <f>IF($A95="","",IF($F95&lt;&gt;"Y","n/a",WORKDAY(EDATE($B95,1)+$O95-1,1,Holidays)))</f>
        <v/>
      </c>
      <c r="Q95" s="21" t="str">
        <f>IF($A95="","",$B95+$O95+InternalDays)</f>
        <v/>
      </c>
      <c r="R95" s="22"/>
      <c r="S95" s="23"/>
      <c r="T95" s="20" t="str">
        <f t="shared" si="4"/>
        <v/>
      </c>
      <c r="U95" s="21" t="str">
        <f>IF($A95="","",IF($F95&lt;&gt;"Y",$Q95,IF(AND($R95="Y",$T95="Y"),WORKDAY(EDATE($B95,3)+$O95-1,1,Holidays),$P95)))</f>
        <v/>
      </c>
      <c r="V95" s="22"/>
      <c r="W95" s="22"/>
      <c r="X95" s="22"/>
      <c r="Y95" s="23"/>
      <c r="Z95" s="20" t="str">
        <f>IF($A95="","",IF($Y95&lt;&gt;"",$Y95-$B95,ReportDate-$B95))</f>
        <v/>
      </c>
      <c r="AA95" s="20" t="str">
        <f>IF(OR($A95="",$W95="Closed"),"",$U95-ReportDate)</f>
        <v/>
      </c>
      <c r="AB95" s="20" t="str">
        <f>IF($A95="","",IF($W95="Closed",IF($Y95&lt;=$U95,"Closed on time","Closed late"),IF($W95="Awaiting ID","Paused",IF($AA95&lt;0,"Overdue",IF($AA95&lt;=RedDays,"Red",IF($AA95&lt;=AmberDays,"Amber","Green"))))))</f>
        <v/>
      </c>
      <c r="AC95" s="20" t="str">
        <f t="shared" si="5"/>
        <v/>
      </c>
      <c r="AD95" s="22"/>
      <c r="AE95" s="22"/>
      <c r="AF95" s="20" t="str">
        <f>IF($A95="","",IF(IF(OR($B95="",$C95="",$D95="",$V95="",$W95=""),"missing required field; ","")&amp;IF(COUNTIF($A$2:$A$201,$A95)&gt;1,"duplicate ID; ","")&amp;IF(AND($B95&lt;&gt;"",$B95&gt;ReportDate),"received after snapshot date; ","")&amp;IF(AND($I95&lt;&gt;"",$B95&lt;&gt;"",$I95&lt;$B95),"acknowledged before receipt; ","")&amp;IF(AND($K95="Y",$L95="",$W95&lt;&gt;"Logged"),"ID requested date missing; ","")&amp;IF(AND($L95&lt;&gt;"",$M95&lt;&gt;"",$M95&lt;$L95),"ID dates out of order; ","")&amp;IF(AND($K95&lt;&gt;"Y",OR($L95&lt;&gt;"",$W95="Awaiting ID")),"ID fields used but ID_Check_Needed is not Y; ","")&amp;IF(AND($R95="Y",$S95=""),"extension notice date missing; ","")&amp;IF(AND($R95&lt;&gt;"Y",$S95&lt;&gt;""),"notice date but Extended is not Y; ","")&amp;IF(AND($W95="Closed",$Y95=""),"closed without response date; ","")&amp;IF(AND($Y95&lt;&gt;"",$W95&lt;&gt;"Closed"),"response date but status not Closed; ","")&amp;IF(AND($Y95&lt;&gt;"",$B95&lt;&gt;"",$Y95&lt;$B95),"response before receipt; ","")&amp;IF(AND($AD95="Y",$AE95=""),"exemption needs a reason in Notes; ","")="","OK","Check: "&amp;IF(OR($B95="",$C95="",$D95="",$V95="",$W95=""),"missing required field; ","")&amp;IF(COUNTIF($A$2:$A$201,$A95)&gt;1,"duplicate ID; ","")&amp;IF(AND($B95&lt;&gt;"",$B95&gt;ReportDate),"received after snapshot date; ","")&amp;IF(AND($I95&lt;&gt;"",$B95&lt;&gt;"",$I95&lt;$B95),"acknowledged before receipt; ","")&amp;IF(AND($K95="Y",$L95="",$W95&lt;&gt;"Logged"),"ID requested date missing; ","")&amp;IF(AND($L95&lt;&gt;"",$M95&lt;&gt;"",$M95&lt;$L95),"ID dates out of order; ","")&amp;IF(AND($K95&lt;&gt;"Y",OR($L95&lt;&gt;"",$W95="Awaiting ID")),"ID fields used but ID_Check_Needed is not Y; ","")&amp;IF(AND($R95="Y",$S95=""),"extension notice date missing; ","")&amp;IF(AND($R95&lt;&gt;"Y",$S95&lt;&gt;""),"notice date but Extended is not Y; ","")&amp;IF(AND($W95="Closed",$Y95=""),"closed without response date; ","")&amp;IF(AND($Y95&lt;&gt;"",$W95&lt;&gt;"Closed"),"response date but status not Closed; ","")&amp;IF(AND($Y95&lt;&gt;"",$B95&lt;&gt;"",$Y95&lt;$B95),"response before receipt; ","")&amp;IF(AND($AD95="Y",$AE95=""),"exemption needs a reason in Notes; ","")))</f>
        <v/>
      </c>
    </row>
    <row r="96" spans="1:32" x14ac:dyDescent="0.35">
      <c r="A96" s="22"/>
      <c r="B96" s="23"/>
      <c r="C96" s="22"/>
      <c r="D96" s="22"/>
      <c r="E96" s="20" t="str">
        <f>IF($A96="","",IFERROR(VLOOKUP($D96,ReqTypes,2,FALSE),"?"))</f>
        <v/>
      </c>
      <c r="F96" s="20" t="str">
        <f>IF($A96="","",IFERROR(VLOOKUP($D96,ReqTypes,3,FALSE),"?"))</f>
        <v/>
      </c>
      <c r="G96" s="22"/>
      <c r="H96" s="22"/>
      <c r="I96" s="23"/>
      <c r="J96" s="20" t="str">
        <f>IF(OR($A96="",$I96=""),"",IF(NETWORKDAYS($B96,$I96,Holidays)-1&lt;=AckDays,"Y","N"))</f>
        <v/>
      </c>
      <c r="K96" s="22"/>
      <c r="L96" s="23"/>
      <c r="M96" s="23"/>
      <c r="N96" s="20" t="str">
        <f>IF(OR($A96="",$K96&lt;&gt;"Y"),"",IF($L96="","Pending",IF($L96-$B96&lt;=IDPromptDays,"Y","Check")))</f>
        <v/>
      </c>
      <c r="O96" s="20" t="str">
        <f>IF($A96="","",IF(OR($K96&lt;&gt;"Y",$L96=""),0,IF($M96="",MAX(0,ReportDate-$L96),$M96-$L96)))</f>
        <v/>
      </c>
      <c r="P96" s="21" t="str">
        <f>IF($A96="","",IF($F96&lt;&gt;"Y","n/a",WORKDAY(EDATE($B96,1)+$O96-1,1,Holidays)))</f>
        <v/>
      </c>
      <c r="Q96" s="21" t="str">
        <f>IF($A96="","",$B96+$O96+InternalDays)</f>
        <v/>
      </c>
      <c r="R96" s="22"/>
      <c r="S96" s="23"/>
      <c r="T96" s="20" t="str">
        <f t="shared" si="4"/>
        <v/>
      </c>
      <c r="U96" s="21" t="str">
        <f>IF($A96="","",IF($F96&lt;&gt;"Y",$Q96,IF(AND($R96="Y",$T96="Y"),WORKDAY(EDATE($B96,3)+$O96-1,1,Holidays),$P96)))</f>
        <v/>
      </c>
      <c r="V96" s="22"/>
      <c r="W96" s="22"/>
      <c r="X96" s="22"/>
      <c r="Y96" s="23"/>
      <c r="Z96" s="20" t="str">
        <f>IF($A96="","",IF($Y96&lt;&gt;"",$Y96-$B96,ReportDate-$B96))</f>
        <v/>
      </c>
      <c r="AA96" s="20" t="str">
        <f>IF(OR($A96="",$W96="Closed"),"",$U96-ReportDate)</f>
        <v/>
      </c>
      <c r="AB96" s="20" t="str">
        <f>IF($A96="","",IF($W96="Closed",IF($Y96&lt;=$U96,"Closed on time","Closed late"),IF($W96="Awaiting ID","Paused",IF($AA96&lt;0,"Overdue",IF($AA96&lt;=RedDays,"Red",IF($AA96&lt;=AmberDays,"Amber","Green"))))))</f>
        <v/>
      </c>
      <c r="AC96" s="20" t="str">
        <f t="shared" si="5"/>
        <v/>
      </c>
      <c r="AD96" s="22"/>
      <c r="AE96" s="22"/>
      <c r="AF96" s="20" t="str">
        <f>IF($A96="","",IF(IF(OR($B96="",$C96="",$D96="",$V96="",$W96=""),"missing required field; ","")&amp;IF(COUNTIF($A$2:$A$201,$A96)&gt;1,"duplicate ID; ","")&amp;IF(AND($B96&lt;&gt;"",$B96&gt;ReportDate),"received after snapshot date; ","")&amp;IF(AND($I96&lt;&gt;"",$B96&lt;&gt;"",$I96&lt;$B96),"acknowledged before receipt; ","")&amp;IF(AND($K96="Y",$L96="",$W96&lt;&gt;"Logged"),"ID requested date missing; ","")&amp;IF(AND($L96&lt;&gt;"",$M96&lt;&gt;"",$M96&lt;$L96),"ID dates out of order; ","")&amp;IF(AND($K96&lt;&gt;"Y",OR($L96&lt;&gt;"",$W96="Awaiting ID")),"ID fields used but ID_Check_Needed is not Y; ","")&amp;IF(AND($R96="Y",$S96=""),"extension notice date missing; ","")&amp;IF(AND($R96&lt;&gt;"Y",$S96&lt;&gt;""),"notice date but Extended is not Y; ","")&amp;IF(AND($W96="Closed",$Y96=""),"closed without response date; ","")&amp;IF(AND($Y96&lt;&gt;"",$W96&lt;&gt;"Closed"),"response date but status not Closed; ","")&amp;IF(AND($Y96&lt;&gt;"",$B96&lt;&gt;"",$Y96&lt;$B96),"response before receipt; ","")&amp;IF(AND($AD96="Y",$AE96=""),"exemption needs a reason in Notes; ","")="","OK","Check: "&amp;IF(OR($B96="",$C96="",$D96="",$V96="",$W96=""),"missing required field; ","")&amp;IF(COUNTIF($A$2:$A$201,$A96)&gt;1,"duplicate ID; ","")&amp;IF(AND($B96&lt;&gt;"",$B96&gt;ReportDate),"received after snapshot date; ","")&amp;IF(AND($I96&lt;&gt;"",$B96&lt;&gt;"",$I96&lt;$B96),"acknowledged before receipt; ","")&amp;IF(AND($K96="Y",$L96="",$W96&lt;&gt;"Logged"),"ID requested date missing; ","")&amp;IF(AND($L96&lt;&gt;"",$M96&lt;&gt;"",$M96&lt;$L96),"ID dates out of order; ","")&amp;IF(AND($K96&lt;&gt;"Y",OR($L96&lt;&gt;"",$W96="Awaiting ID")),"ID fields used but ID_Check_Needed is not Y; ","")&amp;IF(AND($R96="Y",$S96=""),"extension notice date missing; ","")&amp;IF(AND($R96&lt;&gt;"Y",$S96&lt;&gt;""),"notice date but Extended is not Y; ","")&amp;IF(AND($W96="Closed",$Y96=""),"closed without response date; ","")&amp;IF(AND($Y96&lt;&gt;"",$W96&lt;&gt;"Closed"),"response date but status not Closed; ","")&amp;IF(AND($Y96&lt;&gt;"",$B96&lt;&gt;"",$Y96&lt;$B96),"response before receipt; ","")&amp;IF(AND($AD96="Y",$AE96=""),"exemption needs a reason in Notes; ","")))</f>
        <v/>
      </c>
    </row>
    <row r="97" spans="1:32" x14ac:dyDescent="0.35">
      <c r="A97" s="22"/>
      <c r="B97" s="23"/>
      <c r="C97" s="22"/>
      <c r="D97" s="22"/>
      <c r="E97" s="20" t="str">
        <f>IF($A97="","",IFERROR(VLOOKUP($D97,ReqTypes,2,FALSE),"?"))</f>
        <v/>
      </c>
      <c r="F97" s="20" t="str">
        <f>IF($A97="","",IFERROR(VLOOKUP($D97,ReqTypes,3,FALSE),"?"))</f>
        <v/>
      </c>
      <c r="G97" s="22"/>
      <c r="H97" s="22"/>
      <c r="I97" s="23"/>
      <c r="J97" s="20" t="str">
        <f>IF(OR($A97="",$I97=""),"",IF(NETWORKDAYS($B97,$I97,Holidays)-1&lt;=AckDays,"Y","N"))</f>
        <v/>
      </c>
      <c r="K97" s="22"/>
      <c r="L97" s="23"/>
      <c r="M97" s="23"/>
      <c r="N97" s="20" t="str">
        <f>IF(OR($A97="",$K97&lt;&gt;"Y"),"",IF($L97="","Pending",IF($L97-$B97&lt;=IDPromptDays,"Y","Check")))</f>
        <v/>
      </c>
      <c r="O97" s="20" t="str">
        <f>IF($A97="","",IF(OR($K97&lt;&gt;"Y",$L97=""),0,IF($M97="",MAX(0,ReportDate-$L97),$M97-$L97)))</f>
        <v/>
      </c>
      <c r="P97" s="21" t="str">
        <f>IF($A97="","",IF($F97&lt;&gt;"Y","n/a",WORKDAY(EDATE($B97,1)+$O97-1,1,Holidays)))</f>
        <v/>
      </c>
      <c r="Q97" s="21" t="str">
        <f>IF($A97="","",$B97+$O97+InternalDays)</f>
        <v/>
      </c>
      <c r="R97" s="22"/>
      <c r="S97" s="23"/>
      <c r="T97" s="20" t="str">
        <f t="shared" si="4"/>
        <v/>
      </c>
      <c r="U97" s="21" t="str">
        <f>IF($A97="","",IF($F97&lt;&gt;"Y",$Q97,IF(AND($R97="Y",$T97="Y"),WORKDAY(EDATE($B97,3)+$O97-1,1,Holidays),$P97)))</f>
        <v/>
      </c>
      <c r="V97" s="22"/>
      <c r="W97" s="22"/>
      <c r="X97" s="22"/>
      <c r="Y97" s="23"/>
      <c r="Z97" s="20" t="str">
        <f>IF($A97="","",IF($Y97&lt;&gt;"",$Y97-$B97,ReportDate-$B97))</f>
        <v/>
      </c>
      <c r="AA97" s="20" t="str">
        <f>IF(OR($A97="",$W97="Closed"),"",$U97-ReportDate)</f>
        <v/>
      </c>
      <c r="AB97" s="20" t="str">
        <f>IF($A97="","",IF($W97="Closed",IF($Y97&lt;=$U97,"Closed on time","Closed late"),IF($W97="Awaiting ID","Paused",IF($AA97&lt;0,"Overdue",IF($AA97&lt;=RedDays,"Red",IF($AA97&lt;=AmberDays,"Amber","Green"))))))</f>
        <v/>
      </c>
      <c r="AC97" s="20" t="str">
        <f t="shared" si="5"/>
        <v/>
      </c>
      <c r="AD97" s="22"/>
      <c r="AE97" s="22"/>
      <c r="AF97" s="20" t="str">
        <f>IF($A97="","",IF(IF(OR($B97="",$C97="",$D97="",$V97="",$W97=""),"missing required field; ","")&amp;IF(COUNTIF($A$2:$A$201,$A97)&gt;1,"duplicate ID; ","")&amp;IF(AND($B97&lt;&gt;"",$B97&gt;ReportDate),"received after snapshot date; ","")&amp;IF(AND($I97&lt;&gt;"",$B97&lt;&gt;"",$I97&lt;$B97),"acknowledged before receipt; ","")&amp;IF(AND($K97="Y",$L97="",$W97&lt;&gt;"Logged"),"ID requested date missing; ","")&amp;IF(AND($L97&lt;&gt;"",$M97&lt;&gt;"",$M97&lt;$L97),"ID dates out of order; ","")&amp;IF(AND($K97&lt;&gt;"Y",OR($L97&lt;&gt;"",$W97="Awaiting ID")),"ID fields used but ID_Check_Needed is not Y; ","")&amp;IF(AND($R97="Y",$S97=""),"extension notice date missing; ","")&amp;IF(AND($R97&lt;&gt;"Y",$S97&lt;&gt;""),"notice date but Extended is not Y; ","")&amp;IF(AND($W97="Closed",$Y97=""),"closed without response date; ","")&amp;IF(AND($Y97&lt;&gt;"",$W97&lt;&gt;"Closed"),"response date but status not Closed; ","")&amp;IF(AND($Y97&lt;&gt;"",$B97&lt;&gt;"",$Y97&lt;$B97),"response before receipt; ","")&amp;IF(AND($AD97="Y",$AE97=""),"exemption needs a reason in Notes; ","")="","OK","Check: "&amp;IF(OR($B97="",$C97="",$D97="",$V97="",$W97=""),"missing required field; ","")&amp;IF(COUNTIF($A$2:$A$201,$A97)&gt;1,"duplicate ID; ","")&amp;IF(AND($B97&lt;&gt;"",$B97&gt;ReportDate),"received after snapshot date; ","")&amp;IF(AND($I97&lt;&gt;"",$B97&lt;&gt;"",$I97&lt;$B97),"acknowledged before receipt; ","")&amp;IF(AND($K97="Y",$L97="",$W97&lt;&gt;"Logged"),"ID requested date missing; ","")&amp;IF(AND($L97&lt;&gt;"",$M97&lt;&gt;"",$M97&lt;$L97),"ID dates out of order; ","")&amp;IF(AND($K97&lt;&gt;"Y",OR($L97&lt;&gt;"",$W97="Awaiting ID")),"ID fields used but ID_Check_Needed is not Y; ","")&amp;IF(AND($R97="Y",$S97=""),"extension notice date missing; ","")&amp;IF(AND($R97&lt;&gt;"Y",$S97&lt;&gt;""),"notice date but Extended is not Y; ","")&amp;IF(AND($W97="Closed",$Y97=""),"closed without response date; ","")&amp;IF(AND($Y97&lt;&gt;"",$W97&lt;&gt;"Closed"),"response date but status not Closed; ","")&amp;IF(AND($Y97&lt;&gt;"",$B97&lt;&gt;"",$Y97&lt;$B97),"response before receipt; ","")&amp;IF(AND($AD97="Y",$AE97=""),"exemption needs a reason in Notes; ","")))</f>
        <v/>
      </c>
    </row>
    <row r="98" spans="1:32" x14ac:dyDescent="0.35">
      <c r="A98" s="22"/>
      <c r="B98" s="23"/>
      <c r="C98" s="22"/>
      <c r="D98" s="22"/>
      <c r="E98" s="20" t="str">
        <f>IF($A98="","",IFERROR(VLOOKUP($D98,ReqTypes,2,FALSE),"?"))</f>
        <v/>
      </c>
      <c r="F98" s="20" t="str">
        <f>IF($A98="","",IFERROR(VLOOKUP($D98,ReqTypes,3,FALSE),"?"))</f>
        <v/>
      </c>
      <c r="G98" s="22"/>
      <c r="H98" s="22"/>
      <c r="I98" s="23"/>
      <c r="J98" s="20" t="str">
        <f>IF(OR($A98="",$I98=""),"",IF(NETWORKDAYS($B98,$I98,Holidays)-1&lt;=AckDays,"Y","N"))</f>
        <v/>
      </c>
      <c r="K98" s="22"/>
      <c r="L98" s="23"/>
      <c r="M98" s="23"/>
      <c r="N98" s="20" t="str">
        <f>IF(OR($A98="",$K98&lt;&gt;"Y"),"",IF($L98="","Pending",IF($L98-$B98&lt;=IDPromptDays,"Y","Check")))</f>
        <v/>
      </c>
      <c r="O98" s="20" t="str">
        <f>IF($A98="","",IF(OR($K98&lt;&gt;"Y",$L98=""),0,IF($M98="",MAX(0,ReportDate-$L98),$M98-$L98)))</f>
        <v/>
      </c>
      <c r="P98" s="21" t="str">
        <f>IF($A98="","",IF($F98&lt;&gt;"Y","n/a",WORKDAY(EDATE($B98,1)+$O98-1,1,Holidays)))</f>
        <v/>
      </c>
      <c r="Q98" s="21" t="str">
        <f>IF($A98="","",$B98+$O98+InternalDays)</f>
        <v/>
      </c>
      <c r="R98" s="22"/>
      <c r="S98" s="23"/>
      <c r="T98" s="20" t="str">
        <f t="shared" ref="T98:T129" si="6">IF(OR($A98="",$R98&lt;&gt;"Y"),"",IF($S98="","Missing",IF(AND($F98="Y",$S98&lt;=$P98),"Y","Late")))</f>
        <v/>
      </c>
      <c r="U98" s="21" t="str">
        <f>IF($A98="","",IF($F98&lt;&gt;"Y",$Q98,IF(AND($R98="Y",$T98="Y"),WORKDAY(EDATE($B98,3)+$O98-1,1,Holidays),$P98)))</f>
        <v/>
      </c>
      <c r="V98" s="22"/>
      <c r="W98" s="22"/>
      <c r="X98" s="22"/>
      <c r="Y98" s="23"/>
      <c r="Z98" s="20" t="str">
        <f>IF($A98="","",IF($Y98&lt;&gt;"",$Y98-$B98,ReportDate-$B98))</f>
        <v/>
      </c>
      <c r="AA98" s="20" t="str">
        <f>IF(OR($A98="",$W98="Closed"),"",$U98-ReportDate)</f>
        <v/>
      </c>
      <c r="AB98" s="20" t="str">
        <f>IF($A98="","",IF($W98="Closed",IF($Y98&lt;=$U98,"Closed on time","Closed late"),IF($W98="Awaiting ID","Paused",IF($AA98&lt;0,"Overdue",IF($AA98&lt;=RedDays,"Red",IF($AA98&lt;=AmberDays,"Amber","Green"))))))</f>
        <v/>
      </c>
      <c r="AC98" s="20" t="str">
        <f t="shared" ref="AC98:AC129" si="7">IF(OR($A98="",$Y98=""),"",IF($Y98&lt;=$U98,"Y","N"))</f>
        <v/>
      </c>
      <c r="AD98" s="22"/>
      <c r="AE98" s="22"/>
      <c r="AF98" s="20" t="str">
        <f>IF($A98="","",IF(IF(OR($B98="",$C98="",$D98="",$V98="",$W98=""),"missing required field; ","")&amp;IF(COUNTIF($A$2:$A$201,$A98)&gt;1,"duplicate ID; ","")&amp;IF(AND($B98&lt;&gt;"",$B98&gt;ReportDate),"received after snapshot date; ","")&amp;IF(AND($I98&lt;&gt;"",$B98&lt;&gt;"",$I98&lt;$B98),"acknowledged before receipt; ","")&amp;IF(AND($K98="Y",$L98="",$W98&lt;&gt;"Logged"),"ID requested date missing; ","")&amp;IF(AND($L98&lt;&gt;"",$M98&lt;&gt;"",$M98&lt;$L98),"ID dates out of order; ","")&amp;IF(AND($K98&lt;&gt;"Y",OR($L98&lt;&gt;"",$W98="Awaiting ID")),"ID fields used but ID_Check_Needed is not Y; ","")&amp;IF(AND($R98="Y",$S98=""),"extension notice date missing; ","")&amp;IF(AND($R98&lt;&gt;"Y",$S98&lt;&gt;""),"notice date but Extended is not Y; ","")&amp;IF(AND($W98="Closed",$Y98=""),"closed without response date; ","")&amp;IF(AND($Y98&lt;&gt;"",$W98&lt;&gt;"Closed"),"response date but status not Closed; ","")&amp;IF(AND($Y98&lt;&gt;"",$B98&lt;&gt;"",$Y98&lt;$B98),"response before receipt; ","")&amp;IF(AND($AD98="Y",$AE98=""),"exemption needs a reason in Notes; ","")="","OK","Check: "&amp;IF(OR($B98="",$C98="",$D98="",$V98="",$W98=""),"missing required field; ","")&amp;IF(COUNTIF($A$2:$A$201,$A98)&gt;1,"duplicate ID; ","")&amp;IF(AND($B98&lt;&gt;"",$B98&gt;ReportDate),"received after snapshot date; ","")&amp;IF(AND($I98&lt;&gt;"",$B98&lt;&gt;"",$I98&lt;$B98),"acknowledged before receipt; ","")&amp;IF(AND($K98="Y",$L98="",$W98&lt;&gt;"Logged"),"ID requested date missing; ","")&amp;IF(AND($L98&lt;&gt;"",$M98&lt;&gt;"",$M98&lt;$L98),"ID dates out of order; ","")&amp;IF(AND($K98&lt;&gt;"Y",OR($L98&lt;&gt;"",$W98="Awaiting ID")),"ID fields used but ID_Check_Needed is not Y; ","")&amp;IF(AND($R98="Y",$S98=""),"extension notice date missing; ","")&amp;IF(AND($R98&lt;&gt;"Y",$S98&lt;&gt;""),"notice date but Extended is not Y; ","")&amp;IF(AND($W98="Closed",$Y98=""),"closed without response date; ","")&amp;IF(AND($Y98&lt;&gt;"",$W98&lt;&gt;"Closed"),"response date but status not Closed; ","")&amp;IF(AND($Y98&lt;&gt;"",$B98&lt;&gt;"",$Y98&lt;$B98),"response before receipt; ","")&amp;IF(AND($AD98="Y",$AE98=""),"exemption needs a reason in Notes; ","")))</f>
        <v/>
      </c>
    </row>
    <row r="99" spans="1:32" x14ac:dyDescent="0.35">
      <c r="A99" s="22"/>
      <c r="B99" s="23"/>
      <c r="C99" s="22"/>
      <c r="D99" s="22"/>
      <c r="E99" s="20" t="str">
        <f>IF($A99="","",IFERROR(VLOOKUP($D99,ReqTypes,2,FALSE),"?"))</f>
        <v/>
      </c>
      <c r="F99" s="20" t="str">
        <f>IF($A99="","",IFERROR(VLOOKUP($D99,ReqTypes,3,FALSE),"?"))</f>
        <v/>
      </c>
      <c r="G99" s="22"/>
      <c r="H99" s="22"/>
      <c r="I99" s="23"/>
      <c r="J99" s="20" t="str">
        <f>IF(OR($A99="",$I99=""),"",IF(NETWORKDAYS($B99,$I99,Holidays)-1&lt;=AckDays,"Y","N"))</f>
        <v/>
      </c>
      <c r="K99" s="22"/>
      <c r="L99" s="23"/>
      <c r="M99" s="23"/>
      <c r="N99" s="20" t="str">
        <f>IF(OR($A99="",$K99&lt;&gt;"Y"),"",IF($L99="","Pending",IF($L99-$B99&lt;=IDPromptDays,"Y","Check")))</f>
        <v/>
      </c>
      <c r="O99" s="20" t="str">
        <f>IF($A99="","",IF(OR($K99&lt;&gt;"Y",$L99=""),0,IF($M99="",MAX(0,ReportDate-$L99),$M99-$L99)))</f>
        <v/>
      </c>
      <c r="P99" s="21" t="str">
        <f>IF($A99="","",IF($F99&lt;&gt;"Y","n/a",WORKDAY(EDATE($B99,1)+$O99-1,1,Holidays)))</f>
        <v/>
      </c>
      <c r="Q99" s="21" t="str">
        <f>IF($A99="","",$B99+$O99+InternalDays)</f>
        <v/>
      </c>
      <c r="R99" s="22"/>
      <c r="S99" s="23"/>
      <c r="T99" s="20" t="str">
        <f t="shared" si="6"/>
        <v/>
      </c>
      <c r="U99" s="21" t="str">
        <f>IF($A99="","",IF($F99&lt;&gt;"Y",$Q99,IF(AND($R99="Y",$T99="Y"),WORKDAY(EDATE($B99,3)+$O99-1,1,Holidays),$P99)))</f>
        <v/>
      </c>
      <c r="V99" s="22"/>
      <c r="W99" s="22"/>
      <c r="X99" s="22"/>
      <c r="Y99" s="23"/>
      <c r="Z99" s="20" t="str">
        <f>IF($A99="","",IF($Y99&lt;&gt;"",$Y99-$B99,ReportDate-$B99))</f>
        <v/>
      </c>
      <c r="AA99" s="20" t="str">
        <f>IF(OR($A99="",$W99="Closed"),"",$U99-ReportDate)</f>
        <v/>
      </c>
      <c r="AB99" s="20" t="str">
        <f>IF($A99="","",IF($W99="Closed",IF($Y99&lt;=$U99,"Closed on time","Closed late"),IF($W99="Awaiting ID","Paused",IF($AA99&lt;0,"Overdue",IF($AA99&lt;=RedDays,"Red",IF($AA99&lt;=AmberDays,"Amber","Green"))))))</f>
        <v/>
      </c>
      <c r="AC99" s="20" t="str">
        <f t="shared" si="7"/>
        <v/>
      </c>
      <c r="AD99" s="22"/>
      <c r="AE99" s="22"/>
      <c r="AF99" s="20" t="str">
        <f>IF($A99="","",IF(IF(OR($B99="",$C99="",$D99="",$V99="",$W99=""),"missing required field; ","")&amp;IF(COUNTIF($A$2:$A$201,$A99)&gt;1,"duplicate ID; ","")&amp;IF(AND($B99&lt;&gt;"",$B99&gt;ReportDate),"received after snapshot date; ","")&amp;IF(AND($I99&lt;&gt;"",$B99&lt;&gt;"",$I99&lt;$B99),"acknowledged before receipt; ","")&amp;IF(AND($K99="Y",$L99="",$W99&lt;&gt;"Logged"),"ID requested date missing; ","")&amp;IF(AND($L99&lt;&gt;"",$M99&lt;&gt;"",$M99&lt;$L99),"ID dates out of order; ","")&amp;IF(AND($K99&lt;&gt;"Y",OR($L99&lt;&gt;"",$W99="Awaiting ID")),"ID fields used but ID_Check_Needed is not Y; ","")&amp;IF(AND($R99="Y",$S99=""),"extension notice date missing; ","")&amp;IF(AND($R99&lt;&gt;"Y",$S99&lt;&gt;""),"notice date but Extended is not Y; ","")&amp;IF(AND($W99="Closed",$Y99=""),"closed without response date; ","")&amp;IF(AND($Y99&lt;&gt;"",$W99&lt;&gt;"Closed"),"response date but status not Closed; ","")&amp;IF(AND($Y99&lt;&gt;"",$B99&lt;&gt;"",$Y99&lt;$B99),"response before receipt; ","")&amp;IF(AND($AD99="Y",$AE99=""),"exemption needs a reason in Notes; ","")="","OK","Check: "&amp;IF(OR($B99="",$C99="",$D99="",$V99="",$W99=""),"missing required field; ","")&amp;IF(COUNTIF($A$2:$A$201,$A99)&gt;1,"duplicate ID; ","")&amp;IF(AND($B99&lt;&gt;"",$B99&gt;ReportDate),"received after snapshot date; ","")&amp;IF(AND($I99&lt;&gt;"",$B99&lt;&gt;"",$I99&lt;$B99),"acknowledged before receipt; ","")&amp;IF(AND($K99="Y",$L99="",$W99&lt;&gt;"Logged"),"ID requested date missing; ","")&amp;IF(AND($L99&lt;&gt;"",$M99&lt;&gt;"",$M99&lt;$L99),"ID dates out of order; ","")&amp;IF(AND($K99&lt;&gt;"Y",OR($L99&lt;&gt;"",$W99="Awaiting ID")),"ID fields used but ID_Check_Needed is not Y; ","")&amp;IF(AND($R99="Y",$S99=""),"extension notice date missing; ","")&amp;IF(AND($R99&lt;&gt;"Y",$S99&lt;&gt;""),"notice date but Extended is not Y; ","")&amp;IF(AND($W99="Closed",$Y99=""),"closed without response date; ","")&amp;IF(AND($Y99&lt;&gt;"",$W99&lt;&gt;"Closed"),"response date but status not Closed; ","")&amp;IF(AND($Y99&lt;&gt;"",$B99&lt;&gt;"",$Y99&lt;$B99),"response before receipt; ","")&amp;IF(AND($AD99="Y",$AE99=""),"exemption needs a reason in Notes; ","")))</f>
        <v/>
      </c>
    </row>
    <row r="100" spans="1:32" x14ac:dyDescent="0.35">
      <c r="A100" s="22"/>
      <c r="B100" s="23"/>
      <c r="C100" s="22"/>
      <c r="D100" s="22"/>
      <c r="E100" s="20" t="str">
        <f>IF($A100="","",IFERROR(VLOOKUP($D100,ReqTypes,2,FALSE),"?"))</f>
        <v/>
      </c>
      <c r="F100" s="20" t="str">
        <f>IF($A100="","",IFERROR(VLOOKUP($D100,ReqTypes,3,FALSE),"?"))</f>
        <v/>
      </c>
      <c r="G100" s="22"/>
      <c r="H100" s="22"/>
      <c r="I100" s="23"/>
      <c r="J100" s="20" t="str">
        <f>IF(OR($A100="",$I100=""),"",IF(NETWORKDAYS($B100,$I100,Holidays)-1&lt;=AckDays,"Y","N"))</f>
        <v/>
      </c>
      <c r="K100" s="22"/>
      <c r="L100" s="23"/>
      <c r="M100" s="23"/>
      <c r="N100" s="20" t="str">
        <f>IF(OR($A100="",$K100&lt;&gt;"Y"),"",IF($L100="","Pending",IF($L100-$B100&lt;=IDPromptDays,"Y","Check")))</f>
        <v/>
      </c>
      <c r="O100" s="20" t="str">
        <f>IF($A100="","",IF(OR($K100&lt;&gt;"Y",$L100=""),0,IF($M100="",MAX(0,ReportDate-$L100),$M100-$L100)))</f>
        <v/>
      </c>
      <c r="P100" s="21" t="str">
        <f>IF($A100="","",IF($F100&lt;&gt;"Y","n/a",WORKDAY(EDATE($B100,1)+$O100-1,1,Holidays)))</f>
        <v/>
      </c>
      <c r="Q100" s="21" t="str">
        <f>IF($A100="","",$B100+$O100+InternalDays)</f>
        <v/>
      </c>
      <c r="R100" s="22"/>
      <c r="S100" s="23"/>
      <c r="T100" s="20" t="str">
        <f t="shared" si="6"/>
        <v/>
      </c>
      <c r="U100" s="21" t="str">
        <f>IF($A100="","",IF($F100&lt;&gt;"Y",$Q100,IF(AND($R100="Y",$T100="Y"),WORKDAY(EDATE($B100,3)+$O100-1,1,Holidays),$P100)))</f>
        <v/>
      </c>
      <c r="V100" s="22"/>
      <c r="W100" s="22"/>
      <c r="X100" s="22"/>
      <c r="Y100" s="23"/>
      <c r="Z100" s="20" t="str">
        <f>IF($A100="","",IF($Y100&lt;&gt;"",$Y100-$B100,ReportDate-$B100))</f>
        <v/>
      </c>
      <c r="AA100" s="20" t="str">
        <f>IF(OR($A100="",$W100="Closed"),"",$U100-ReportDate)</f>
        <v/>
      </c>
      <c r="AB100" s="20" t="str">
        <f>IF($A100="","",IF($W100="Closed",IF($Y100&lt;=$U100,"Closed on time","Closed late"),IF($W100="Awaiting ID","Paused",IF($AA100&lt;0,"Overdue",IF($AA100&lt;=RedDays,"Red",IF($AA100&lt;=AmberDays,"Amber","Green"))))))</f>
        <v/>
      </c>
      <c r="AC100" s="20" t="str">
        <f t="shared" si="7"/>
        <v/>
      </c>
      <c r="AD100" s="22"/>
      <c r="AE100" s="22"/>
      <c r="AF100" s="20" t="str">
        <f>IF($A100="","",IF(IF(OR($B100="",$C100="",$D100="",$V100="",$W100=""),"missing required field; ","")&amp;IF(COUNTIF($A$2:$A$201,$A100)&gt;1,"duplicate ID; ","")&amp;IF(AND($B100&lt;&gt;"",$B100&gt;ReportDate),"received after snapshot date; ","")&amp;IF(AND($I100&lt;&gt;"",$B100&lt;&gt;"",$I100&lt;$B100),"acknowledged before receipt; ","")&amp;IF(AND($K100="Y",$L100="",$W100&lt;&gt;"Logged"),"ID requested date missing; ","")&amp;IF(AND($L100&lt;&gt;"",$M100&lt;&gt;"",$M100&lt;$L100),"ID dates out of order; ","")&amp;IF(AND($K100&lt;&gt;"Y",OR($L100&lt;&gt;"",$W100="Awaiting ID")),"ID fields used but ID_Check_Needed is not Y; ","")&amp;IF(AND($R100="Y",$S100=""),"extension notice date missing; ","")&amp;IF(AND($R100&lt;&gt;"Y",$S100&lt;&gt;""),"notice date but Extended is not Y; ","")&amp;IF(AND($W100="Closed",$Y100=""),"closed without response date; ","")&amp;IF(AND($Y100&lt;&gt;"",$W100&lt;&gt;"Closed"),"response date but status not Closed; ","")&amp;IF(AND($Y100&lt;&gt;"",$B100&lt;&gt;"",$Y100&lt;$B100),"response before receipt; ","")&amp;IF(AND($AD100="Y",$AE100=""),"exemption needs a reason in Notes; ","")="","OK","Check: "&amp;IF(OR($B100="",$C100="",$D100="",$V100="",$W100=""),"missing required field; ","")&amp;IF(COUNTIF($A$2:$A$201,$A100)&gt;1,"duplicate ID; ","")&amp;IF(AND($B100&lt;&gt;"",$B100&gt;ReportDate),"received after snapshot date; ","")&amp;IF(AND($I100&lt;&gt;"",$B100&lt;&gt;"",$I100&lt;$B100),"acknowledged before receipt; ","")&amp;IF(AND($K100="Y",$L100="",$W100&lt;&gt;"Logged"),"ID requested date missing; ","")&amp;IF(AND($L100&lt;&gt;"",$M100&lt;&gt;"",$M100&lt;$L100),"ID dates out of order; ","")&amp;IF(AND($K100&lt;&gt;"Y",OR($L100&lt;&gt;"",$W100="Awaiting ID")),"ID fields used but ID_Check_Needed is not Y; ","")&amp;IF(AND($R100="Y",$S100=""),"extension notice date missing; ","")&amp;IF(AND($R100&lt;&gt;"Y",$S100&lt;&gt;""),"notice date but Extended is not Y; ","")&amp;IF(AND($W100="Closed",$Y100=""),"closed without response date; ","")&amp;IF(AND($Y100&lt;&gt;"",$W100&lt;&gt;"Closed"),"response date but status not Closed; ","")&amp;IF(AND($Y100&lt;&gt;"",$B100&lt;&gt;"",$Y100&lt;$B100),"response before receipt; ","")&amp;IF(AND($AD100="Y",$AE100=""),"exemption needs a reason in Notes; ","")))</f>
        <v/>
      </c>
    </row>
    <row r="101" spans="1:32" x14ac:dyDescent="0.35">
      <c r="A101" s="22"/>
      <c r="B101" s="23"/>
      <c r="C101" s="22"/>
      <c r="D101" s="22"/>
      <c r="E101" s="20" t="str">
        <f>IF($A101="","",IFERROR(VLOOKUP($D101,ReqTypes,2,FALSE),"?"))</f>
        <v/>
      </c>
      <c r="F101" s="20" t="str">
        <f>IF($A101="","",IFERROR(VLOOKUP($D101,ReqTypes,3,FALSE),"?"))</f>
        <v/>
      </c>
      <c r="G101" s="22"/>
      <c r="H101" s="22"/>
      <c r="I101" s="23"/>
      <c r="J101" s="20" t="str">
        <f>IF(OR($A101="",$I101=""),"",IF(NETWORKDAYS($B101,$I101,Holidays)-1&lt;=AckDays,"Y","N"))</f>
        <v/>
      </c>
      <c r="K101" s="22"/>
      <c r="L101" s="23"/>
      <c r="M101" s="23"/>
      <c r="N101" s="20" t="str">
        <f>IF(OR($A101="",$K101&lt;&gt;"Y"),"",IF($L101="","Pending",IF($L101-$B101&lt;=IDPromptDays,"Y","Check")))</f>
        <v/>
      </c>
      <c r="O101" s="20" t="str">
        <f>IF($A101="","",IF(OR($K101&lt;&gt;"Y",$L101=""),0,IF($M101="",MAX(0,ReportDate-$L101),$M101-$L101)))</f>
        <v/>
      </c>
      <c r="P101" s="21" t="str">
        <f>IF($A101="","",IF($F101&lt;&gt;"Y","n/a",WORKDAY(EDATE($B101,1)+$O101-1,1,Holidays)))</f>
        <v/>
      </c>
      <c r="Q101" s="21" t="str">
        <f>IF($A101="","",$B101+$O101+InternalDays)</f>
        <v/>
      </c>
      <c r="R101" s="22"/>
      <c r="S101" s="23"/>
      <c r="T101" s="20" t="str">
        <f t="shared" si="6"/>
        <v/>
      </c>
      <c r="U101" s="21" t="str">
        <f>IF($A101="","",IF($F101&lt;&gt;"Y",$Q101,IF(AND($R101="Y",$T101="Y"),WORKDAY(EDATE($B101,3)+$O101-1,1,Holidays),$P101)))</f>
        <v/>
      </c>
      <c r="V101" s="22"/>
      <c r="W101" s="22"/>
      <c r="X101" s="22"/>
      <c r="Y101" s="23"/>
      <c r="Z101" s="20" t="str">
        <f>IF($A101="","",IF($Y101&lt;&gt;"",$Y101-$B101,ReportDate-$B101))</f>
        <v/>
      </c>
      <c r="AA101" s="20" t="str">
        <f>IF(OR($A101="",$W101="Closed"),"",$U101-ReportDate)</f>
        <v/>
      </c>
      <c r="AB101" s="20" t="str">
        <f>IF($A101="","",IF($W101="Closed",IF($Y101&lt;=$U101,"Closed on time","Closed late"),IF($W101="Awaiting ID","Paused",IF($AA101&lt;0,"Overdue",IF($AA101&lt;=RedDays,"Red",IF($AA101&lt;=AmberDays,"Amber","Green"))))))</f>
        <v/>
      </c>
      <c r="AC101" s="20" t="str">
        <f t="shared" si="7"/>
        <v/>
      </c>
      <c r="AD101" s="22"/>
      <c r="AE101" s="22"/>
      <c r="AF101" s="20" t="str">
        <f>IF($A101="","",IF(IF(OR($B101="",$C101="",$D101="",$V101="",$W101=""),"missing required field; ","")&amp;IF(COUNTIF($A$2:$A$201,$A101)&gt;1,"duplicate ID; ","")&amp;IF(AND($B101&lt;&gt;"",$B101&gt;ReportDate),"received after snapshot date; ","")&amp;IF(AND($I101&lt;&gt;"",$B101&lt;&gt;"",$I101&lt;$B101),"acknowledged before receipt; ","")&amp;IF(AND($K101="Y",$L101="",$W101&lt;&gt;"Logged"),"ID requested date missing; ","")&amp;IF(AND($L101&lt;&gt;"",$M101&lt;&gt;"",$M101&lt;$L101),"ID dates out of order; ","")&amp;IF(AND($K101&lt;&gt;"Y",OR($L101&lt;&gt;"",$W101="Awaiting ID")),"ID fields used but ID_Check_Needed is not Y; ","")&amp;IF(AND($R101="Y",$S101=""),"extension notice date missing; ","")&amp;IF(AND($R101&lt;&gt;"Y",$S101&lt;&gt;""),"notice date but Extended is not Y; ","")&amp;IF(AND($W101="Closed",$Y101=""),"closed without response date; ","")&amp;IF(AND($Y101&lt;&gt;"",$W101&lt;&gt;"Closed"),"response date but status not Closed; ","")&amp;IF(AND($Y101&lt;&gt;"",$B101&lt;&gt;"",$Y101&lt;$B101),"response before receipt; ","")&amp;IF(AND($AD101="Y",$AE101=""),"exemption needs a reason in Notes; ","")="","OK","Check: "&amp;IF(OR($B101="",$C101="",$D101="",$V101="",$W101=""),"missing required field; ","")&amp;IF(COUNTIF($A$2:$A$201,$A101)&gt;1,"duplicate ID; ","")&amp;IF(AND($B101&lt;&gt;"",$B101&gt;ReportDate),"received after snapshot date; ","")&amp;IF(AND($I101&lt;&gt;"",$B101&lt;&gt;"",$I101&lt;$B101),"acknowledged before receipt; ","")&amp;IF(AND($K101="Y",$L101="",$W101&lt;&gt;"Logged"),"ID requested date missing; ","")&amp;IF(AND($L101&lt;&gt;"",$M101&lt;&gt;"",$M101&lt;$L101),"ID dates out of order; ","")&amp;IF(AND($K101&lt;&gt;"Y",OR($L101&lt;&gt;"",$W101="Awaiting ID")),"ID fields used but ID_Check_Needed is not Y; ","")&amp;IF(AND($R101="Y",$S101=""),"extension notice date missing; ","")&amp;IF(AND($R101&lt;&gt;"Y",$S101&lt;&gt;""),"notice date but Extended is not Y; ","")&amp;IF(AND($W101="Closed",$Y101=""),"closed without response date; ","")&amp;IF(AND($Y101&lt;&gt;"",$W101&lt;&gt;"Closed"),"response date but status not Closed; ","")&amp;IF(AND($Y101&lt;&gt;"",$B101&lt;&gt;"",$Y101&lt;$B101),"response before receipt; ","")&amp;IF(AND($AD101="Y",$AE101=""),"exemption needs a reason in Notes; ","")))</f>
        <v/>
      </c>
    </row>
    <row r="102" spans="1:32" x14ac:dyDescent="0.35">
      <c r="A102" s="22"/>
      <c r="B102" s="23"/>
      <c r="C102" s="22"/>
      <c r="D102" s="22"/>
      <c r="E102" s="20" t="str">
        <f>IF($A102="","",IFERROR(VLOOKUP($D102,ReqTypes,2,FALSE),"?"))</f>
        <v/>
      </c>
      <c r="F102" s="20" t="str">
        <f>IF($A102="","",IFERROR(VLOOKUP($D102,ReqTypes,3,FALSE),"?"))</f>
        <v/>
      </c>
      <c r="G102" s="22"/>
      <c r="H102" s="22"/>
      <c r="I102" s="23"/>
      <c r="J102" s="20" t="str">
        <f>IF(OR($A102="",$I102=""),"",IF(NETWORKDAYS($B102,$I102,Holidays)-1&lt;=AckDays,"Y","N"))</f>
        <v/>
      </c>
      <c r="K102" s="22"/>
      <c r="L102" s="23"/>
      <c r="M102" s="23"/>
      <c r="N102" s="20" t="str">
        <f>IF(OR($A102="",$K102&lt;&gt;"Y"),"",IF($L102="","Pending",IF($L102-$B102&lt;=IDPromptDays,"Y","Check")))</f>
        <v/>
      </c>
      <c r="O102" s="20" t="str">
        <f>IF($A102="","",IF(OR($K102&lt;&gt;"Y",$L102=""),0,IF($M102="",MAX(0,ReportDate-$L102),$M102-$L102)))</f>
        <v/>
      </c>
      <c r="P102" s="21" t="str">
        <f>IF($A102="","",IF($F102&lt;&gt;"Y","n/a",WORKDAY(EDATE($B102,1)+$O102-1,1,Holidays)))</f>
        <v/>
      </c>
      <c r="Q102" s="21" t="str">
        <f>IF($A102="","",$B102+$O102+InternalDays)</f>
        <v/>
      </c>
      <c r="R102" s="22"/>
      <c r="S102" s="23"/>
      <c r="T102" s="20" t="str">
        <f t="shared" si="6"/>
        <v/>
      </c>
      <c r="U102" s="21" t="str">
        <f>IF($A102="","",IF($F102&lt;&gt;"Y",$Q102,IF(AND($R102="Y",$T102="Y"),WORKDAY(EDATE($B102,3)+$O102-1,1,Holidays),$P102)))</f>
        <v/>
      </c>
      <c r="V102" s="22"/>
      <c r="W102" s="22"/>
      <c r="X102" s="22"/>
      <c r="Y102" s="23"/>
      <c r="Z102" s="20" t="str">
        <f>IF($A102="","",IF($Y102&lt;&gt;"",$Y102-$B102,ReportDate-$B102))</f>
        <v/>
      </c>
      <c r="AA102" s="20" t="str">
        <f>IF(OR($A102="",$W102="Closed"),"",$U102-ReportDate)</f>
        <v/>
      </c>
      <c r="AB102" s="20" t="str">
        <f>IF($A102="","",IF($W102="Closed",IF($Y102&lt;=$U102,"Closed on time","Closed late"),IF($W102="Awaiting ID","Paused",IF($AA102&lt;0,"Overdue",IF($AA102&lt;=RedDays,"Red",IF($AA102&lt;=AmberDays,"Amber","Green"))))))</f>
        <v/>
      </c>
      <c r="AC102" s="20" t="str">
        <f t="shared" si="7"/>
        <v/>
      </c>
      <c r="AD102" s="22"/>
      <c r="AE102" s="22"/>
      <c r="AF102" s="20" t="str">
        <f>IF($A102="","",IF(IF(OR($B102="",$C102="",$D102="",$V102="",$W102=""),"missing required field; ","")&amp;IF(COUNTIF($A$2:$A$201,$A102)&gt;1,"duplicate ID; ","")&amp;IF(AND($B102&lt;&gt;"",$B102&gt;ReportDate),"received after snapshot date; ","")&amp;IF(AND($I102&lt;&gt;"",$B102&lt;&gt;"",$I102&lt;$B102),"acknowledged before receipt; ","")&amp;IF(AND($K102="Y",$L102="",$W102&lt;&gt;"Logged"),"ID requested date missing; ","")&amp;IF(AND($L102&lt;&gt;"",$M102&lt;&gt;"",$M102&lt;$L102),"ID dates out of order; ","")&amp;IF(AND($K102&lt;&gt;"Y",OR($L102&lt;&gt;"",$W102="Awaiting ID")),"ID fields used but ID_Check_Needed is not Y; ","")&amp;IF(AND($R102="Y",$S102=""),"extension notice date missing; ","")&amp;IF(AND($R102&lt;&gt;"Y",$S102&lt;&gt;""),"notice date but Extended is not Y; ","")&amp;IF(AND($W102="Closed",$Y102=""),"closed without response date; ","")&amp;IF(AND($Y102&lt;&gt;"",$W102&lt;&gt;"Closed"),"response date but status not Closed; ","")&amp;IF(AND($Y102&lt;&gt;"",$B102&lt;&gt;"",$Y102&lt;$B102),"response before receipt; ","")&amp;IF(AND($AD102="Y",$AE102=""),"exemption needs a reason in Notes; ","")="","OK","Check: "&amp;IF(OR($B102="",$C102="",$D102="",$V102="",$W102=""),"missing required field; ","")&amp;IF(COUNTIF($A$2:$A$201,$A102)&gt;1,"duplicate ID; ","")&amp;IF(AND($B102&lt;&gt;"",$B102&gt;ReportDate),"received after snapshot date; ","")&amp;IF(AND($I102&lt;&gt;"",$B102&lt;&gt;"",$I102&lt;$B102),"acknowledged before receipt; ","")&amp;IF(AND($K102="Y",$L102="",$W102&lt;&gt;"Logged"),"ID requested date missing; ","")&amp;IF(AND($L102&lt;&gt;"",$M102&lt;&gt;"",$M102&lt;$L102),"ID dates out of order; ","")&amp;IF(AND($K102&lt;&gt;"Y",OR($L102&lt;&gt;"",$W102="Awaiting ID")),"ID fields used but ID_Check_Needed is not Y; ","")&amp;IF(AND($R102="Y",$S102=""),"extension notice date missing; ","")&amp;IF(AND($R102&lt;&gt;"Y",$S102&lt;&gt;""),"notice date but Extended is not Y; ","")&amp;IF(AND($W102="Closed",$Y102=""),"closed without response date; ","")&amp;IF(AND($Y102&lt;&gt;"",$W102&lt;&gt;"Closed"),"response date but status not Closed; ","")&amp;IF(AND($Y102&lt;&gt;"",$B102&lt;&gt;"",$Y102&lt;$B102),"response before receipt; ","")&amp;IF(AND($AD102="Y",$AE102=""),"exemption needs a reason in Notes; ","")))</f>
        <v/>
      </c>
    </row>
    <row r="103" spans="1:32" x14ac:dyDescent="0.35">
      <c r="A103" s="22"/>
      <c r="B103" s="23"/>
      <c r="C103" s="22"/>
      <c r="D103" s="22"/>
      <c r="E103" s="20" t="str">
        <f>IF($A103="","",IFERROR(VLOOKUP($D103,ReqTypes,2,FALSE),"?"))</f>
        <v/>
      </c>
      <c r="F103" s="20" t="str">
        <f>IF($A103="","",IFERROR(VLOOKUP($D103,ReqTypes,3,FALSE),"?"))</f>
        <v/>
      </c>
      <c r="G103" s="22"/>
      <c r="H103" s="22"/>
      <c r="I103" s="23"/>
      <c r="J103" s="20" t="str">
        <f>IF(OR($A103="",$I103=""),"",IF(NETWORKDAYS($B103,$I103,Holidays)-1&lt;=AckDays,"Y","N"))</f>
        <v/>
      </c>
      <c r="K103" s="22"/>
      <c r="L103" s="23"/>
      <c r="M103" s="23"/>
      <c r="N103" s="20" t="str">
        <f>IF(OR($A103="",$K103&lt;&gt;"Y"),"",IF($L103="","Pending",IF($L103-$B103&lt;=IDPromptDays,"Y","Check")))</f>
        <v/>
      </c>
      <c r="O103" s="20" t="str">
        <f>IF($A103="","",IF(OR($K103&lt;&gt;"Y",$L103=""),0,IF($M103="",MAX(0,ReportDate-$L103),$M103-$L103)))</f>
        <v/>
      </c>
      <c r="P103" s="21" t="str">
        <f>IF($A103="","",IF($F103&lt;&gt;"Y","n/a",WORKDAY(EDATE($B103,1)+$O103-1,1,Holidays)))</f>
        <v/>
      </c>
      <c r="Q103" s="21" t="str">
        <f>IF($A103="","",$B103+$O103+InternalDays)</f>
        <v/>
      </c>
      <c r="R103" s="22"/>
      <c r="S103" s="23"/>
      <c r="T103" s="20" t="str">
        <f t="shared" si="6"/>
        <v/>
      </c>
      <c r="U103" s="21" t="str">
        <f>IF($A103="","",IF($F103&lt;&gt;"Y",$Q103,IF(AND($R103="Y",$T103="Y"),WORKDAY(EDATE($B103,3)+$O103-1,1,Holidays),$P103)))</f>
        <v/>
      </c>
      <c r="V103" s="22"/>
      <c r="W103" s="22"/>
      <c r="X103" s="22"/>
      <c r="Y103" s="23"/>
      <c r="Z103" s="20" t="str">
        <f>IF($A103="","",IF($Y103&lt;&gt;"",$Y103-$B103,ReportDate-$B103))</f>
        <v/>
      </c>
      <c r="AA103" s="20" t="str">
        <f>IF(OR($A103="",$W103="Closed"),"",$U103-ReportDate)</f>
        <v/>
      </c>
      <c r="AB103" s="20" t="str">
        <f>IF($A103="","",IF($W103="Closed",IF($Y103&lt;=$U103,"Closed on time","Closed late"),IF($W103="Awaiting ID","Paused",IF($AA103&lt;0,"Overdue",IF($AA103&lt;=RedDays,"Red",IF($AA103&lt;=AmberDays,"Amber","Green"))))))</f>
        <v/>
      </c>
      <c r="AC103" s="20" t="str">
        <f t="shared" si="7"/>
        <v/>
      </c>
      <c r="AD103" s="22"/>
      <c r="AE103" s="22"/>
      <c r="AF103" s="20" t="str">
        <f>IF($A103="","",IF(IF(OR($B103="",$C103="",$D103="",$V103="",$W103=""),"missing required field; ","")&amp;IF(COUNTIF($A$2:$A$201,$A103)&gt;1,"duplicate ID; ","")&amp;IF(AND($B103&lt;&gt;"",$B103&gt;ReportDate),"received after snapshot date; ","")&amp;IF(AND($I103&lt;&gt;"",$B103&lt;&gt;"",$I103&lt;$B103),"acknowledged before receipt; ","")&amp;IF(AND($K103="Y",$L103="",$W103&lt;&gt;"Logged"),"ID requested date missing; ","")&amp;IF(AND($L103&lt;&gt;"",$M103&lt;&gt;"",$M103&lt;$L103),"ID dates out of order; ","")&amp;IF(AND($K103&lt;&gt;"Y",OR($L103&lt;&gt;"",$W103="Awaiting ID")),"ID fields used but ID_Check_Needed is not Y; ","")&amp;IF(AND($R103="Y",$S103=""),"extension notice date missing; ","")&amp;IF(AND($R103&lt;&gt;"Y",$S103&lt;&gt;""),"notice date but Extended is not Y; ","")&amp;IF(AND($W103="Closed",$Y103=""),"closed without response date; ","")&amp;IF(AND($Y103&lt;&gt;"",$W103&lt;&gt;"Closed"),"response date but status not Closed; ","")&amp;IF(AND($Y103&lt;&gt;"",$B103&lt;&gt;"",$Y103&lt;$B103),"response before receipt; ","")&amp;IF(AND($AD103="Y",$AE103=""),"exemption needs a reason in Notes; ","")="","OK","Check: "&amp;IF(OR($B103="",$C103="",$D103="",$V103="",$W103=""),"missing required field; ","")&amp;IF(COUNTIF($A$2:$A$201,$A103)&gt;1,"duplicate ID; ","")&amp;IF(AND($B103&lt;&gt;"",$B103&gt;ReportDate),"received after snapshot date; ","")&amp;IF(AND($I103&lt;&gt;"",$B103&lt;&gt;"",$I103&lt;$B103),"acknowledged before receipt; ","")&amp;IF(AND($K103="Y",$L103="",$W103&lt;&gt;"Logged"),"ID requested date missing; ","")&amp;IF(AND($L103&lt;&gt;"",$M103&lt;&gt;"",$M103&lt;$L103),"ID dates out of order; ","")&amp;IF(AND($K103&lt;&gt;"Y",OR($L103&lt;&gt;"",$W103="Awaiting ID")),"ID fields used but ID_Check_Needed is not Y; ","")&amp;IF(AND($R103="Y",$S103=""),"extension notice date missing; ","")&amp;IF(AND($R103&lt;&gt;"Y",$S103&lt;&gt;""),"notice date but Extended is not Y; ","")&amp;IF(AND($W103="Closed",$Y103=""),"closed without response date; ","")&amp;IF(AND($Y103&lt;&gt;"",$W103&lt;&gt;"Closed"),"response date but status not Closed; ","")&amp;IF(AND($Y103&lt;&gt;"",$B103&lt;&gt;"",$Y103&lt;$B103),"response before receipt; ","")&amp;IF(AND($AD103="Y",$AE103=""),"exemption needs a reason in Notes; ","")))</f>
        <v/>
      </c>
    </row>
    <row r="104" spans="1:32" x14ac:dyDescent="0.35">
      <c r="A104" s="22"/>
      <c r="B104" s="23"/>
      <c r="C104" s="22"/>
      <c r="D104" s="22"/>
      <c r="E104" s="20" t="str">
        <f>IF($A104="","",IFERROR(VLOOKUP($D104,ReqTypes,2,FALSE),"?"))</f>
        <v/>
      </c>
      <c r="F104" s="20" t="str">
        <f>IF($A104="","",IFERROR(VLOOKUP($D104,ReqTypes,3,FALSE),"?"))</f>
        <v/>
      </c>
      <c r="G104" s="22"/>
      <c r="H104" s="22"/>
      <c r="I104" s="23"/>
      <c r="J104" s="20" t="str">
        <f>IF(OR($A104="",$I104=""),"",IF(NETWORKDAYS($B104,$I104,Holidays)-1&lt;=AckDays,"Y","N"))</f>
        <v/>
      </c>
      <c r="K104" s="22"/>
      <c r="L104" s="23"/>
      <c r="M104" s="23"/>
      <c r="N104" s="20" t="str">
        <f>IF(OR($A104="",$K104&lt;&gt;"Y"),"",IF($L104="","Pending",IF($L104-$B104&lt;=IDPromptDays,"Y","Check")))</f>
        <v/>
      </c>
      <c r="O104" s="20" t="str">
        <f>IF($A104="","",IF(OR($K104&lt;&gt;"Y",$L104=""),0,IF($M104="",MAX(0,ReportDate-$L104),$M104-$L104)))</f>
        <v/>
      </c>
      <c r="P104" s="21" t="str">
        <f>IF($A104="","",IF($F104&lt;&gt;"Y","n/a",WORKDAY(EDATE($B104,1)+$O104-1,1,Holidays)))</f>
        <v/>
      </c>
      <c r="Q104" s="21" t="str">
        <f>IF($A104="","",$B104+$O104+InternalDays)</f>
        <v/>
      </c>
      <c r="R104" s="22"/>
      <c r="S104" s="23"/>
      <c r="T104" s="20" t="str">
        <f t="shared" si="6"/>
        <v/>
      </c>
      <c r="U104" s="21" t="str">
        <f>IF($A104="","",IF($F104&lt;&gt;"Y",$Q104,IF(AND($R104="Y",$T104="Y"),WORKDAY(EDATE($B104,3)+$O104-1,1,Holidays),$P104)))</f>
        <v/>
      </c>
      <c r="V104" s="22"/>
      <c r="W104" s="22"/>
      <c r="X104" s="22"/>
      <c r="Y104" s="23"/>
      <c r="Z104" s="20" t="str">
        <f>IF($A104="","",IF($Y104&lt;&gt;"",$Y104-$B104,ReportDate-$B104))</f>
        <v/>
      </c>
      <c r="AA104" s="20" t="str">
        <f>IF(OR($A104="",$W104="Closed"),"",$U104-ReportDate)</f>
        <v/>
      </c>
      <c r="AB104" s="20" t="str">
        <f>IF($A104="","",IF($W104="Closed",IF($Y104&lt;=$U104,"Closed on time","Closed late"),IF($W104="Awaiting ID","Paused",IF($AA104&lt;0,"Overdue",IF($AA104&lt;=RedDays,"Red",IF($AA104&lt;=AmberDays,"Amber","Green"))))))</f>
        <v/>
      </c>
      <c r="AC104" s="20" t="str">
        <f t="shared" si="7"/>
        <v/>
      </c>
      <c r="AD104" s="22"/>
      <c r="AE104" s="22"/>
      <c r="AF104" s="20" t="str">
        <f>IF($A104="","",IF(IF(OR($B104="",$C104="",$D104="",$V104="",$W104=""),"missing required field; ","")&amp;IF(COUNTIF($A$2:$A$201,$A104)&gt;1,"duplicate ID; ","")&amp;IF(AND($B104&lt;&gt;"",$B104&gt;ReportDate),"received after snapshot date; ","")&amp;IF(AND($I104&lt;&gt;"",$B104&lt;&gt;"",$I104&lt;$B104),"acknowledged before receipt; ","")&amp;IF(AND($K104="Y",$L104="",$W104&lt;&gt;"Logged"),"ID requested date missing; ","")&amp;IF(AND($L104&lt;&gt;"",$M104&lt;&gt;"",$M104&lt;$L104),"ID dates out of order; ","")&amp;IF(AND($K104&lt;&gt;"Y",OR($L104&lt;&gt;"",$W104="Awaiting ID")),"ID fields used but ID_Check_Needed is not Y; ","")&amp;IF(AND($R104="Y",$S104=""),"extension notice date missing; ","")&amp;IF(AND($R104&lt;&gt;"Y",$S104&lt;&gt;""),"notice date but Extended is not Y; ","")&amp;IF(AND($W104="Closed",$Y104=""),"closed without response date; ","")&amp;IF(AND($Y104&lt;&gt;"",$W104&lt;&gt;"Closed"),"response date but status not Closed; ","")&amp;IF(AND($Y104&lt;&gt;"",$B104&lt;&gt;"",$Y104&lt;$B104),"response before receipt; ","")&amp;IF(AND($AD104="Y",$AE104=""),"exemption needs a reason in Notes; ","")="","OK","Check: "&amp;IF(OR($B104="",$C104="",$D104="",$V104="",$W104=""),"missing required field; ","")&amp;IF(COUNTIF($A$2:$A$201,$A104)&gt;1,"duplicate ID; ","")&amp;IF(AND($B104&lt;&gt;"",$B104&gt;ReportDate),"received after snapshot date; ","")&amp;IF(AND($I104&lt;&gt;"",$B104&lt;&gt;"",$I104&lt;$B104),"acknowledged before receipt; ","")&amp;IF(AND($K104="Y",$L104="",$W104&lt;&gt;"Logged"),"ID requested date missing; ","")&amp;IF(AND($L104&lt;&gt;"",$M104&lt;&gt;"",$M104&lt;$L104),"ID dates out of order; ","")&amp;IF(AND($K104&lt;&gt;"Y",OR($L104&lt;&gt;"",$W104="Awaiting ID")),"ID fields used but ID_Check_Needed is not Y; ","")&amp;IF(AND($R104="Y",$S104=""),"extension notice date missing; ","")&amp;IF(AND($R104&lt;&gt;"Y",$S104&lt;&gt;""),"notice date but Extended is not Y; ","")&amp;IF(AND($W104="Closed",$Y104=""),"closed without response date; ","")&amp;IF(AND($Y104&lt;&gt;"",$W104&lt;&gt;"Closed"),"response date but status not Closed; ","")&amp;IF(AND($Y104&lt;&gt;"",$B104&lt;&gt;"",$Y104&lt;$B104),"response before receipt; ","")&amp;IF(AND($AD104="Y",$AE104=""),"exemption needs a reason in Notes; ","")))</f>
        <v/>
      </c>
    </row>
    <row r="105" spans="1:32" x14ac:dyDescent="0.35">
      <c r="A105" s="22"/>
      <c r="B105" s="23"/>
      <c r="C105" s="22"/>
      <c r="D105" s="22"/>
      <c r="E105" s="20" t="str">
        <f>IF($A105="","",IFERROR(VLOOKUP($D105,ReqTypes,2,FALSE),"?"))</f>
        <v/>
      </c>
      <c r="F105" s="20" t="str">
        <f>IF($A105="","",IFERROR(VLOOKUP($D105,ReqTypes,3,FALSE),"?"))</f>
        <v/>
      </c>
      <c r="G105" s="22"/>
      <c r="H105" s="22"/>
      <c r="I105" s="23"/>
      <c r="J105" s="20" t="str">
        <f>IF(OR($A105="",$I105=""),"",IF(NETWORKDAYS($B105,$I105,Holidays)-1&lt;=AckDays,"Y","N"))</f>
        <v/>
      </c>
      <c r="K105" s="22"/>
      <c r="L105" s="23"/>
      <c r="M105" s="23"/>
      <c r="N105" s="20" t="str">
        <f>IF(OR($A105="",$K105&lt;&gt;"Y"),"",IF($L105="","Pending",IF($L105-$B105&lt;=IDPromptDays,"Y","Check")))</f>
        <v/>
      </c>
      <c r="O105" s="20" t="str">
        <f>IF($A105="","",IF(OR($K105&lt;&gt;"Y",$L105=""),0,IF($M105="",MAX(0,ReportDate-$L105),$M105-$L105)))</f>
        <v/>
      </c>
      <c r="P105" s="21" t="str">
        <f>IF($A105="","",IF($F105&lt;&gt;"Y","n/a",WORKDAY(EDATE($B105,1)+$O105-1,1,Holidays)))</f>
        <v/>
      </c>
      <c r="Q105" s="21" t="str">
        <f>IF($A105="","",$B105+$O105+InternalDays)</f>
        <v/>
      </c>
      <c r="R105" s="22"/>
      <c r="S105" s="23"/>
      <c r="T105" s="20" t="str">
        <f t="shared" si="6"/>
        <v/>
      </c>
      <c r="U105" s="21" t="str">
        <f>IF($A105="","",IF($F105&lt;&gt;"Y",$Q105,IF(AND($R105="Y",$T105="Y"),WORKDAY(EDATE($B105,3)+$O105-1,1,Holidays),$P105)))</f>
        <v/>
      </c>
      <c r="V105" s="22"/>
      <c r="W105" s="22"/>
      <c r="X105" s="22"/>
      <c r="Y105" s="23"/>
      <c r="Z105" s="20" t="str">
        <f>IF($A105="","",IF($Y105&lt;&gt;"",$Y105-$B105,ReportDate-$B105))</f>
        <v/>
      </c>
      <c r="AA105" s="20" t="str">
        <f>IF(OR($A105="",$W105="Closed"),"",$U105-ReportDate)</f>
        <v/>
      </c>
      <c r="AB105" s="20" t="str">
        <f>IF($A105="","",IF($W105="Closed",IF($Y105&lt;=$U105,"Closed on time","Closed late"),IF($W105="Awaiting ID","Paused",IF($AA105&lt;0,"Overdue",IF($AA105&lt;=RedDays,"Red",IF($AA105&lt;=AmberDays,"Amber","Green"))))))</f>
        <v/>
      </c>
      <c r="AC105" s="20" t="str">
        <f t="shared" si="7"/>
        <v/>
      </c>
      <c r="AD105" s="22"/>
      <c r="AE105" s="22"/>
      <c r="AF105" s="20" t="str">
        <f>IF($A105="","",IF(IF(OR($B105="",$C105="",$D105="",$V105="",$W105=""),"missing required field; ","")&amp;IF(COUNTIF($A$2:$A$201,$A105)&gt;1,"duplicate ID; ","")&amp;IF(AND($B105&lt;&gt;"",$B105&gt;ReportDate),"received after snapshot date; ","")&amp;IF(AND($I105&lt;&gt;"",$B105&lt;&gt;"",$I105&lt;$B105),"acknowledged before receipt; ","")&amp;IF(AND($K105="Y",$L105="",$W105&lt;&gt;"Logged"),"ID requested date missing; ","")&amp;IF(AND($L105&lt;&gt;"",$M105&lt;&gt;"",$M105&lt;$L105),"ID dates out of order; ","")&amp;IF(AND($K105&lt;&gt;"Y",OR($L105&lt;&gt;"",$W105="Awaiting ID")),"ID fields used but ID_Check_Needed is not Y; ","")&amp;IF(AND($R105="Y",$S105=""),"extension notice date missing; ","")&amp;IF(AND($R105&lt;&gt;"Y",$S105&lt;&gt;""),"notice date but Extended is not Y; ","")&amp;IF(AND($W105="Closed",$Y105=""),"closed without response date; ","")&amp;IF(AND($Y105&lt;&gt;"",$W105&lt;&gt;"Closed"),"response date but status not Closed; ","")&amp;IF(AND($Y105&lt;&gt;"",$B105&lt;&gt;"",$Y105&lt;$B105),"response before receipt; ","")&amp;IF(AND($AD105="Y",$AE105=""),"exemption needs a reason in Notes; ","")="","OK","Check: "&amp;IF(OR($B105="",$C105="",$D105="",$V105="",$W105=""),"missing required field; ","")&amp;IF(COUNTIF($A$2:$A$201,$A105)&gt;1,"duplicate ID; ","")&amp;IF(AND($B105&lt;&gt;"",$B105&gt;ReportDate),"received after snapshot date; ","")&amp;IF(AND($I105&lt;&gt;"",$B105&lt;&gt;"",$I105&lt;$B105),"acknowledged before receipt; ","")&amp;IF(AND($K105="Y",$L105="",$W105&lt;&gt;"Logged"),"ID requested date missing; ","")&amp;IF(AND($L105&lt;&gt;"",$M105&lt;&gt;"",$M105&lt;$L105),"ID dates out of order; ","")&amp;IF(AND($K105&lt;&gt;"Y",OR($L105&lt;&gt;"",$W105="Awaiting ID")),"ID fields used but ID_Check_Needed is not Y; ","")&amp;IF(AND($R105="Y",$S105=""),"extension notice date missing; ","")&amp;IF(AND($R105&lt;&gt;"Y",$S105&lt;&gt;""),"notice date but Extended is not Y; ","")&amp;IF(AND($W105="Closed",$Y105=""),"closed without response date; ","")&amp;IF(AND($Y105&lt;&gt;"",$W105&lt;&gt;"Closed"),"response date but status not Closed; ","")&amp;IF(AND($Y105&lt;&gt;"",$B105&lt;&gt;"",$Y105&lt;$B105),"response before receipt; ","")&amp;IF(AND($AD105="Y",$AE105=""),"exemption needs a reason in Notes; ","")))</f>
        <v/>
      </c>
    </row>
    <row r="106" spans="1:32" x14ac:dyDescent="0.35">
      <c r="A106" s="22"/>
      <c r="B106" s="23"/>
      <c r="C106" s="22"/>
      <c r="D106" s="22"/>
      <c r="E106" s="20" t="str">
        <f>IF($A106="","",IFERROR(VLOOKUP($D106,ReqTypes,2,FALSE),"?"))</f>
        <v/>
      </c>
      <c r="F106" s="20" t="str">
        <f>IF($A106="","",IFERROR(VLOOKUP($D106,ReqTypes,3,FALSE),"?"))</f>
        <v/>
      </c>
      <c r="G106" s="22"/>
      <c r="H106" s="22"/>
      <c r="I106" s="23"/>
      <c r="J106" s="20" t="str">
        <f>IF(OR($A106="",$I106=""),"",IF(NETWORKDAYS($B106,$I106,Holidays)-1&lt;=AckDays,"Y","N"))</f>
        <v/>
      </c>
      <c r="K106" s="22"/>
      <c r="L106" s="23"/>
      <c r="M106" s="23"/>
      <c r="N106" s="20" t="str">
        <f>IF(OR($A106="",$K106&lt;&gt;"Y"),"",IF($L106="","Pending",IF($L106-$B106&lt;=IDPromptDays,"Y","Check")))</f>
        <v/>
      </c>
      <c r="O106" s="20" t="str">
        <f>IF($A106="","",IF(OR($K106&lt;&gt;"Y",$L106=""),0,IF($M106="",MAX(0,ReportDate-$L106),$M106-$L106)))</f>
        <v/>
      </c>
      <c r="P106" s="21" t="str">
        <f>IF($A106="","",IF($F106&lt;&gt;"Y","n/a",WORKDAY(EDATE($B106,1)+$O106-1,1,Holidays)))</f>
        <v/>
      </c>
      <c r="Q106" s="21" t="str">
        <f>IF($A106="","",$B106+$O106+InternalDays)</f>
        <v/>
      </c>
      <c r="R106" s="22"/>
      <c r="S106" s="23"/>
      <c r="T106" s="20" t="str">
        <f t="shared" si="6"/>
        <v/>
      </c>
      <c r="U106" s="21" t="str">
        <f>IF($A106="","",IF($F106&lt;&gt;"Y",$Q106,IF(AND($R106="Y",$T106="Y"),WORKDAY(EDATE($B106,3)+$O106-1,1,Holidays),$P106)))</f>
        <v/>
      </c>
      <c r="V106" s="22"/>
      <c r="W106" s="22"/>
      <c r="X106" s="22"/>
      <c r="Y106" s="23"/>
      <c r="Z106" s="20" t="str">
        <f>IF($A106="","",IF($Y106&lt;&gt;"",$Y106-$B106,ReportDate-$B106))</f>
        <v/>
      </c>
      <c r="AA106" s="20" t="str">
        <f>IF(OR($A106="",$W106="Closed"),"",$U106-ReportDate)</f>
        <v/>
      </c>
      <c r="AB106" s="20" t="str">
        <f>IF($A106="","",IF($W106="Closed",IF($Y106&lt;=$U106,"Closed on time","Closed late"),IF($W106="Awaiting ID","Paused",IF($AA106&lt;0,"Overdue",IF($AA106&lt;=RedDays,"Red",IF($AA106&lt;=AmberDays,"Amber","Green"))))))</f>
        <v/>
      </c>
      <c r="AC106" s="20" t="str">
        <f t="shared" si="7"/>
        <v/>
      </c>
      <c r="AD106" s="22"/>
      <c r="AE106" s="22"/>
      <c r="AF106" s="20" t="str">
        <f>IF($A106="","",IF(IF(OR($B106="",$C106="",$D106="",$V106="",$W106=""),"missing required field; ","")&amp;IF(COUNTIF($A$2:$A$201,$A106)&gt;1,"duplicate ID; ","")&amp;IF(AND($B106&lt;&gt;"",$B106&gt;ReportDate),"received after snapshot date; ","")&amp;IF(AND($I106&lt;&gt;"",$B106&lt;&gt;"",$I106&lt;$B106),"acknowledged before receipt; ","")&amp;IF(AND($K106="Y",$L106="",$W106&lt;&gt;"Logged"),"ID requested date missing; ","")&amp;IF(AND($L106&lt;&gt;"",$M106&lt;&gt;"",$M106&lt;$L106),"ID dates out of order; ","")&amp;IF(AND($K106&lt;&gt;"Y",OR($L106&lt;&gt;"",$W106="Awaiting ID")),"ID fields used but ID_Check_Needed is not Y; ","")&amp;IF(AND($R106="Y",$S106=""),"extension notice date missing; ","")&amp;IF(AND($R106&lt;&gt;"Y",$S106&lt;&gt;""),"notice date but Extended is not Y; ","")&amp;IF(AND($W106="Closed",$Y106=""),"closed without response date; ","")&amp;IF(AND($Y106&lt;&gt;"",$W106&lt;&gt;"Closed"),"response date but status not Closed; ","")&amp;IF(AND($Y106&lt;&gt;"",$B106&lt;&gt;"",$Y106&lt;$B106),"response before receipt; ","")&amp;IF(AND($AD106="Y",$AE106=""),"exemption needs a reason in Notes; ","")="","OK","Check: "&amp;IF(OR($B106="",$C106="",$D106="",$V106="",$W106=""),"missing required field; ","")&amp;IF(COUNTIF($A$2:$A$201,$A106)&gt;1,"duplicate ID; ","")&amp;IF(AND($B106&lt;&gt;"",$B106&gt;ReportDate),"received after snapshot date; ","")&amp;IF(AND($I106&lt;&gt;"",$B106&lt;&gt;"",$I106&lt;$B106),"acknowledged before receipt; ","")&amp;IF(AND($K106="Y",$L106="",$W106&lt;&gt;"Logged"),"ID requested date missing; ","")&amp;IF(AND($L106&lt;&gt;"",$M106&lt;&gt;"",$M106&lt;$L106),"ID dates out of order; ","")&amp;IF(AND($K106&lt;&gt;"Y",OR($L106&lt;&gt;"",$W106="Awaiting ID")),"ID fields used but ID_Check_Needed is not Y; ","")&amp;IF(AND($R106="Y",$S106=""),"extension notice date missing; ","")&amp;IF(AND($R106&lt;&gt;"Y",$S106&lt;&gt;""),"notice date but Extended is not Y; ","")&amp;IF(AND($W106="Closed",$Y106=""),"closed without response date; ","")&amp;IF(AND($Y106&lt;&gt;"",$W106&lt;&gt;"Closed"),"response date but status not Closed; ","")&amp;IF(AND($Y106&lt;&gt;"",$B106&lt;&gt;"",$Y106&lt;$B106),"response before receipt; ","")&amp;IF(AND($AD106="Y",$AE106=""),"exemption needs a reason in Notes; ","")))</f>
        <v/>
      </c>
    </row>
    <row r="107" spans="1:32" x14ac:dyDescent="0.35">
      <c r="A107" s="22"/>
      <c r="B107" s="23"/>
      <c r="C107" s="22"/>
      <c r="D107" s="22"/>
      <c r="E107" s="20" t="str">
        <f>IF($A107="","",IFERROR(VLOOKUP($D107,ReqTypes,2,FALSE),"?"))</f>
        <v/>
      </c>
      <c r="F107" s="20" t="str">
        <f>IF($A107="","",IFERROR(VLOOKUP($D107,ReqTypes,3,FALSE),"?"))</f>
        <v/>
      </c>
      <c r="G107" s="22"/>
      <c r="H107" s="22"/>
      <c r="I107" s="23"/>
      <c r="J107" s="20" t="str">
        <f>IF(OR($A107="",$I107=""),"",IF(NETWORKDAYS($B107,$I107,Holidays)-1&lt;=AckDays,"Y","N"))</f>
        <v/>
      </c>
      <c r="K107" s="22"/>
      <c r="L107" s="23"/>
      <c r="M107" s="23"/>
      <c r="N107" s="20" t="str">
        <f>IF(OR($A107="",$K107&lt;&gt;"Y"),"",IF($L107="","Pending",IF($L107-$B107&lt;=IDPromptDays,"Y","Check")))</f>
        <v/>
      </c>
      <c r="O107" s="20" t="str">
        <f>IF($A107="","",IF(OR($K107&lt;&gt;"Y",$L107=""),0,IF($M107="",MAX(0,ReportDate-$L107),$M107-$L107)))</f>
        <v/>
      </c>
      <c r="P107" s="21" t="str">
        <f>IF($A107="","",IF($F107&lt;&gt;"Y","n/a",WORKDAY(EDATE($B107,1)+$O107-1,1,Holidays)))</f>
        <v/>
      </c>
      <c r="Q107" s="21" t="str">
        <f>IF($A107="","",$B107+$O107+InternalDays)</f>
        <v/>
      </c>
      <c r="R107" s="22"/>
      <c r="S107" s="23"/>
      <c r="T107" s="20" t="str">
        <f t="shared" si="6"/>
        <v/>
      </c>
      <c r="U107" s="21" t="str">
        <f>IF($A107="","",IF($F107&lt;&gt;"Y",$Q107,IF(AND($R107="Y",$T107="Y"),WORKDAY(EDATE($B107,3)+$O107-1,1,Holidays),$P107)))</f>
        <v/>
      </c>
      <c r="V107" s="22"/>
      <c r="W107" s="22"/>
      <c r="X107" s="22"/>
      <c r="Y107" s="23"/>
      <c r="Z107" s="20" t="str">
        <f>IF($A107="","",IF($Y107&lt;&gt;"",$Y107-$B107,ReportDate-$B107))</f>
        <v/>
      </c>
      <c r="AA107" s="20" t="str">
        <f>IF(OR($A107="",$W107="Closed"),"",$U107-ReportDate)</f>
        <v/>
      </c>
      <c r="AB107" s="20" t="str">
        <f>IF($A107="","",IF($W107="Closed",IF($Y107&lt;=$U107,"Closed on time","Closed late"),IF($W107="Awaiting ID","Paused",IF($AA107&lt;0,"Overdue",IF($AA107&lt;=RedDays,"Red",IF($AA107&lt;=AmberDays,"Amber","Green"))))))</f>
        <v/>
      </c>
      <c r="AC107" s="20" t="str">
        <f t="shared" si="7"/>
        <v/>
      </c>
      <c r="AD107" s="22"/>
      <c r="AE107" s="22"/>
      <c r="AF107" s="20" t="str">
        <f>IF($A107="","",IF(IF(OR($B107="",$C107="",$D107="",$V107="",$W107=""),"missing required field; ","")&amp;IF(COUNTIF($A$2:$A$201,$A107)&gt;1,"duplicate ID; ","")&amp;IF(AND($B107&lt;&gt;"",$B107&gt;ReportDate),"received after snapshot date; ","")&amp;IF(AND($I107&lt;&gt;"",$B107&lt;&gt;"",$I107&lt;$B107),"acknowledged before receipt; ","")&amp;IF(AND($K107="Y",$L107="",$W107&lt;&gt;"Logged"),"ID requested date missing; ","")&amp;IF(AND($L107&lt;&gt;"",$M107&lt;&gt;"",$M107&lt;$L107),"ID dates out of order; ","")&amp;IF(AND($K107&lt;&gt;"Y",OR($L107&lt;&gt;"",$W107="Awaiting ID")),"ID fields used but ID_Check_Needed is not Y; ","")&amp;IF(AND($R107="Y",$S107=""),"extension notice date missing; ","")&amp;IF(AND($R107&lt;&gt;"Y",$S107&lt;&gt;""),"notice date but Extended is not Y; ","")&amp;IF(AND($W107="Closed",$Y107=""),"closed without response date; ","")&amp;IF(AND($Y107&lt;&gt;"",$W107&lt;&gt;"Closed"),"response date but status not Closed; ","")&amp;IF(AND($Y107&lt;&gt;"",$B107&lt;&gt;"",$Y107&lt;$B107),"response before receipt; ","")&amp;IF(AND($AD107="Y",$AE107=""),"exemption needs a reason in Notes; ","")="","OK","Check: "&amp;IF(OR($B107="",$C107="",$D107="",$V107="",$W107=""),"missing required field; ","")&amp;IF(COUNTIF($A$2:$A$201,$A107)&gt;1,"duplicate ID; ","")&amp;IF(AND($B107&lt;&gt;"",$B107&gt;ReportDate),"received after snapshot date; ","")&amp;IF(AND($I107&lt;&gt;"",$B107&lt;&gt;"",$I107&lt;$B107),"acknowledged before receipt; ","")&amp;IF(AND($K107="Y",$L107="",$W107&lt;&gt;"Logged"),"ID requested date missing; ","")&amp;IF(AND($L107&lt;&gt;"",$M107&lt;&gt;"",$M107&lt;$L107),"ID dates out of order; ","")&amp;IF(AND($K107&lt;&gt;"Y",OR($L107&lt;&gt;"",$W107="Awaiting ID")),"ID fields used but ID_Check_Needed is not Y; ","")&amp;IF(AND($R107="Y",$S107=""),"extension notice date missing; ","")&amp;IF(AND($R107&lt;&gt;"Y",$S107&lt;&gt;""),"notice date but Extended is not Y; ","")&amp;IF(AND($W107="Closed",$Y107=""),"closed without response date; ","")&amp;IF(AND($Y107&lt;&gt;"",$W107&lt;&gt;"Closed"),"response date but status not Closed; ","")&amp;IF(AND($Y107&lt;&gt;"",$B107&lt;&gt;"",$Y107&lt;$B107),"response before receipt; ","")&amp;IF(AND($AD107="Y",$AE107=""),"exemption needs a reason in Notes; ","")))</f>
        <v/>
      </c>
    </row>
    <row r="108" spans="1:32" x14ac:dyDescent="0.35">
      <c r="A108" s="22"/>
      <c r="B108" s="23"/>
      <c r="C108" s="22"/>
      <c r="D108" s="22"/>
      <c r="E108" s="20" t="str">
        <f>IF($A108="","",IFERROR(VLOOKUP($D108,ReqTypes,2,FALSE),"?"))</f>
        <v/>
      </c>
      <c r="F108" s="20" t="str">
        <f>IF($A108="","",IFERROR(VLOOKUP($D108,ReqTypes,3,FALSE),"?"))</f>
        <v/>
      </c>
      <c r="G108" s="22"/>
      <c r="H108" s="22"/>
      <c r="I108" s="23"/>
      <c r="J108" s="20" t="str">
        <f>IF(OR($A108="",$I108=""),"",IF(NETWORKDAYS($B108,$I108,Holidays)-1&lt;=AckDays,"Y","N"))</f>
        <v/>
      </c>
      <c r="K108" s="22"/>
      <c r="L108" s="23"/>
      <c r="M108" s="23"/>
      <c r="N108" s="20" t="str">
        <f>IF(OR($A108="",$K108&lt;&gt;"Y"),"",IF($L108="","Pending",IF($L108-$B108&lt;=IDPromptDays,"Y","Check")))</f>
        <v/>
      </c>
      <c r="O108" s="20" t="str">
        <f>IF($A108="","",IF(OR($K108&lt;&gt;"Y",$L108=""),0,IF($M108="",MAX(0,ReportDate-$L108),$M108-$L108)))</f>
        <v/>
      </c>
      <c r="P108" s="21" t="str">
        <f>IF($A108="","",IF($F108&lt;&gt;"Y","n/a",WORKDAY(EDATE($B108,1)+$O108-1,1,Holidays)))</f>
        <v/>
      </c>
      <c r="Q108" s="21" t="str">
        <f>IF($A108="","",$B108+$O108+InternalDays)</f>
        <v/>
      </c>
      <c r="R108" s="22"/>
      <c r="S108" s="23"/>
      <c r="T108" s="20" t="str">
        <f t="shared" si="6"/>
        <v/>
      </c>
      <c r="U108" s="21" t="str">
        <f>IF($A108="","",IF($F108&lt;&gt;"Y",$Q108,IF(AND($R108="Y",$T108="Y"),WORKDAY(EDATE($B108,3)+$O108-1,1,Holidays),$P108)))</f>
        <v/>
      </c>
      <c r="V108" s="22"/>
      <c r="W108" s="22"/>
      <c r="X108" s="22"/>
      <c r="Y108" s="23"/>
      <c r="Z108" s="20" t="str">
        <f>IF($A108="","",IF($Y108&lt;&gt;"",$Y108-$B108,ReportDate-$B108))</f>
        <v/>
      </c>
      <c r="AA108" s="20" t="str">
        <f>IF(OR($A108="",$W108="Closed"),"",$U108-ReportDate)</f>
        <v/>
      </c>
      <c r="AB108" s="20" t="str">
        <f>IF($A108="","",IF($W108="Closed",IF($Y108&lt;=$U108,"Closed on time","Closed late"),IF($W108="Awaiting ID","Paused",IF($AA108&lt;0,"Overdue",IF($AA108&lt;=RedDays,"Red",IF($AA108&lt;=AmberDays,"Amber","Green"))))))</f>
        <v/>
      </c>
      <c r="AC108" s="20" t="str">
        <f t="shared" si="7"/>
        <v/>
      </c>
      <c r="AD108" s="22"/>
      <c r="AE108" s="22"/>
      <c r="AF108" s="20" t="str">
        <f>IF($A108="","",IF(IF(OR($B108="",$C108="",$D108="",$V108="",$W108=""),"missing required field; ","")&amp;IF(COUNTIF($A$2:$A$201,$A108)&gt;1,"duplicate ID; ","")&amp;IF(AND($B108&lt;&gt;"",$B108&gt;ReportDate),"received after snapshot date; ","")&amp;IF(AND($I108&lt;&gt;"",$B108&lt;&gt;"",$I108&lt;$B108),"acknowledged before receipt; ","")&amp;IF(AND($K108="Y",$L108="",$W108&lt;&gt;"Logged"),"ID requested date missing; ","")&amp;IF(AND($L108&lt;&gt;"",$M108&lt;&gt;"",$M108&lt;$L108),"ID dates out of order; ","")&amp;IF(AND($K108&lt;&gt;"Y",OR($L108&lt;&gt;"",$W108="Awaiting ID")),"ID fields used but ID_Check_Needed is not Y; ","")&amp;IF(AND($R108="Y",$S108=""),"extension notice date missing; ","")&amp;IF(AND($R108&lt;&gt;"Y",$S108&lt;&gt;""),"notice date but Extended is not Y; ","")&amp;IF(AND($W108="Closed",$Y108=""),"closed without response date; ","")&amp;IF(AND($Y108&lt;&gt;"",$W108&lt;&gt;"Closed"),"response date but status not Closed; ","")&amp;IF(AND($Y108&lt;&gt;"",$B108&lt;&gt;"",$Y108&lt;$B108),"response before receipt; ","")&amp;IF(AND($AD108="Y",$AE108=""),"exemption needs a reason in Notes; ","")="","OK","Check: "&amp;IF(OR($B108="",$C108="",$D108="",$V108="",$W108=""),"missing required field; ","")&amp;IF(COUNTIF($A$2:$A$201,$A108)&gt;1,"duplicate ID; ","")&amp;IF(AND($B108&lt;&gt;"",$B108&gt;ReportDate),"received after snapshot date; ","")&amp;IF(AND($I108&lt;&gt;"",$B108&lt;&gt;"",$I108&lt;$B108),"acknowledged before receipt; ","")&amp;IF(AND($K108="Y",$L108="",$W108&lt;&gt;"Logged"),"ID requested date missing; ","")&amp;IF(AND($L108&lt;&gt;"",$M108&lt;&gt;"",$M108&lt;$L108),"ID dates out of order; ","")&amp;IF(AND($K108&lt;&gt;"Y",OR($L108&lt;&gt;"",$W108="Awaiting ID")),"ID fields used but ID_Check_Needed is not Y; ","")&amp;IF(AND($R108="Y",$S108=""),"extension notice date missing; ","")&amp;IF(AND($R108&lt;&gt;"Y",$S108&lt;&gt;""),"notice date but Extended is not Y; ","")&amp;IF(AND($W108="Closed",$Y108=""),"closed without response date; ","")&amp;IF(AND($Y108&lt;&gt;"",$W108&lt;&gt;"Closed"),"response date but status not Closed; ","")&amp;IF(AND($Y108&lt;&gt;"",$B108&lt;&gt;"",$Y108&lt;$B108),"response before receipt; ","")&amp;IF(AND($AD108="Y",$AE108=""),"exemption needs a reason in Notes; ","")))</f>
        <v/>
      </c>
    </row>
    <row r="109" spans="1:32" x14ac:dyDescent="0.35">
      <c r="A109" s="22"/>
      <c r="B109" s="23"/>
      <c r="C109" s="22"/>
      <c r="D109" s="22"/>
      <c r="E109" s="20" t="str">
        <f>IF($A109="","",IFERROR(VLOOKUP($D109,ReqTypes,2,FALSE),"?"))</f>
        <v/>
      </c>
      <c r="F109" s="20" t="str">
        <f>IF($A109="","",IFERROR(VLOOKUP($D109,ReqTypes,3,FALSE),"?"))</f>
        <v/>
      </c>
      <c r="G109" s="22"/>
      <c r="H109" s="22"/>
      <c r="I109" s="23"/>
      <c r="J109" s="20" t="str">
        <f>IF(OR($A109="",$I109=""),"",IF(NETWORKDAYS($B109,$I109,Holidays)-1&lt;=AckDays,"Y","N"))</f>
        <v/>
      </c>
      <c r="K109" s="22"/>
      <c r="L109" s="23"/>
      <c r="M109" s="23"/>
      <c r="N109" s="20" t="str">
        <f>IF(OR($A109="",$K109&lt;&gt;"Y"),"",IF($L109="","Pending",IF($L109-$B109&lt;=IDPromptDays,"Y","Check")))</f>
        <v/>
      </c>
      <c r="O109" s="20" t="str">
        <f>IF($A109="","",IF(OR($K109&lt;&gt;"Y",$L109=""),0,IF($M109="",MAX(0,ReportDate-$L109),$M109-$L109)))</f>
        <v/>
      </c>
      <c r="P109" s="21" t="str">
        <f>IF($A109="","",IF($F109&lt;&gt;"Y","n/a",WORKDAY(EDATE($B109,1)+$O109-1,1,Holidays)))</f>
        <v/>
      </c>
      <c r="Q109" s="21" t="str">
        <f>IF($A109="","",$B109+$O109+InternalDays)</f>
        <v/>
      </c>
      <c r="R109" s="22"/>
      <c r="S109" s="23"/>
      <c r="T109" s="20" t="str">
        <f t="shared" si="6"/>
        <v/>
      </c>
      <c r="U109" s="21" t="str">
        <f>IF($A109="","",IF($F109&lt;&gt;"Y",$Q109,IF(AND($R109="Y",$T109="Y"),WORKDAY(EDATE($B109,3)+$O109-1,1,Holidays),$P109)))</f>
        <v/>
      </c>
      <c r="V109" s="22"/>
      <c r="W109" s="22"/>
      <c r="X109" s="22"/>
      <c r="Y109" s="23"/>
      <c r="Z109" s="20" t="str">
        <f>IF($A109="","",IF($Y109&lt;&gt;"",$Y109-$B109,ReportDate-$B109))</f>
        <v/>
      </c>
      <c r="AA109" s="20" t="str">
        <f>IF(OR($A109="",$W109="Closed"),"",$U109-ReportDate)</f>
        <v/>
      </c>
      <c r="AB109" s="20" t="str">
        <f>IF($A109="","",IF($W109="Closed",IF($Y109&lt;=$U109,"Closed on time","Closed late"),IF($W109="Awaiting ID","Paused",IF($AA109&lt;0,"Overdue",IF($AA109&lt;=RedDays,"Red",IF($AA109&lt;=AmberDays,"Amber","Green"))))))</f>
        <v/>
      </c>
      <c r="AC109" s="20" t="str">
        <f t="shared" si="7"/>
        <v/>
      </c>
      <c r="AD109" s="22"/>
      <c r="AE109" s="22"/>
      <c r="AF109" s="20" t="str">
        <f>IF($A109="","",IF(IF(OR($B109="",$C109="",$D109="",$V109="",$W109=""),"missing required field; ","")&amp;IF(COUNTIF($A$2:$A$201,$A109)&gt;1,"duplicate ID; ","")&amp;IF(AND($B109&lt;&gt;"",$B109&gt;ReportDate),"received after snapshot date; ","")&amp;IF(AND($I109&lt;&gt;"",$B109&lt;&gt;"",$I109&lt;$B109),"acknowledged before receipt; ","")&amp;IF(AND($K109="Y",$L109="",$W109&lt;&gt;"Logged"),"ID requested date missing; ","")&amp;IF(AND($L109&lt;&gt;"",$M109&lt;&gt;"",$M109&lt;$L109),"ID dates out of order; ","")&amp;IF(AND($K109&lt;&gt;"Y",OR($L109&lt;&gt;"",$W109="Awaiting ID")),"ID fields used but ID_Check_Needed is not Y; ","")&amp;IF(AND($R109="Y",$S109=""),"extension notice date missing; ","")&amp;IF(AND($R109&lt;&gt;"Y",$S109&lt;&gt;""),"notice date but Extended is not Y; ","")&amp;IF(AND($W109="Closed",$Y109=""),"closed without response date; ","")&amp;IF(AND($Y109&lt;&gt;"",$W109&lt;&gt;"Closed"),"response date but status not Closed; ","")&amp;IF(AND($Y109&lt;&gt;"",$B109&lt;&gt;"",$Y109&lt;$B109),"response before receipt; ","")&amp;IF(AND($AD109="Y",$AE109=""),"exemption needs a reason in Notes; ","")="","OK","Check: "&amp;IF(OR($B109="",$C109="",$D109="",$V109="",$W109=""),"missing required field; ","")&amp;IF(COUNTIF($A$2:$A$201,$A109)&gt;1,"duplicate ID; ","")&amp;IF(AND($B109&lt;&gt;"",$B109&gt;ReportDate),"received after snapshot date; ","")&amp;IF(AND($I109&lt;&gt;"",$B109&lt;&gt;"",$I109&lt;$B109),"acknowledged before receipt; ","")&amp;IF(AND($K109="Y",$L109="",$W109&lt;&gt;"Logged"),"ID requested date missing; ","")&amp;IF(AND($L109&lt;&gt;"",$M109&lt;&gt;"",$M109&lt;$L109),"ID dates out of order; ","")&amp;IF(AND($K109&lt;&gt;"Y",OR($L109&lt;&gt;"",$W109="Awaiting ID")),"ID fields used but ID_Check_Needed is not Y; ","")&amp;IF(AND($R109="Y",$S109=""),"extension notice date missing; ","")&amp;IF(AND($R109&lt;&gt;"Y",$S109&lt;&gt;""),"notice date but Extended is not Y; ","")&amp;IF(AND($W109="Closed",$Y109=""),"closed without response date; ","")&amp;IF(AND($Y109&lt;&gt;"",$W109&lt;&gt;"Closed"),"response date but status not Closed; ","")&amp;IF(AND($Y109&lt;&gt;"",$B109&lt;&gt;"",$Y109&lt;$B109),"response before receipt; ","")&amp;IF(AND($AD109="Y",$AE109=""),"exemption needs a reason in Notes; ","")))</f>
        <v/>
      </c>
    </row>
    <row r="110" spans="1:32" x14ac:dyDescent="0.35">
      <c r="A110" s="22"/>
      <c r="B110" s="23"/>
      <c r="C110" s="22"/>
      <c r="D110" s="22"/>
      <c r="E110" s="20" t="str">
        <f>IF($A110="","",IFERROR(VLOOKUP($D110,ReqTypes,2,FALSE),"?"))</f>
        <v/>
      </c>
      <c r="F110" s="20" t="str">
        <f>IF($A110="","",IFERROR(VLOOKUP($D110,ReqTypes,3,FALSE),"?"))</f>
        <v/>
      </c>
      <c r="G110" s="22"/>
      <c r="H110" s="22"/>
      <c r="I110" s="23"/>
      <c r="J110" s="20" t="str">
        <f>IF(OR($A110="",$I110=""),"",IF(NETWORKDAYS($B110,$I110,Holidays)-1&lt;=AckDays,"Y","N"))</f>
        <v/>
      </c>
      <c r="K110" s="22"/>
      <c r="L110" s="23"/>
      <c r="M110" s="23"/>
      <c r="N110" s="20" t="str">
        <f>IF(OR($A110="",$K110&lt;&gt;"Y"),"",IF($L110="","Pending",IF($L110-$B110&lt;=IDPromptDays,"Y","Check")))</f>
        <v/>
      </c>
      <c r="O110" s="20" t="str">
        <f>IF($A110="","",IF(OR($K110&lt;&gt;"Y",$L110=""),0,IF($M110="",MAX(0,ReportDate-$L110),$M110-$L110)))</f>
        <v/>
      </c>
      <c r="P110" s="21" t="str">
        <f>IF($A110="","",IF($F110&lt;&gt;"Y","n/a",WORKDAY(EDATE($B110,1)+$O110-1,1,Holidays)))</f>
        <v/>
      </c>
      <c r="Q110" s="21" t="str">
        <f>IF($A110="","",$B110+$O110+InternalDays)</f>
        <v/>
      </c>
      <c r="R110" s="22"/>
      <c r="S110" s="23"/>
      <c r="T110" s="20" t="str">
        <f t="shared" si="6"/>
        <v/>
      </c>
      <c r="U110" s="21" t="str">
        <f>IF($A110="","",IF($F110&lt;&gt;"Y",$Q110,IF(AND($R110="Y",$T110="Y"),WORKDAY(EDATE($B110,3)+$O110-1,1,Holidays),$P110)))</f>
        <v/>
      </c>
      <c r="V110" s="22"/>
      <c r="W110" s="22"/>
      <c r="X110" s="22"/>
      <c r="Y110" s="23"/>
      <c r="Z110" s="20" t="str">
        <f>IF($A110="","",IF($Y110&lt;&gt;"",$Y110-$B110,ReportDate-$B110))</f>
        <v/>
      </c>
      <c r="AA110" s="20" t="str">
        <f>IF(OR($A110="",$W110="Closed"),"",$U110-ReportDate)</f>
        <v/>
      </c>
      <c r="AB110" s="20" t="str">
        <f>IF($A110="","",IF($W110="Closed",IF($Y110&lt;=$U110,"Closed on time","Closed late"),IF($W110="Awaiting ID","Paused",IF($AA110&lt;0,"Overdue",IF($AA110&lt;=RedDays,"Red",IF($AA110&lt;=AmberDays,"Amber","Green"))))))</f>
        <v/>
      </c>
      <c r="AC110" s="20" t="str">
        <f t="shared" si="7"/>
        <v/>
      </c>
      <c r="AD110" s="22"/>
      <c r="AE110" s="22"/>
      <c r="AF110" s="20" t="str">
        <f>IF($A110="","",IF(IF(OR($B110="",$C110="",$D110="",$V110="",$W110=""),"missing required field; ","")&amp;IF(COUNTIF($A$2:$A$201,$A110)&gt;1,"duplicate ID; ","")&amp;IF(AND($B110&lt;&gt;"",$B110&gt;ReportDate),"received after snapshot date; ","")&amp;IF(AND($I110&lt;&gt;"",$B110&lt;&gt;"",$I110&lt;$B110),"acknowledged before receipt; ","")&amp;IF(AND($K110="Y",$L110="",$W110&lt;&gt;"Logged"),"ID requested date missing; ","")&amp;IF(AND($L110&lt;&gt;"",$M110&lt;&gt;"",$M110&lt;$L110),"ID dates out of order; ","")&amp;IF(AND($K110&lt;&gt;"Y",OR($L110&lt;&gt;"",$W110="Awaiting ID")),"ID fields used but ID_Check_Needed is not Y; ","")&amp;IF(AND($R110="Y",$S110=""),"extension notice date missing; ","")&amp;IF(AND($R110&lt;&gt;"Y",$S110&lt;&gt;""),"notice date but Extended is not Y; ","")&amp;IF(AND($W110="Closed",$Y110=""),"closed without response date; ","")&amp;IF(AND($Y110&lt;&gt;"",$W110&lt;&gt;"Closed"),"response date but status not Closed; ","")&amp;IF(AND($Y110&lt;&gt;"",$B110&lt;&gt;"",$Y110&lt;$B110),"response before receipt; ","")&amp;IF(AND($AD110="Y",$AE110=""),"exemption needs a reason in Notes; ","")="","OK","Check: "&amp;IF(OR($B110="",$C110="",$D110="",$V110="",$W110=""),"missing required field; ","")&amp;IF(COUNTIF($A$2:$A$201,$A110)&gt;1,"duplicate ID; ","")&amp;IF(AND($B110&lt;&gt;"",$B110&gt;ReportDate),"received after snapshot date; ","")&amp;IF(AND($I110&lt;&gt;"",$B110&lt;&gt;"",$I110&lt;$B110),"acknowledged before receipt; ","")&amp;IF(AND($K110="Y",$L110="",$W110&lt;&gt;"Logged"),"ID requested date missing; ","")&amp;IF(AND($L110&lt;&gt;"",$M110&lt;&gt;"",$M110&lt;$L110),"ID dates out of order; ","")&amp;IF(AND($K110&lt;&gt;"Y",OR($L110&lt;&gt;"",$W110="Awaiting ID")),"ID fields used but ID_Check_Needed is not Y; ","")&amp;IF(AND($R110="Y",$S110=""),"extension notice date missing; ","")&amp;IF(AND($R110&lt;&gt;"Y",$S110&lt;&gt;""),"notice date but Extended is not Y; ","")&amp;IF(AND($W110="Closed",$Y110=""),"closed without response date; ","")&amp;IF(AND($Y110&lt;&gt;"",$W110&lt;&gt;"Closed"),"response date but status not Closed; ","")&amp;IF(AND($Y110&lt;&gt;"",$B110&lt;&gt;"",$Y110&lt;$B110),"response before receipt; ","")&amp;IF(AND($AD110="Y",$AE110=""),"exemption needs a reason in Notes; ","")))</f>
        <v/>
      </c>
    </row>
    <row r="111" spans="1:32" x14ac:dyDescent="0.35">
      <c r="A111" s="22"/>
      <c r="B111" s="23"/>
      <c r="C111" s="22"/>
      <c r="D111" s="22"/>
      <c r="E111" s="20" t="str">
        <f>IF($A111="","",IFERROR(VLOOKUP($D111,ReqTypes,2,FALSE),"?"))</f>
        <v/>
      </c>
      <c r="F111" s="20" t="str">
        <f>IF($A111="","",IFERROR(VLOOKUP($D111,ReqTypes,3,FALSE),"?"))</f>
        <v/>
      </c>
      <c r="G111" s="22"/>
      <c r="H111" s="22"/>
      <c r="I111" s="23"/>
      <c r="J111" s="20" t="str">
        <f>IF(OR($A111="",$I111=""),"",IF(NETWORKDAYS($B111,$I111,Holidays)-1&lt;=AckDays,"Y","N"))</f>
        <v/>
      </c>
      <c r="K111" s="22"/>
      <c r="L111" s="23"/>
      <c r="M111" s="23"/>
      <c r="N111" s="20" t="str">
        <f>IF(OR($A111="",$K111&lt;&gt;"Y"),"",IF($L111="","Pending",IF($L111-$B111&lt;=IDPromptDays,"Y","Check")))</f>
        <v/>
      </c>
      <c r="O111" s="20" t="str">
        <f>IF($A111="","",IF(OR($K111&lt;&gt;"Y",$L111=""),0,IF($M111="",MAX(0,ReportDate-$L111),$M111-$L111)))</f>
        <v/>
      </c>
      <c r="P111" s="21" t="str">
        <f>IF($A111="","",IF($F111&lt;&gt;"Y","n/a",WORKDAY(EDATE($B111,1)+$O111-1,1,Holidays)))</f>
        <v/>
      </c>
      <c r="Q111" s="21" t="str">
        <f>IF($A111="","",$B111+$O111+InternalDays)</f>
        <v/>
      </c>
      <c r="R111" s="22"/>
      <c r="S111" s="23"/>
      <c r="T111" s="20" t="str">
        <f t="shared" si="6"/>
        <v/>
      </c>
      <c r="U111" s="21" t="str">
        <f>IF($A111="","",IF($F111&lt;&gt;"Y",$Q111,IF(AND($R111="Y",$T111="Y"),WORKDAY(EDATE($B111,3)+$O111-1,1,Holidays),$P111)))</f>
        <v/>
      </c>
      <c r="V111" s="22"/>
      <c r="W111" s="22"/>
      <c r="X111" s="22"/>
      <c r="Y111" s="23"/>
      <c r="Z111" s="20" t="str">
        <f>IF($A111="","",IF($Y111&lt;&gt;"",$Y111-$B111,ReportDate-$B111))</f>
        <v/>
      </c>
      <c r="AA111" s="20" t="str">
        <f>IF(OR($A111="",$W111="Closed"),"",$U111-ReportDate)</f>
        <v/>
      </c>
      <c r="AB111" s="20" t="str">
        <f>IF($A111="","",IF($W111="Closed",IF($Y111&lt;=$U111,"Closed on time","Closed late"),IF($W111="Awaiting ID","Paused",IF($AA111&lt;0,"Overdue",IF($AA111&lt;=RedDays,"Red",IF($AA111&lt;=AmberDays,"Amber","Green"))))))</f>
        <v/>
      </c>
      <c r="AC111" s="20" t="str">
        <f t="shared" si="7"/>
        <v/>
      </c>
      <c r="AD111" s="22"/>
      <c r="AE111" s="22"/>
      <c r="AF111" s="20" t="str">
        <f>IF($A111="","",IF(IF(OR($B111="",$C111="",$D111="",$V111="",$W111=""),"missing required field; ","")&amp;IF(COUNTIF($A$2:$A$201,$A111)&gt;1,"duplicate ID; ","")&amp;IF(AND($B111&lt;&gt;"",$B111&gt;ReportDate),"received after snapshot date; ","")&amp;IF(AND($I111&lt;&gt;"",$B111&lt;&gt;"",$I111&lt;$B111),"acknowledged before receipt; ","")&amp;IF(AND($K111="Y",$L111="",$W111&lt;&gt;"Logged"),"ID requested date missing; ","")&amp;IF(AND($L111&lt;&gt;"",$M111&lt;&gt;"",$M111&lt;$L111),"ID dates out of order; ","")&amp;IF(AND($K111&lt;&gt;"Y",OR($L111&lt;&gt;"",$W111="Awaiting ID")),"ID fields used but ID_Check_Needed is not Y; ","")&amp;IF(AND($R111="Y",$S111=""),"extension notice date missing; ","")&amp;IF(AND($R111&lt;&gt;"Y",$S111&lt;&gt;""),"notice date but Extended is not Y; ","")&amp;IF(AND($W111="Closed",$Y111=""),"closed without response date; ","")&amp;IF(AND($Y111&lt;&gt;"",$W111&lt;&gt;"Closed"),"response date but status not Closed; ","")&amp;IF(AND($Y111&lt;&gt;"",$B111&lt;&gt;"",$Y111&lt;$B111),"response before receipt; ","")&amp;IF(AND($AD111="Y",$AE111=""),"exemption needs a reason in Notes; ","")="","OK","Check: "&amp;IF(OR($B111="",$C111="",$D111="",$V111="",$W111=""),"missing required field; ","")&amp;IF(COUNTIF($A$2:$A$201,$A111)&gt;1,"duplicate ID; ","")&amp;IF(AND($B111&lt;&gt;"",$B111&gt;ReportDate),"received after snapshot date; ","")&amp;IF(AND($I111&lt;&gt;"",$B111&lt;&gt;"",$I111&lt;$B111),"acknowledged before receipt; ","")&amp;IF(AND($K111="Y",$L111="",$W111&lt;&gt;"Logged"),"ID requested date missing; ","")&amp;IF(AND($L111&lt;&gt;"",$M111&lt;&gt;"",$M111&lt;$L111),"ID dates out of order; ","")&amp;IF(AND($K111&lt;&gt;"Y",OR($L111&lt;&gt;"",$W111="Awaiting ID")),"ID fields used but ID_Check_Needed is not Y; ","")&amp;IF(AND($R111="Y",$S111=""),"extension notice date missing; ","")&amp;IF(AND($R111&lt;&gt;"Y",$S111&lt;&gt;""),"notice date but Extended is not Y; ","")&amp;IF(AND($W111="Closed",$Y111=""),"closed without response date; ","")&amp;IF(AND($Y111&lt;&gt;"",$W111&lt;&gt;"Closed"),"response date but status not Closed; ","")&amp;IF(AND($Y111&lt;&gt;"",$B111&lt;&gt;"",$Y111&lt;$B111),"response before receipt; ","")&amp;IF(AND($AD111="Y",$AE111=""),"exemption needs a reason in Notes; ","")))</f>
        <v/>
      </c>
    </row>
    <row r="112" spans="1:32" x14ac:dyDescent="0.35">
      <c r="A112" s="22"/>
      <c r="B112" s="23"/>
      <c r="C112" s="22"/>
      <c r="D112" s="22"/>
      <c r="E112" s="20" t="str">
        <f>IF($A112="","",IFERROR(VLOOKUP($D112,ReqTypes,2,FALSE),"?"))</f>
        <v/>
      </c>
      <c r="F112" s="20" t="str">
        <f>IF($A112="","",IFERROR(VLOOKUP($D112,ReqTypes,3,FALSE),"?"))</f>
        <v/>
      </c>
      <c r="G112" s="22"/>
      <c r="H112" s="22"/>
      <c r="I112" s="23"/>
      <c r="J112" s="20" t="str">
        <f>IF(OR($A112="",$I112=""),"",IF(NETWORKDAYS($B112,$I112,Holidays)-1&lt;=AckDays,"Y","N"))</f>
        <v/>
      </c>
      <c r="K112" s="22"/>
      <c r="L112" s="23"/>
      <c r="M112" s="23"/>
      <c r="N112" s="20" t="str">
        <f>IF(OR($A112="",$K112&lt;&gt;"Y"),"",IF($L112="","Pending",IF($L112-$B112&lt;=IDPromptDays,"Y","Check")))</f>
        <v/>
      </c>
      <c r="O112" s="20" t="str">
        <f>IF($A112="","",IF(OR($K112&lt;&gt;"Y",$L112=""),0,IF($M112="",MAX(0,ReportDate-$L112),$M112-$L112)))</f>
        <v/>
      </c>
      <c r="P112" s="21" t="str">
        <f>IF($A112="","",IF($F112&lt;&gt;"Y","n/a",WORKDAY(EDATE($B112,1)+$O112-1,1,Holidays)))</f>
        <v/>
      </c>
      <c r="Q112" s="21" t="str">
        <f>IF($A112="","",$B112+$O112+InternalDays)</f>
        <v/>
      </c>
      <c r="R112" s="22"/>
      <c r="S112" s="23"/>
      <c r="T112" s="20" t="str">
        <f t="shared" si="6"/>
        <v/>
      </c>
      <c r="U112" s="21" t="str">
        <f>IF($A112="","",IF($F112&lt;&gt;"Y",$Q112,IF(AND($R112="Y",$T112="Y"),WORKDAY(EDATE($B112,3)+$O112-1,1,Holidays),$P112)))</f>
        <v/>
      </c>
      <c r="V112" s="22"/>
      <c r="W112" s="22"/>
      <c r="X112" s="22"/>
      <c r="Y112" s="23"/>
      <c r="Z112" s="20" t="str">
        <f>IF($A112="","",IF($Y112&lt;&gt;"",$Y112-$B112,ReportDate-$B112))</f>
        <v/>
      </c>
      <c r="AA112" s="20" t="str">
        <f>IF(OR($A112="",$W112="Closed"),"",$U112-ReportDate)</f>
        <v/>
      </c>
      <c r="AB112" s="20" t="str">
        <f>IF($A112="","",IF($W112="Closed",IF($Y112&lt;=$U112,"Closed on time","Closed late"),IF($W112="Awaiting ID","Paused",IF($AA112&lt;0,"Overdue",IF($AA112&lt;=RedDays,"Red",IF($AA112&lt;=AmberDays,"Amber","Green"))))))</f>
        <v/>
      </c>
      <c r="AC112" s="20" t="str">
        <f t="shared" si="7"/>
        <v/>
      </c>
      <c r="AD112" s="22"/>
      <c r="AE112" s="22"/>
      <c r="AF112" s="20" t="str">
        <f>IF($A112="","",IF(IF(OR($B112="",$C112="",$D112="",$V112="",$W112=""),"missing required field; ","")&amp;IF(COUNTIF($A$2:$A$201,$A112)&gt;1,"duplicate ID; ","")&amp;IF(AND($B112&lt;&gt;"",$B112&gt;ReportDate),"received after snapshot date; ","")&amp;IF(AND($I112&lt;&gt;"",$B112&lt;&gt;"",$I112&lt;$B112),"acknowledged before receipt; ","")&amp;IF(AND($K112="Y",$L112="",$W112&lt;&gt;"Logged"),"ID requested date missing; ","")&amp;IF(AND($L112&lt;&gt;"",$M112&lt;&gt;"",$M112&lt;$L112),"ID dates out of order; ","")&amp;IF(AND($K112&lt;&gt;"Y",OR($L112&lt;&gt;"",$W112="Awaiting ID")),"ID fields used but ID_Check_Needed is not Y; ","")&amp;IF(AND($R112="Y",$S112=""),"extension notice date missing; ","")&amp;IF(AND($R112&lt;&gt;"Y",$S112&lt;&gt;""),"notice date but Extended is not Y; ","")&amp;IF(AND($W112="Closed",$Y112=""),"closed without response date; ","")&amp;IF(AND($Y112&lt;&gt;"",$W112&lt;&gt;"Closed"),"response date but status not Closed; ","")&amp;IF(AND($Y112&lt;&gt;"",$B112&lt;&gt;"",$Y112&lt;$B112),"response before receipt; ","")&amp;IF(AND($AD112="Y",$AE112=""),"exemption needs a reason in Notes; ","")="","OK","Check: "&amp;IF(OR($B112="",$C112="",$D112="",$V112="",$W112=""),"missing required field; ","")&amp;IF(COUNTIF($A$2:$A$201,$A112)&gt;1,"duplicate ID; ","")&amp;IF(AND($B112&lt;&gt;"",$B112&gt;ReportDate),"received after snapshot date; ","")&amp;IF(AND($I112&lt;&gt;"",$B112&lt;&gt;"",$I112&lt;$B112),"acknowledged before receipt; ","")&amp;IF(AND($K112="Y",$L112="",$W112&lt;&gt;"Logged"),"ID requested date missing; ","")&amp;IF(AND($L112&lt;&gt;"",$M112&lt;&gt;"",$M112&lt;$L112),"ID dates out of order; ","")&amp;IF(AND($K112&lt;&gt;"Y",OR($L112&lt;&gt;"",$W112="Awaiting ID")),"ID fields used but ID_Check_Needed is not Y; ","")&amp;IF(AND($R112="Y",$S112=""),"extension notice date missing; ","")&amp;IF(AND($R112&lt;&gt;"Y",$S112&lt;&gt;""),"notice date but Extended is not Y; ","")&amp;IF(AND($W112="Closed",$Y112=""),"closed without response date; ","")&amp;IF(AND($Y112&lt;&gt;"",$W112&lt;&gt;"Closed"),"response date but status not Closed; ","")&amp;IF(AND($Y112&lt;&gt;"",$B112&lt;&gt;"",$Y112&lt;$B112),"response before receipt; ","")&amp;IF(AND($AD112="Y",$AE112=""),"exemption needs a reason in Notes; ","")))</f>
        <v/>
      </c>
    </row>
    <row r="113" spans="1:32" x14ac:dyDescent="0.35">
      <c r="A113" s="22"/>
      <c r="B113" s="23"/>
      <c r="C113" s="22"/>
      <c r="D113" s="22"/>
      <c r="E113" s="20" t="str">
        <f>IF($A113="","",IFERROR(VLOOKUP($D113,ReqTypes,2,FALSE),"?"))</f>
        <v/>
      </c>
      <c r="F113" s="20" t="str">
        <f>IF($A113="","",IFERROR(VLOOKUP($D113,ReqTypes,3,FALSE),"?"))</f>
        <v/>
      </c>
      <c r="G113" s="22"/>
      <c r="H113" s="22"/>
      <c r="I113" s="23"/>
      <c r="J113" s="20" t="str">
        <f>IF(OR($A113="",$I113=""),"",IF(NETWORKDAYS($B113,$I113,Holidays)-1&lt;=AckDays,"Y","N"))</f>
        <v/>
      </c>
      <c r="K113" s="22"/>
      <c r="L113" s="23"/>
      <c r="M113" s="23"/>
      <c r="N113" s="20" t="str">
        <f>IF(OR($A113="",$K113&lt;&gt;"Y"),"",IF($L113="","Pending",IF($L113-$B113&lt;=IDPromptDays,"Y","Check")))</f>
        <v/>
      </c>
      <c r="O113" s="20" t="str">
        <f>IF($A113="","",IF(OR($K113&lt;&gt;"Y",$L113=""),0,IF($M113="",MAX(0,ReportDate-$L113),$M113-$L113)))</f>
        <v/>
      </c>
      <c r="P113" s="21" t="str">
        <f>IF($A113="","",IF($F113&lt;&gt;"Y","n/a",WORKDAY(EDATE($B113,1)+$O113-1,1,Holidays)))</f>
        <v/>
      </c>
      <c r="Q113" s="21" t="str">
        <f>IF($A113="","",$B113+$O113+InternalDays)</f>
        <v/>
      </c>
      <c r="R113" s="22"/>
      <c r="S113" s="23"/>
      <c r="T113" s="20" t="str">
        <f t="shared" si="6"/>
        <v/>
      </c>
      <c r="U113" s="21" t="str">
        <f>IF($A113="","",IF($F113&lt;&gt;"Y",$Q113,IF(AND($R113="Y",$T113="Y"),WORKDAY(EDATE($B113,3)+$O113-1,1,Holidays),$P113)))</f>
        <v/>
      </c>
      <c r="V113" s="22"/>
      <c r="W113" s="22"/>
      <c r="X113" s="22"/>
      <c r="Y113" s="23"/>
      <c r="Z113" s="20" t="str">
        <f>IF($A113="","",IF($Y113&lt;&gt;"",$Y113-$B113,ReportDate-$B113))</f>
        <v/>
      </c>
      <c r="AA113" s="20" t="str">
        <f>IF(OR($A113="",$W113="Closed"),"",$U113-ReportDate)</f>
        <v/>
      </c>
      <c r="AB113" s="20" t="str">
        <f>IF($A113="","",IF($W113="Closed",IF($Y113&lt;=$U113,"Closed on time","Closed late"),IF($W113="Awaiting ID","Paused",IF($AA113&lt;0,"Overdue",IF($AA113&lt;=RedDays,"Red",IF($AA113&lt;=AmberDays,"Amber","Green"))))))</f>
        <v/>
      </c>
      <c r="AC113" s="20" t="str">
        <f t="shared" si="7"/>
        <v/>
      </c>
      <c r="AD113" s="22"/>
      <c r="AE113" s="22"/>
      <c r="AF113" s="20" t="str">
        <f>IF($A113="","",IF(IF(OR($B113="",$C113="",$D113="",$V113="",$W113=""),"missing required field; ","")&amp;IF(COUNTIF($A$2:$A$201,$A113)&gt;1,"duplicate ID; ","")&amp;IF(AND($B113&lt;&gt;"",$B113&gt;ReportDate),"received after snapshot date; ","")&amp;IF(AND($I113&lt;&gt;"",$B113&lt;&gt;"",$I113&lt;$B113),"acknowledged before receipt; ","")&amp;IF(AND($K113="Y",$L113="",$W113&lt;&gt;"Logged"),"ID requested date missing; ","")&amp;IF(AND($L113&lt;&gt;"",$M113&lt;&gt;"",$M113&lt;$L113),"ID dates out of order; ","")&amp;IF(AND($K113&lt;&gt;"Y",OR($L113&lt;&gt;"",$W113="Awaiting ID")),"ID fields used but ID_Check_Needed is not Y; ","")&amp;IF(AND($R113="Y",$S113=""),"extension notice date missing; ","")&amp;IF(AND($R113&lt;&gt;"Y",$S113&lt;&gt;""),"notice date but Extended is not Y; ","")&amp;IF(AND($W113="Closed",$Y113=""),"closed without response date; ","")&amp;IF(AND($Y113&lt;&gt;"",$W113&lt;&gt;"Closed"),"response date but status not Closed; ","")&amp;IF(AND($Y113&lt;&gt;"",$B113&lt;&gt;"",$Y113&lt;$B113),"response before receipt; ","")&amp;IF(AND($AD113="Y",$AE113=""),"exemption needs a reason in Notes; ","")="","OK","Check: "&amp;IF(OR($B113="",$C113="",$D113="",$V113="",$W113=""),"missing required field; ","")&amp;IF(COUNTIF($A$2:$A$201,$A113)&gt;1,"duplicate ID; ","")&amp;IF(AND($B113&lt;&gt;"",$B113&gt;ReportDate),"received after snapshot date; ","")&amp;IF(AND($I113&lt;&gt;"",$B113&lt;&gt;"",$I113&lt;$B113),"acknowledged before receipt; ","")&amp;IF(AND($K113="Y",$L113="",$W113&lt;&gt;"Logged"),"ID requested date missing; ","")&amp;IF(AND($L113&lt;&gt;"",$M113&lt;&gt;"",$M113&lt;$L113),"ID dates out of order; ","")&amp;IF(AND($K113&lt;&gt;"Y",OR($L113&lt;&gt;"",$W113="Awaiting ID")),"ID fields used but ID_Check_Needed is not Y; ","")&amp;IF(AND($R113="Y",$S113=""),"extension notice date missing; ","")&amp;IF(AND($R113&lt;&gt;"Y",$S113&lt;&gt;""),"notice date but Extended is not Y; ","")&amp;IF(AND($W113="Closed",$Y113=""),"closed without response date; ","")&amp;IF(AND($Y113&lt;&gt;"",$W113&lt;&gt;"Closed"),"response date but status not Closed; ","")&amp;IF(AND($Y113&lt;&gt;"",$B113&lt;&gt;"",$Y113&lt;$B113),"response before receipt; ","")&amp;IF(AND($AD113="Y",$AE113=""),"exemption needs a reason in Notes; ","")))</f>
        <v/>
      </c>
    </row>
    <row r="114" spans="1:32" x14ac:dyDescent="0.35">
      <c r="A114" s="22"/>
      <c r="B114" s="23"/>
      <c r="C114" s="22"/>
      <c r="D114" s="22"/>
      <c r="E114" s="20" t="str">
        <f>IF($A114="","",IFERROR(VLOOKUP($D114,ReqTypes,2,FALSE),"?"))</f>
        <v/>
      </c>
      <c r="F114" s="20" t="str">
        <f>IF($A114="","",IFERROR(VLOOKUP($D114,ReqTypes,3,FALSE),"?"))</f>
        <v/>
      </c>
      <c r="G114" s="22"/>
      <c r="H114" s="22"/>
      <c r="I114" s="23"/>
      <c r="J114" s="20" t="str">
        <f>IF(OR($A114="",$I114=""),"",IF(NETWORKDAYS($B114,$I114,Holidays)-1&lt;=AckDays,"Y","N"))</f>
        <v/>
      </c>
      <c r="K114" s="22"/>
      <c r="L114" s="23"/>
      <c r="M114" s="23"/>
      <c r="N114" s="20" t="str">
        <f>IF(OR($A114="",$K114&lt;&gt;"Y"),"",IF($L114="","Pending",IF($L114-$B114&lt;=IDPromptDays,"Y","Check")))</f>
        <v/>
      </c>
      <c r="O114" s="20" t="str">
        <f>IF($A114="","",IF(OR($K114&lt;&gt;"Y",$L114=""),0,IF($M114="",MAX(0,ReportDate-$L114),$M114-$L114)))</f>
        <v/>
      </c>
      <c r="P114" s="21" t="str">
        <f>IF($A114="","",IF($F114&lt;&gt;"Y","n/a",WORKDAY(EDATE($B114,1)+$O114-1,1,Holidays)))</f>
        <v/>
      </c>
      <c r="Q114" s="21" t="str">
        <f>IF($A114="","",$B114+$O114+InternalDays)</f>
        <v/>
      </c>
      <c r="R114" s="22"/>
      <c r="S114" s="23"/>
      <c r="T114" s="20" t="str">
        <f t="shared" si="6"/>
        <v/>
      </c>
      <c r="U114" s="21" t="str">
        <f>IF($A114="","",IF($F114&lt;&gt;"Y",$Q114,IF(AND($R114="Y",$T114="Y"),WORKDAY(EDATE($B114,3)+$O114-1,1,Holidays),$P114)))</f>
        <v/>
      </c>
      <c r="V114" s="22"/>
      <c r="W114" s="22"/>
      <c r="X114" s="22"/>
      <c r="Y114" s="23"/>
      <c r="Z114" s="20" t="str">
        <f>IF($A114="","",IF($Y114&lt;&gt;"",$Y114-$B114,ReportDate-$B114))</f>
        <v/>
      </c>
      <c r="AA114" s="20" t="str">
        <f>IF(OR($A114="",$W114="Closed"),"",$U114-ReportDate)</f>
        <v/>
      </c>
      <c r="AB114" s="20" t="str">
        <f>IF($A114="","",IF($W114="Closed",IF($Y114&lt;=$U114,"Closed on time","Closed late"),IF($W114="Awaiting ID","Paused",IF($AA114&lt;0,"Overdue",IF($AA114&lt;=RedDays,"Red",IF($AA114&lt;=AmberDays,"Amber","Green"))))))</f>
        <v/>
      </c>
      <c r="AC114" s="20" t="str">
        <f t="shared" si="7"/>
        <v/>
      </c>
      <c r="AD114" s="22"/>
      <c r="AE114" s="22"/>
      <c r="AF114" s="20" t="str">
        <f>IF($A114="","",IF(IF(OR($B114="",$C114="",$D114="",$V114="",$W114=""),"missing required field; ","")&amp;IF(COUNTIF($A$2:$A$201,$A114)&gt;1,"duplicate ID; ","")&amp;IF(AND($B114&lt;&gt;"",$B114&gt;ReportDate),"received after snapshot date; ","")&amp;IF(AND($I114&lt;&gt;"",$B114&lt;&gt;"",$I114&lt;$B114),"acknowledged before receipt; ","")&amp;IF(AND($K114="Y",$L114="",$W114&lt;&gt;"Logged"),"ID requested date missing; ","")&amp;IF(AND($L114&lt;&gt;"",$M114&lt;&gt;"",$M114&lt;$L114),"ID dates out of order; ","")&amp;IF(AND($K114&lt;&gt;"Y",OR($L114&lt;&gt;"",$W114="Awaiting ID")),"ID fields used but ID_Check_Needed is not Y; ","")&amp;IF(AND($R114="Y",$S114=""),"extension notice date missing; ","")&amp;IF(AND($R114&lt;&gt;"Y",$S114&lt;&gt;""),"notice date but Extended is not Y; ","")&amp;IF(AND($W114="Closed",$Y114=""),"closed without response date; ","")&amp;IF(AND($Y114&lt;&gt;"",$W114&lt;&gt;"Closed"),"response date but status not Closed; ","")&amp;IF(AND($Y114&lt;&gt;"",$B114&lt;&gt;"",$Y114&lt;$B114),"response before receipt; ","")&amp;IF(AND($AD114="Y",$AE114=""),"exemption needs a reason in Notes; ","")="","OK","Check: "&amp;IF(OR($B114="",$C114="",$D114="",$V114="",$W114=""),"missing required field; ","")&amp;IF(COUNTIF($A$2:$A$201,$A114)&gt;1,"duplicate ID; ","")&amp;IF(AND($B114&lt;&gt;"",$B114&gt;ReportDate),"received after snapshot date; ","")&amp;IF(AND($I114&lt;&gt;"",$B114&lt;&gt;"",$I114&lt;$B114),"acknowledged before receipt; ","")&amp;IF(AND($K114="Y",$L114="",$W114&lt;&gt;"Logged"),"ID requested date missing; ","")&amp;IF(AND($L114&lt;&gt;"",$M114&lt;&gt;"",$M114&lt;$L114),"ID dates out of order; ","")&amp;IF(AND($K114&lt;&gt;"Y",OR($L114&lt;&gt;"",$W114="Awaiting ID")),"ID fields used but ID_Check_Needed is not Y; ","")&amp;IF(AND($R114="Y",$S114=""),"extension notice date missing; ","")&amp;IF(AND($R114&lt;&gt;"Y",$S114&lt;&gt;""),"notice date but Extended is not Y; ","")&amp;IF(AND($W114="Closed",$Y114=""),"closed without response date; ","")&amp;IF(AND($Y114&lt;&gt;"",$W114&lt;&gt;"Closed"),"response date but status not Closed; ","")&amp;IF(AND($Y114&lt;&gt;"",$B114&lt;&gt;"",$Y114&lt;$B114),"response before receipt; ","")&amp;IF(AND($AD114="Y",$AE114=""),"exemption needs a reason in Notes; ","")))</f>
        <v/>
      </c>
    </row>
    <row r="115" spans="1:32" x14ac:dyDescent="0.35">
      <c r="A115" s="22"/>
      <c r="B115" s="23"/>
      <c r="C115" s="22"/>
      <c r="D115" s="22"/>
      <c r="E115" s="20" t="str">
        <f>IF($A115="","",IFERROR(VLOOKUP($D115,ReqTypes,2,FALSE),"?"))</f>
        <v/>
      </c>
      <c r="F115" s="20" t="str">
        <f>IF($A115="","",IFERROR(VLOOKUP($D115,ReqTypes,3,FALSE),"?"))</f>
        <v/>
      </c>
      <c r="G115" s="22"/>
      <c r="H115" s="22"/>
      <c r="I115" s="23"/>
      <c r="J115" s="20" t="str">
        <f>IF(OR($A115="",$I115=""),"",IF(NETWORKDAYS($B115,$I115,Holidays)-1&lt;=AckDays,"Y","N"))</f>
        <v/>
      </c>
      <c r="K115" s="22"/>
      <c r="L115" s="23"/>
      <c r="M115" s="23"/>
      <c r="N115" s="20" t="str">
        <f>IF(OR($A115="",$K115&lt;&gt;"Y"),"",IF($L115="","Pending",IF($L115-$B115&lt;=IDPromptDays,"Y","Check")))</f>
        <v/>
      </c>
      <c r="O115" s="20" t="str">
        <f>IF($A115="","",IF(OR($K115&lt;&gt;"Y",$L115=""),0,IF($M115="",MAX(0,ReportDate-$L115),$M115-$L115)))</f>
        <v/>
      </c>
      <c r="P115" s="21" t="str">
        <f>IF($A115="","",IF($F115&lt;&gt;"Y","n/a",WORKDAY(EDATE($B115,1)+$O115-1,1,Holidays)))</f>
        <v/>
      </c>
      <c r="Q115" s="21" t="str">
        <f>IF($A115="","",$B115+$O115+InternalDays)</f>
        <v/>
      </c>
      <c r="R115" s="22"/>
      <c r="S115" s="23"/>
      <c r="T115" s="20" t="str">
        <f t="shared" si="6"/>
        <v/>
      </c>
      <c r="U115" s="21" t="str">
        <f>IF($A115="","",IF($F115&lt;&gt;"Y",$Q115,IF(AND($R115="Y",$T115="Y"),WORKDAY(EDATE($B115,3)+$O115-1,1,Holidays),$P115)))</f>
        <v/>
      </c>
      <c r="V115" s="22"/>
      <c r="W115" s="22"/>
      <c r="X115" s="22"/>
      <c r="Y115" s="23"/>
      <c r="Z115" s="20" t="str">
        <f>IF($A115="","",IF($Y115&lt;&gt;"",$Y115-$B115,ReportDate-$B115))</f>
        <v/>
      </c>
      <c r="AA115" s="20" t="str">
        <f>IF(OR($A115="",$W115="Closed"),"",$U115-ReportDate)</f>
        <v/>
      </c>
      <c r="AB115" s="20" t="str">
        <f>IF($A115="","",IF($W115="Closed",IF($Y115&lt;=$U115,"Closed on time","Closed late"),IF($W115="Awaiting ID","Paused",IF($AA115&lt;0,"Overdue",IF($AA115&lt;=RedDays,"Red",IF($AA115&lt;=AmberDays,"Amber","Green"))))))</f>
        <v/>
      </c>
      <c r="AC115" s="20" t="str">
        <f t="shared" si="7"/>
        <v/>
      </c>
      <c r="AD115" s="22"/>
      <c r="AE115" s="22"/>
      <c r="AF115" s="20" t="str">
        <f>IF($A115="","",IF(IF(OR($B115="",$C115="",$D115="",$V115="",$W115=""),"missing required field; ","")&amp;IF(COUNTIF($A$2:$A$201,$A115)&gt;1,"duplicate ID; ","")&amp;IF(AND($B115&lt;&gt;"",$B115&gt;ReportDate),"received after snapshot date; ","")&amp;IF(AND($I115&lt;&gt;"",$B115&lt;&gt;"",$I115&lt;$B115),"acknowledged before receipt; ","")&amp;IF(AND($K115="Y",$L115="",$W115&lt;&gt;"Logged"),"ID requested date missing; ","")&amp;IF(AND($L115&lt;&gt;"",$M115&lt;&gt;"",$M115&lt;$L115),"ID dates out of order; ","")&amp;IF(AND($K115&lt;&gt;"Y",OR($L115&lt;&gt;"",$W115="Awaiting ID")),"ID fields used but ID_Check_Needed is not Y; ","")&amp;IF(AND($R115="Y",$S115=""),"extension notice date missing; ","")&amp;IF(AND($R115&lt;&gt;"Y",$S115&lt;&gt;""),"notice date but Extended is not Y; ","")&amp;IF(AND($W115="Closed",$Y115=""),"closed without response date; ","")&amp;IF(AND($Y115&lt;&gt;"",$W115&lt;&gt;"Closed"),"response date but status not Closed; ","")&amp;IF(AND($Y115&lt;&gt;"",$B115&lt;&gt;"",$Y115&lt;$B115),"response before receipt; ","")&amp;IF(AND($AD115="Y",$AE115=""),"exemption needs a reason in Notes; ","")="","OK","Check: "&amp;IF(OR($B115="",$C115="",$D115="",$V115="",$W115=""),"missing required field; ","")&amp;IF(COUNTIF($A$2:$A$201,$A115)&gt;1,"duplicate ID; ","")&amp;IF(AND($B115&lt;&gt;"",$B115&gt;ReportDate),"received after snapshot date; ","")&amp;IF(AND($I115&lt;&gt;"",$B115&lt;&gt;"",$I115&lt;$B115),"acknowledged before receipt; ","")&amp;IF(AND($K115="Y",$L115="",$W115&lt;&gt;"Logged"),"ID requested date missing; ","")&amp;IF(AND($L115&lt;&gt;"",$M115&lt;&gt;"",$M115&lt;$L115),"ID dates out of order; ","")&amp;IF(AND($K115&lt;&gt;"Y",OR($L115&lt;&gt;"",$W115="Awaiting ID")),"ID fields used but ID_Check_Needed is not Y; ","")&amp;IF(AND($R115="Y",$S115=""),"extension notice date missing; ","")&amp;IF(AND($R115&lt;&gt;"Y",$S115&lt;&gt;""),"notice date but Extended is not Y; ","")&amp;IF(AND($W115="Closed",$Y115=""),"closed without response date; ","")&amp;IF(AND($Y115&lt;&gt;"",$W115&lt;&gt;"Closed"),"response date but status not Closed; ","")&amp;IF(AND($Y115&lt;&gt;"",$B115&lt;&gt;"",$Y115&lt;$B115),"response before receipt; ","")&amp;IF(AND($AD115="Y",$AE115=""),"exemption needs a reason in Notes; ","")))</f>
        <v/>
      </c>
    </row>
    <row r="116" spans="1:32" x14ac:dyDescent="0.35">
      <c r="A116" s="22"/>
      <c r="B116" s="23"/>
      <c r="C116" s="22"/>
      <c r="D116" s="22"/>
      <c r="E116" s="20" t="str">
        <f>IF($A116="","",IFERROR(VLOOKUP($D116,ReqTypes,2,FALSE),"?"))</f>
        <v/>
      </c>
      <c r="F116" s="20" t="str">
        <f>IF($A116="","",IFERROR(VLOOKUP($D116,ReqTypes,3,FALSE),"?"))</f>
        <v/>
      </c>
      <c r="G116" s="22"/>
      <c r="H116" s="22"/>
      <c r="I116" s="23"/>
      <c r="J116" s="20" t="str">
        <f>IF(OR($A116="",$I116=""),"",IF(NETWORKDAYS($B116,$I116,Holidays)-1&lt;=AckDays,"Y","N"))</f>
        <v/>
      </c>
      <c r="K116" s="22"/>
      <c r="L116" s="23"/>
      <c r="M116" s="23"/>
      <c r="N116" s="20" t="str">
        <f>IF(OR($A116="",$K116&lt;&gt;"Y"),"",IF($L116="","Pending",IF($L116-$B116&lt;=IDPromptDays,"Y","Check")))</f>
        <v/>
      </c>
      <c r="O116" s="20" t="str">
        <f>IF($A116="","",IF(OR($K116&lt;&gt;"Y",$L116=""),0,IF($M116="",MAX(0,ReportDate-$L116),$M116-$L116)))</f>
        <v/>
      </c>
      <c r="P116" s="21" t="str">
        <f>IF($A116="","",IF($F116&lt;&gt;"Y","n/a",WORKDAY(EDATE($B116,1)+$O116-1,1,Holidays)))</f>
        <v/>
      </c>
      <c r="Q116" s="21" t="str">
        <f>IF($A116="","",$B116+$O116+InternalDays)</f>
        <v/>
      </c>
      <c r="R116" s="22"/>
      <c r="S116" s="23"/>
      <c r="T116" s="20" t="str">
        <f t="shared" si="6"/>
        <v/>
      </c>
      <c r="U116" s="21" t="str">
        <f>IF($A116="","",IF($F116&lt;&gt;"Y",$Q116,IF(AND($R116="Y",$T116="Y"),WORKDAY(EDATE($B116,3)+$O116-1,1,Holidays),$P116)))</f>
        <v/>
      </c>
      <c r="V116" s="22"/>
      <c r="W116" s="22"/>
      <c r="X116" s="22"/>
      <c r="Y116" s="23"/>
      <c r="Z116" s="20" t="str">
        <f>IF($A116="","",IF($Y116&lt;&gt;"",$Y116-$B116,ReportDate-$B116))</f>
        <v/>
      </c>
      <c r="AA116" s="20" t="str">
        <f>IF(OR($A116="",$W116="Closed"),"",$U116-ReportDate)</f>
        <v/>
      </c>
      <c r="AB116" s="20" t="str">
        <f>IF($A116="","",IF($W116="Closed",IF($Y116&lt;=$U116,"Closed on time","Closed late"),IF($W116="Awaiting ID","Paused",IF($AA116&lt;0,"Overdue",IF($AA116&lt;=RedDays,"Red",IF($AA116&lt;=AmberDays,"Amber","Green"))))))</f>
        <v/>
      </c>
      <c r="AC116" s="20" t="str">
        <f t="shared" si="7"/>
        <v/>
      </c>
      <c r="AD116" s="22"/>
      <c r="AE116" s="22"/>
      <c r="AF116" s="20" t="str">
        <f>IF($A116="","",IF(IF(OR($B116="",$C116="",$D116="",$V116="",$W116=""),"missing required field; ","")&amp;IF(COUNTIF($A$2:$A$201,$A116)&gt;1,"duplicate ID; ","")&amp;IF(AND($B116&lt;&gt;"",$B116&gt;ReportDate),"received after snapshot date; ","")&amp;IF(AND($I116&lt;&gt;"",$B116&lt;&gt;"",$I116&lt;$B116),"acknowledged before receipt; ","")&amp;IF(AND($K116="Y",$L116="",$W116&lt;&gt;"Logged"),"ID requested date missing; ","")&amp;IF(AND($L116&lt;&gt;"",$M116&lt;&gt;"",$M116&lt;$L116),"ID dates out of order; ","")&amp;IF(AND($K116&lt;&gt;"Y",OR($L116&lt;&gt;"",$W116="Awaiting ID")),"ID fields used but ID_Check_Needed is not Y; ","")&amp;IF(AND($R116="Y",$S116=""),"extension notice date missing; ","")&amp;IF(AND($R116&lt;&gt;"Y",$S116&lt;&gt;""),"notice date but Extended is not Y; ","")&amp;IF(AND($W116="Closed",$Y116=""),"closed without response date; ","")&amp;IF(AND($Y116&lt;&gt;"",$W116&lt;&gt;"Closed"),"response date but status not Closed; ","")&amp;IF(AND($Y116&lt;&gt;"",$B116&lt;&gt;"",$Y116&lt;$B116),"response before receipt; ","")&amp;IF(AND($AD116="Y",$AE116=""),"exemption needs a reason in Notes; ","")="","OK","Check: "&amp;IF(OR($B116="",$C116="",$D116="",$V116="",$W116=""),"missing required field; ","")&amp;IF(COUNTIF($A$2:$A$201,$A116)&gt;1,"duplicate ID; ","")&amp;IF(AND($B116&lt;&gt;"",$B116&gt;ReportDate),"received after snapshot date; ","")&amp;IF(AND($I116&lt;&gt;"",$B116&lt;&gt;"",$I116&lt;$B116),"acknowledged before receipt; ","")&amp;IF(AND($K116="Y",$L116="",$W116&lt;&gt;"Logged"),"ID requested date missing; ","")&amp;IF(AND($L116&lt;&gt;"",$M116&lt;&gt;"",$M116&lt;$L116),"ID dates out of order; ","")&amp;IF(AND($K116&lt;&gt;"Y",OR($L116&lt;&gt;"",$W116="Awaiting ID")),"ID fields used but ID_Check_Needed is not Y; ","")&amp;IF(AND($R116="Y",$S116=""),"extension notice date missing; ","")&amp;IF(AND($R116&lt;&gt;"Y",$S116&lt;&gt;""),"notice date but Extended is not Y; ","")&amp;IF(AND($W116="Closed",$Y116=""),"closed without response date; ","")&amp;IF(AND($Y116&lt;&gt;"",$W116&lt;&gt;"Closed"),"response date but status not Closed; ","")&amp;IF(AND($Y116&lt;&gt;"",$B116&lt;&gt;"",$Y116&lt;$B116),"response before receipt; ","")&amp;IF(AND($AD116="Y",$AE116=""),"exemption needs a reason in Notes; ","")))</f>
        <v/>
      </c>
    </row>
    <row r="117" spans="1:32" x14ac:dyDescent="0.35">
      <c r="A117" s="22"/>
      <c r="B117" s="23"/>
      <c r="C117" s="22"/>
      <c r="D117" s="22"/>
      <c r="E117" s="20" t="str">
        <f>IF($A117="","",IFERROR(VLOOKUP($D117,ReqTypes,2,FALSE),"?"))</f>
        <v/>
      </c>
      <c r="F117" s="20" t="str">
        <f>IF($A117="","",IFERROR(VLOOKUP($D117,ReqTypes,3,FALSE),"?"))</f>
        <v/>
      </c>
      <c r="G117" s="22"/>
      <c r="H117" s="22"/>
      <c r="I117" s="23"/>
      <c r="J117" s="20" t="str">
        <f>IF(OR($A117="",$I117=""),"",IF(NETWORKDAYS($B117,$I117,Holidays)-1&lt;=AckDays,"Y","N"))</f>
        <v/>
      </c>
      <c r="K117" s="22"/>
      <c r="L117" s="23"/>
      <c r="M117" s="23"/>
      <c r="N117" s="20" t="str">
        <f>IF(OR($A117="",$K117&lt;&gt;"Y"),"",IF($L117="","Pending",IF($L117-$B117&lt;=IDPromptDays,"Y","Check")))</f>
        <v/>
      </c>
      <c r="O117" s="20" t="str">
        <f>IF($A117="","",IF(OR($K117&lt;&gt;"Y",$L117=""),0,IF($M117="",MAX(0,ReportDate-$L117),$M117-$L117)))</f>
        <v/>
      </c>
      <c r="P117" s="21" t="str">
        <f>IF($A117="","",IF($F117&lt;&gt;"Y","n/a",WORKDAY(EDATE($B117,1)+$O117-1,1,Holidays)))</f>
        <v/>
      </c>
      <c r="Q117" s="21" t="str">
        <f>IF($A117="","",$B117+$O117+InternalDays)</f>
        <v/>
      </c>
      <c r="R117" s="22"/>
      <c r="S117" s="23"/>
      <c r="T117" s="20" t="str">
        <f t="shared" si="6"/>
        <v/>
      </c>
      <c r="U117" s="21" t="str">
        <f>IF($A117="","",IF($F117&lt;&gt;"Y",$Q117,IF(AND($R117="Y",$T117="Y"),WORKDAY(EDATE($B117,3)+$O117-1,1,Holidays),$P117)))</f>
        <v/>
      </c>
      <c r="V117" s="22"/>
      <c r="W117" s="22"/>
      <c r="X117" s="22"/>
      <c r="Y117" s="23"/>
      <c r="Z117" s="20" t="str">
        <f>IF($A117="","",IF($Y117&lt;&gt;"",$Y117-$B117,ReportDate-$B117))</f>
        <v/>
      </c>
      <c r="AA117" s="20" t="str">
        <f>IF(OR($A117="",$W117="Closed"),"",$U117-ReportDate)</f>
        <v/>
      </c>
      <c r="AB117" s="20" t="str">
        <f>IF($A117="","",IF($W117="Closed",IF($Y117&lt;=$U117,"Closed on time","Closed late"),IF($W117="Awaiting ID","Paused",IF($AA117&lt;0,"Overdue",IF($AA117&lt;=RedDays,"Red",IF($AA117&lt;=AmberDays,"Amber","Green"))))))</f>
        <v/>
      </c>
      <c r="AC117" s="20" t="str">
        <f t="shared" si="7"/>
        <v/>
      </c>
      <c r="AD117" s="22"/>
      <c r="AE117" s="22"/>
      <c r="AF117" s="20" t="str">
        <f>IF($A117="","",IF(IF(OR($B117="",$C117="",$D117="",$V117="",$W117=""),"missing required field; ","")&amp;IF(COUNTIF($A$2:$A$201,$A117)&gt;1,"duplicate ID; ","")&amp;IF(AND($B117&lt;&gt;"",$B117&gt;ReportDate),"received after snapshot date; ","")&amp;IF(AND($I117&lt;&gt;"",$B117&lt;&gt;"",$I117&lt;$B117),"acknowledged before receipt; ","")&amp;IF(AND($K117="Y",$L117="",$W117&lt;&gt;"Logged"),"ID requested date missing; ","")&amp;IF(AND($L117&lt;&gt;"",$M117&lt;&gt;"",$M117&lt;$L117),"ID dates out of order; ","")&amp;IF(AND($K117&lt;&gt;"Y",OR($L117&lt;&gt;"",$W117="Awaiting ID")),"ID fields used but ID_Check_Needed is not Y; ","")&amp;IF(AND($R117="Y",$S117=""),"extension notice date missing; ","")&amp;IF(AND($R117&lt;&gt;"Y",$S117&lt;&gt;""),"notice date but Extended is not Y; ","")&amp;IF(AND($W117="Closed",$Y117=""),"closed without response date; ","")&amp;IF(AND($Y117&lt;&gt;"",$W117&lt;&gt;"Closed"),"response date but status not Closed; ","")&amp;IF(AND($Y117&lt;&gt;"",$B117&lt;&gt;"",$Y117&lt;$B117),"response before receipt; ","")&amp;IF(AND($AD117="Y",$AE117=""),"exemption needs a reason in Notes; ","")="","OK","Check: "&amp;IF(OR($B117="",$C117="",$D117="",$V117="",$W117=""),"missing required field; ","")&amp;IF(COUNTIF($A$2:$A$201,$A117)&gt;1,"duplicate ID; ","")&amp;IF(AND($B117&lt;&gt;"",$B117&gt;ReportDate),"received after snapshot date; ","")&amp;IF(AND($I117&lt;&gt;"",$B117&lt;&gt;"",$I117&lt;$B117),"acknowledged before receipt; ","")&amp;IF(AND($K117="Y",$L117="",$W117&lt;&gt;"Logged"),"ID requested date missing; ","")&amp;IF(AND($L117&lt;&gt;"",$M117&lt;&gt;"",$M117&lt;$L117),"ID dates out of order; ","")&amp;IF(AND($K117&lt;&gt;"Y",OR($L117&lt;&gt;"",$W117="Awaiting ID")),"ID fields used but ID_Check_Needed is not Y; ","")&amp;IF(AND($R117="Y",$S117=""),"extension notice date missing; ","")&amp;IF(AND($R117&lt;&gt;"Y",$S117&lt;&gt;""),"notice date but Extended is not Y; ","")&amp;IF(AND($W117="Closed",$Y117=""),"closed without response date; ","")&amp;IF(AND($Y117&lt;&gt;"",$W117&lt;&gt;"Closed"),"response date but status not Closed; ","")&amp;IF(AND($Y117&lt;&gt;"",$B117&lt;&gt;"",$Y117&lt;$B117),"response before receipt; ","")&amp;IF(AND($AD117="Y",$AE117=""),"exemption needs a reason in Notes; ","")))</f>
        <v/>
      </c>
    </row>
    <row r="118" spans="1:32" x14ac:dyDescent="0.35">
      <c r="A118" s="22"/>
      <c r="B118" s="23"/>
      <c r="C118" s="22"/>
      <c r="D118" s="22"/>
      <c r="E118" s="20" t="str">
        <f>IF($A118="","",IFERROR(VLOOKUP($D118,ReqTypes,2,FALSE),"?"))</f>
        <v/>
      </c>
      <c r="F118" s="20" t="str">
        <f>IF($A118="","",IFERROR(VLOOKUP($D118,ReqTypes,3,FALSE),"?"))</f>
        <v/>
      </c>
      <c r="G118" s="22"/>
      <c r="H118" s="22"/>
      <c r="I118" s="23"/>
      <c r="J118" s="20" t="str">
        <f>IF(OR($A118="",$I118=""),"",IF(NETWORKDAYS($B118,$I118,Holidays)-1&lt;=AckDays,"Y","N"))</f>
        <v/>
      </c>
      <c r="K118" s="22"/>
      <c r="L118" s="23"/>
      <c r="M118" s="23"/>
      <c r="N118" s="20" t="str">
        <f>IF(OR($A118="",$K118&lt;&gt;"Y"),"",IF($L118="","Pending",IF($L118-$B118&lt;=IDPromptDays,"Y","Check")))</f>
        <v/>
      </c>
      <c r="O118" s="20" t="str">
        <f>IF($A118="","",IF(OR($K118&lt;&gt;"Y",$L118=""),0,IF($M118="",MAX(0,ReportDate-$L118),$M118-$L118)))</f>
        <v/>
      </c>
      <c r="P118" s="21" t="str">
        <f>IF($A118="","",IF($F118&lt;&gt;"Y","n/a",WORKDAY(EDATE($B118,1)+$O118-1,1,Holidays)))</f>
        <v/>
      </c>
      <c r="Q118" s="21" t="str">
        <f>IF($A118="","",$B118+$O118+InternalDays)</f>
        <v/>
      </c>
      <c r="R118" s="22"/>
      <c r="S118" s="23"/>
      <c r="T118" s="20" t="str">
        <f t="shared" si="6"/>
        <v/>
      </c>
      <c r="U118" s="21" t="str">
        <f>IF($A118="","",IF($F118&lt;&gt;"Y",$Q118,IF(AND($R118="Y",$T118="Y"),WORKDAY(EDATE($B118,3)+$O118-1,1,Holidays),$P118)))</f>
        <v/>
      </c>
      <c r="V118" s="22"/>
      <c r="W118" s="22"/>
      <c r="X118" s="22"/>
      <c r="Y118" s="23"/>
      <c r="Z118" s="20" t="str">
        <f>IF($A118="","",IF($Y118&lt;&gt;"",$Y118-$B118,ReportDate-$B118))</f>
        <v/>
      </c>
      <c r="AA118" s="20" t="str">
        <f>IF(OR($A118="",$W118="Closed"),"",$U118-ReportDate)</f>
        <v/>
      </c>
      <c r="AB118" s="20" t="str">
        <f>IF($A118="","",IF($W118="Closed",IF($Y118&lt;=$U118,"Closed on time","Closed late"),IF($W118="Awaiting ID","Paused",IF($AA118&lt;0,"Overdue",IF($AA118&lt;=RedDays,"Red",IF($AA118&lt;=AmberDays,"Amber","Green"))))))</f>
        <v/>
      </c>
      <c r="AC118" s="20" t="str">
        <f t="shared" si="7"/>
        <v/>
      </c>
      <c r="AD118" s="22"/>
      <c r="AE118" s="22"/>
      <c r="AF118" s="20" t="str">
        <f>IF($A118="","",IF(IF(OR($B118="",$C118="",$D118="",$V118="",$W118=""),"missing required field; ","")&amp;IF(COUNTIF($A$2:$A$201,$A118)&gt;1,"duplicate ID; ","")&amp;IF(AND($B118&lt;&gt;"",$B118&gt;ReportDate),"received after snapshot date; ","")&amp;IF(AND($I118&lt;&gt;"",$B118&lt;&gt;"",$I118&lt;$B118),"acknowledged before receipt; ","")&amp;IF(AND($K118="Y",$L118="",$W118&lt;&gt;"Logged"),"ID requested date missing; ","")&amp;IF(AND($L118&lt;&gt;"",$M118&lt;&gt;"",$M118&lt;$L118),"ID dates out of order; ","")&amp;IF(AND($K118&lt;&gt;"Y",OR($L118&lt;&gt;"",$W118="Awaiting ID")),"ID fields used but ID_Check_Needed is not Y; ","")&amp;IF(AND($R118="Y",$S118=""),"extension notice date missing; ","")&amp;IF(AND($R118&lt;&gt;"Y",$S118&lt;&gt;""),"notice date but Extended is not Y; ","")&amp;IF(AND($W118="Closed",$Y118=""),"closed without response date; ","")&amp;IF(AND($Y118&lt;&gt;"",$W118&lt;&gt;"Closed"),"response date but status not Closed; ","")&amp;IF(AND($Y118&lt;&gt;"",$B118&lt;&gt;"",$Y118&lt;$B118),"response before receipt; ","")&amp;IF(AND($AD118="Y",$AE118=""),"exemption needs a reason in Notes; ","")="","OK","Check: "&amp;IF(OR($B118="",$C118="",$D118="",$V118="",$W118=""),"missing required field; ","")&amp;IF(COUNTIF($A$2:$A$201,$A118)&gt;1,"duplicate ID; ","")&amp;IF(AND($B118&lt;&gt;"",$B118&gt;ReportDate),"received after snapshot date; ","")&amp;IF(AND($I118&lt;&gt;"",$B118&lt;&gt;"",$I118&lt;$B118),"acknowledged before receipt; ","")&amp;IF(AND($K118="Y",$L118="",$W118&lt;&gt;"Logged"),"ID requested date missing; ","")&amp;IF(AND($L118&lt;&gt;"",$M118&lt;&gt;"",$M118&lt;$L118),"ID dates out of order; ","")&amp;IF(AND($K118&lt;&gt;"Y",OR($L118&lt;&gt;"",$W118="Awaiting ID")),"ID fields used but ID_Check_Needed is not Y; ","")&amp;IF(AND($R118="Y",$S118=""),"extension notice date missing; ","")&amp;IF(AND($R118&lt;&gt;"Y",$S118&lt;&gt;""),"notice date but Extended is not Y; ","")&amp;IF(AND($W118="Closed",$Y118=""),"closed without response date; ","")&amp;IF(AND($Y118&lt;&gt;"",$W118&lt;&gt;"Closed"),"response date but status not Closed; ","")&amp;IF(AND($Y118&lt;&gt;"",$B118&lt;&gt;"",$Y118&lt;$B118),"response before receipt; ","")&amp;IF(AND($AD118="Y",$AE118=""),"exemption needs a reason in Notes; ","")))</f>
        <v/>
      </c>
    </row>
    <row r="119" spans="1:32" x14ac:dyDescent="0.35">
      <c r="A119" s="22"/>
      <c r="B119" s="23"/>
      <c r="C119" s="22"/>
      <c r="D119" s="22"/>
      <c r="E119" s="20" t="str">
        <f>IF($A119="","",IFERROR(VLOOKUP($D119,ReqTypes,2,FALSE),"?"))</f>
        <v/>
      </c>
      <c r="F119" s="20" t="str">
        <f>IF($A119="","",IFERROR(VLOOKUP($D119,ReqTypes,3,FALSE),"?"))</f>
        <v/>
      </c>
      <c r="G119" s="22"/>
      <c r="H119" s="22"/>
      <c r="I119" s="23"/>
      <c r="J119" s="20" t="str">
        <f>IF(OR($A119="",$I119=""),"",IF(NETWORKDAYS($B119,$I119,Holidays)-1&lt;=AckDays,"Y","N"))</f>
        <v/>
      </c>
      <c r="K119" s="22"/>
      <c r="L119" s="23"/>
      <c r="M119" s="23"/>
      <c r="N119" s="20" t="str">
        <f>IF(OR($A119="",$K119&lt;&gt;"Y"),"",IF($L119="","Pending",IF($L119-$B119&lt;=IDPromptDays,"Y","Check")))</f>
        <v/>
      </c>
      <c r="O119" s="20" t="str">
        <f>IF($A119="","",IF(OR($K119&lt;&gt;"Y",$L119=""),0,IF($M119="",MAX(0,ReportDate-$L119),$M119-$L119)))</f>
        <v/>
      </c>
      <c r="P119" s="21" t="str">
        <f>IF($A119="","",IF($F119&lt;&gt;"Y","n/a",WORKDAY(EDATE($B119,1)+$O119-1,1,Holidays)))</f>
        <v/>
      </c>
      <c r="Q119" s="21" t="str">
        <f>IF($A119="","",$B119+$O119+InternalDays)</f>
        <v/>
      </c>
      <c r="R119" s="22"/>
      <c r="S119" s="23"/>
      <c r="T119" s="20" t="str">
        <f t="shared" si="6"/>
        <v/>
      </c>
      <c r="U119" s="21" t="str">
        <f>IF($A119="","",IF($F119&lt;&gt;"Y",$Q119,IF(AND($R119="Y",$T119="Y"),WORKDAY(EDATE($B119,3)+$O119-1,1,Holidays),$P119)))</f>
        <v/>
      </c>
      <c r="V119" s="22"/>
      <c r="W119" s="22"/>
      <c r="X119" s="22"/>
      <c r="Y119" s="23"/>
      <c r="Z119" s="20" t="str">
        <f>IF($A119="","",IF($Y119&lt;&gt;"",$Y119-$B119,ReportDate-$B119))</f>
        <v/>
      </c>
      <c r="AA119" s="20" t="str">
        <f>IF(OR($A119="",$W119="Closed"),"",$U119-ReportDate)</f>
        <v/>
      </c>
      <c r="AB119" s="20" t="str">
        <f>IF($A119="","",IF($W119="Closed",IF($Y119&lt;=$U119,"Closed on time","Closed late"),IF($W119="Awaiting ID","Paused",IF($AA119&lt;0,"Overdue",IF($AA119&lt;=RedDays,"Red",IF($AA119&lt;=AmberDays,"Amber","Green"))))))</f>
        <v/>
      </c>
      <c r="AC119" s="20" t="str">
        <f t="shared" si="7"/>
        <v/>
      </c>
      <c r="AD119" s="22"/>
      <c r="AE119" s="22"/>
      <c r="AF119" s="20" t="str">
        <f>IF($A119="","",IF(IF(OR($B119="",$C119="",$D119="",$V119="",$W119=""),"missing required field; ","")&amp;IF(COUNTIF($A$2:$A$201,$A119)&gt;1,"duplicate ID; ","")&amp;IF(AND($B119&lt;&gt;"",$B119&gt;ReportDate),"received after snapshot date; ","")&amp;IF(AND($I119&lt;&gt;"",$B119&lt;&gt;"",$I119&lt;$B119),"acknowledged before receipt; ","")&amp;IF(AND($K119="Y",$L119="",$W119&lt;&gt;"Logged"),"ID requested date missing; ","")&amp;IF(AND($L119&lt;&gt;"",$M119&lt;&gt;"",$M119&lt;$L119),"ID dates out of order; ","")&amp;IF(AND($K119&lt;&gt;"Y",OR($L119&lt;&gt;"",$W119="Awaiting ID")),"ID fields used but ID_Check_Needed is not Y; ","")&amp;IF(AND($R119="Y",$S119=""),"extension notice date missing; ","")&amp;IF(AND($R119&lt;&gt;"Y",$S119&lt;&gt;""),"notice date but Extended is not Y; ","")&amp;IF(AND($W119="Closed",$Y119=""),"closed without response date; ","")&amp;IF(AND($Y119&lt;&gt;"",$W119&lt;&gt;"Closed"),"response date but status not Closed; ","")&amp;IF(AND($Y119&lt;&gt;"",$B119&lt;&gt;"",$Y119&lt;$B119),"response before receipt; ","")&amp;IF(AND($AD119="Y",$AE119=""),"exemption needs a reason in Notes; ","")="","OK","Check: "&amp;IF(OR($B119="",$C119="",$D119="",$V119="",$W119=""),"missing required field; ","")&amp;IF(COUNTIF($A$2:$A$201,$A119)&gt;1,"duplicate ID; ","")&amp;IF(AND($B119&lt;&gt;"",$B119&gt;ReportDate),"received after snapshot date; ","")&amp;IF(AND($I119&lt;&gt;"",$B119&lt;&gt;"",$I119&lt;$B119),"acknowledged before receipt; ","")&amp;IF(AND($K119="Y",$L119="",$W119&lt;&gt;"Logged"),"ID requested date missing; ","")&amp;IF(AND($L119&lt;&gt;"",$M119&lt;&gt;"",$M119&lt;$L119),"ID dates out of order; ","")&amp;IF(AND($K119&lt;&gt;"Y",OR($L119&lt;&gt;"",$W119="Awaiting ID")),"ID fields used but ID_Check_Needed is not Y; ","")&amp;IF(AND($R119="Y",$S119=""),"extension notice date missing; ","")&amp;IF(AND($R119&lt;&gt;"Y",$S119&lt;&gt;""),"notice date but Extended is not Y; ","")&amp;IF(AND($W119="Closed",$Y119=""),"closed without response date; ","")&amp;IF(AND($Y119&lt;&gt;"",$W119&lt;&gt;"Closed"),"response date but status not Closed; ","")&amp;IF(AND($Y119&lt;&gt;"",$B119&lt;&gt;"",$Y119&lt;$B119),"response before receipt; ","")&amp;IF(AND($AD119="Y",$AE119=""),"exemption needs a reason in Notes; ","")))</f>
        <v/>
      </c>
    </row>
    <row r="120" spans="1:32" x14ac:dyDescent="0.35">
      <c r="A120" s="22"/>
      <c r="B120" s="23"/>
      <c r="C120" s="22"/>
      <c r="D120" s="22"/>
      <c r="E120" s="20" t="str">
        <f>IF($A120="","",IFERROR(VLOOKUP($D120,ReqTypes,2,FALSE),"?"))</f>
        <v/>
      </c>
      <c r="F120" s="20" t="str">
        <f>IF($A120="","",IFERROR(VLOOKUP($D120,ReqTypes,3,FALSE),"?"))</f>
        <v/>
      </c>
      <c r="G120" s="22"/>
      <c r="H120" s="22"/>
      <c r="I120" s="23"/>
      <c r="J120" s="20" t="str">
        <f>IF(OR($A120="",$I120=""),"",IF(NETWORKDAYS($B120,$I120,Holidays)-1&lt;=AckDays,"Y","N"))</f>
        <v/>
      </c>
      <c r="K120" s="22"/>
      <c r="L120" s="23"/>
      <c r="M120" s="23"/>
      <c r="N120" s="20" t="str">
        <f>IF(OR($A120="",$K120&lt;&gt;"Y"),"",IF($L120="","Pending",IF($L120-$B120&lt;=IDPromptDays,"Y","Check")))</f>
        <v/>
      </c>
      <c r="O120" s="20" t="str">
        <f>IF($A120="","",IF(OR($K120&lt;&gt;"Y",$L120=""),0,IF($M120="",MAX(0,ReportDate-$L120),$M120-$L120)))</f>
        <v/>
      </c>
      <c r="P120" s="21" t="str">
        <f>IF($A120="","",IF($F120&lt;&gt;"Y","n/a",WORKDAY(EDATE($B120,1)+$O120-1,1,Holidays)))</f>
        <v/>
      </c>
      <c r="Q120" s="21" t="str">
        <f>IF($A120="","",$B120+$O120+InternalDays)</f>
        <v/>
      </c>
      <c r="R120" s="22"/>
      <c r="S120" s="23"/>
      <c r="T120" s="20" t="str">
        <f t="shared" si="6"/>
        <v/>
      </c>
      <c r="U120" s="21" t="str">
        <f>IF($A120="","",IF($F120&lt;&gt;"Y",$Q120,IF(AND($R120="Y",$T120="Y"),WORKDAY(EDATE($B120,3)+$O120-1,1,Holidays),$P120)))</f>
        <v/>
      </c>
      <c r="V120" s="22"/>
      <c r="W120" s="22"/>
      <c r="X120" s="22"/>
      <c r="Y120" s="23"/>
      <c r="Z120" s="20" t="str">
        <f>IF($A120="","",IF($Y120&lt;&gt;"",$Y120-$B120,ReportDate-$B120))</f>
        <v/>
      </c>
      <c r="AA120" s="20" t="str">
        <f>IF(OR($A120="",$W120="Closed"),"",$U120-ReportDate)</f>
        <v/>
      </c>
      <c r="AB120" s="20" t="str">
        <f>IF($A120="","",IF($W120="Closed",IF($Y120&lt;=$U120,"Closed on time","Closed late"),IF($W120="Awaiting ID","Paused",IF($AA120&lt;0,"Overdue",IF($AA120&lt;=RedDays,"Red",IF($AA120&lt;=AmberDays,"Amber","Green"))))))</f>
        <v/>
      </c>
      <c r="AC120" s="20" t="str">
        <f t="shared" si="7"/>
        <v/>
      </c>
      <c r="AD120" s="22"/>
      <c r="AE120" s="22"/>
      <c r="AF120" s="20" t="str">
        <f>IF($A120="","",IF(IF(OR($B120="",$C120="",$D120="",$V120="",$W120=""),"missing required field; ","")&amp;IF(COUNTIF($A$2:$A$201,$A120)&gt;1,"duplicate ID; ","")&amp;IF(AND($B120&lt;&gt;"",$B120&gt;ReportDate),"received after snapshot date; ","")&amp;IF(AND($I120&lt;&gt;"",$B120&lt;&gt;"",$I120&lt;$B120),"acknowledged before receipt; ","")&amp;IF(AND($K120="Y",$L120="",$W120&lt;&gt;"Logged"),"ID requested date missing; ","")&amp;IF(AND($L120&lt;&gt;"",$M120&lt;&gt;"",$M120&lt;$L120),"ID dates out of order; ","")&amp;IF(AND($K120&lt;&gt;"Y",OR($L120&lt;&gt;"",$W120="Awaiting ID")),"ID fields used but ID_Check_Needed is not Y; ","")&amp;IF(AND($R120="Y",$S120=""),"extension notice date missing; ","")&amp;IF(AND($R120&lt;&gt;"Y",$S120&lt;&gt;""),"notice date but Extended is not Y; ","")&amp;IF(AND($W120="Closed",$Y120=""),"closed without response date; ","")&amp;IF(AND($Y120&lt;&gt;"",$W120&lt;&gt;"Closed"),"response date but status not Closed; ","")&amp;IF(AND($Y120&lt;&gt;"",$B120&lt;&gt;"",$Y120&lt;$B120),"response before receipt; ","")&amp;IF(AND($AD120="Y",$AE120=""),"exemption needs a reason in Notes; ","")="","OK","Check: "&amp;IF(OR($B120="",$C120="",$D120="",$V120="",$W120=""),"missing required field; ","")&amp;IF(COUNTIF($A$2:$A$201,$A120)&gt;1,"duplicate ID; ","")&amp;IF(AND($B120&lt;&gt;"",$B120&gt;ReportDate),"received after snapshot date; ","")&amp;IF(AND($I120&lt;&gt;"",$B120&lt;&gt;"",$I120&lt;$B120),"acknowledged before receipt; ","")&amp;IF(AND($K120="Y",$L120="",$W120&lt;&gt;"Logged"),"ID requested date missing; ","")&amp;IF(AND($L120&lt;&gt;"",$M120&lt;&gt;"",$M120&lt;$L120),"ID dates out of order; ","")&amp;IF(AND($K120&lt;&gt;"Y",OR($L120&lt;&gt;"",$W120="Awaiting ID")),"ID fields used but ID_Check_Needed is not Y; ","")&amp;IF(AND($R120="Y",$S120=""),"extension notice date missing; ","")&amp;IF(AND($R120&lt;&gt;"Y",$S120&lt;&gt;""),"notice date but Extended is not Y; ","")&amp;IF(AND($W120="Closed",$Y120=""),"closed without response date; ","")&amp;IF(AND($Y120&lt;&gt;"",$W120&lt;&gt;"Closed"),"response date but status not Closed; ","")&amp;IF(AND($Y120&lt;&gt;"",$B120&lt;&gt;"",$Y120&lt;$B120),"response before receipt; ","")&amp;IF(AND($AD120="Y",$AE120=""),"exemption needs a reason in Notes; ","")))</f>
        <v/>
      </c>
    </row>
    <row r="121" spans="1:32" x14ac:dyDescent="0.35">
      <c r="A121" s="22"/>
      <c r="B121" s="23"/>
      <c r="C121" s="22"/>
      <c r="D121" s="22"/>
      <c r="E121" s="20" t="str">
        <f>IF($A121="","",IFERROR(VLOOKUP($D121,ReqTypes,2,FALSE),"?"))</f>
        <v/>
      </c>
      <c r="F121" s="20" t="str">
        <f>IF($A121="","",IFERROR(VLOOKUP($D121,ReqTypes,3,FALSE),"?"))</f>
        <v/>
      </c>
      <c r="G121" s="22"/>
      <c r="H121" s="22"/>
      <c r="I121" s="23"/>
      <c r="J121" s="20" t="str">
        <f>IF(OR($A121="",$I121=""),"",IF(NETWORKDAYS($B121,$I121,Holidays)-1&lt;=AckDays,"Y","N"))</f>
        <v/>
      </c>
      <c r="K121" s="22"/>
      <c r="L121" s="23"/>
      <c r="M121" s="23"/>
      <c r="N121" s="20" t="str">
        <f>IF(OR($A121="",$K121&lt;&gt;"Y"),"",IF($L121="","Pending",IF($L121-$B121&lt;=IDPromptDays,"Y","Check")))</f>
        <v/>
      </c>
      <c r="O121" s="20" t="str">
        <f>IF($A121="","",IF(OR($K121&lt;&gt;"Y",$L121=""),0,IF($M121="",MAX(0,ReportDate-$L121),$M121-$L121)))</f>
        <v/>
      </c>
      <c r="P121" s="21" t="str">
        <f>IF($A121="","",IF($F121&lt;&gt;"Y","n/a",WORKDAY(EDATE($B121,1)+$O121-1,1,Holidays)))</f>
        <v/>
      </c>
      <c r="Q121" s="21" t="str">
        <f>IF($A121="","",$B121+$O121+InternalDays)</f>
        <v/>
      </c>
      <c r="R121" s="22"/>
      <c r="S121" s="23"/>
      <c r="T121" s="20" t="str">
        <f t="shared" si="6"/>
        <v/>
      </c>
      <c r="U121" s="21" t="str">
        <f>IF($A121="","",IF($F121&lt;&gt;"Y",$Q121,IF(AND($R121="Y",$T121="Y"),WORKDAY(EDATE($B121,3)+$O121-1,1,Holidays),$P121)))</f>
        <v/>
      </c>
      <c r="V121" s="22"/>
      <c r="W121" s="22"/>
      <c r="X121" s="22"/>
      <c r="Y121" s="23"/>
      <c r="Z121" s="20" t="str">
        <f>IF($A121="","",IF($Y121&lt;&gt;"",$Y121-$B121,ReportDate-$B121))</f>
        <v/>
      </c>
      <c r="AA121" s="20" t="str">
        <f>IF(OR($A121="",$W121="Closed"),"",$U121-ReportDate)</f>
        <v/>
      </c>
      <c r="AB121" s="20" t="str">
        <f>IF($A121="","",IF($W121="Closed",IF($Y121&lt;=$U121,"Closed on time","Closed late"),IF($W121="Awaiting ID","Paused",IF($AA121&lt;0,"Overdue",IF($AA121&lt;=RedDays,"Red",IF($AA121&lt;=AmberDays,"Amber","Green"))))))</f>
        <v/>
      </c>
      <c r="AC121" s="20" t="str">
        <f t="shared" si="7"/>
        <v/>
      </c>
      <c r="AD121" s="22"/>
      <c r="AE121" s="22"/>
      <c r="AF121" s="20" t="str">
        <f>IF($A121="","",IF(IF(OR($B121="",$C121="",$D121="",$V121="",$W121=""),"missing required field; ","")&amp;IF(COUNTIF($A$2:$A$201,$A121)&gt;1,"duplicate ID; ","")&amp;IF(AND($B121&lt;&gt;"",$B121&gt;ReportDate),"received after snapshot date; ","")&amp;IF(AND($I121&lt;&gt;"",$B121&lt;&gt;"",$I121&lt;$B121),"acknowledged before receipt; ","")&amp;IF(AND($K121="Y",$L121="",$W121&lt;&gt;"Logged"),"ID requested date missing; ","")&amp;IF(AND($L121&lt;&gt;"",$M121&lt;&gt;"",$M121&lt;$L121),"ID dates out of order; ","")&amp;IF(AND($K121&lt;&gt;"Y",OR($L121&lt;&gt;"",$W121="Awaiting ID")),"ID fields used but ID_Check_Needed is not Y; ","")&amp;IF(AND($R121="Y",$S121=""),"extension notice date missing; ","")&amp;IF(AND($R121&lt;&gt;"Y",$S121&lt;&gt;""),"notice date but Extended is not Y; ","")&amp;IF(AND($W121="Closed",$Y121=""),"closed without response date; ","")&amp;IF(AND($Y121&lt;&gt;"",$W121&lt;&gt;"Closed"),"response date but status not Closed; ","")&amp;IF(AND($Y121&lt;&gt;"",$B121&lt;&gt;"",$Y121&lt;$B121),"response before receipt; ","")&amp;IF(AND($AD121="Y",$AE121=""),"exemption needs a reason in Notes; ","")="","OK","Check: "&amp;IF(OR($B121="",$C121="",$D121="",$V121="",$W121=""),"missing required field; ","")&amp;IF(COUNTIF($A$2:$A$201,$A121)&gt;1,"duplicate ID; ","")&amp;IF(AND($B121&lt;&gt;"",$B121&gt;ReportDate),"received after snapshot date; ","")&amp;IF(AND($I121&lt;&gt;"",$B121&lt;&gt;"",$I121&lt;$B121),"acknowledged before receipt; ","")&amp;IF(AND($K121="Y",$L121="",$W121&lt;&gt;"Logged"),"ID requested date missing; ","")&amp;IF(AND($L121&lt;&gt;"",$M121&lt;&gt;"",$M121&lt;$L121),"ID dates out of order; ","")&amp;IF(AND($K121&lt;&gt;"Y",OR($L121&lt;&gt;"",$W121="Awaiting ID")),"ID fields used but ID_Check_Needed is not Y; ","")&amp;IF(AND($R121="Y",$S121=""),"extension notice date missing; ","")&amp;IF(AND($R121&lt;&gt;"Y",$S121&lt;&gt;""),"notice date but Extended is not Y; ","")&amp;IF(AND($W121="Closed",$Y121=""),"closed without response date; ","")&amp;IF(AND($Y121&lt;&gt;"",$W121&lt;&gt;"Closed"),"response date but status not Closed; ","")&amp;IF(AND($Y121&lt;&gt;"",$B121&lt;&gt;"",$Y121&lt;$B121),"response before receipt; ","")&amp;IF(AND($AD121="Y",$AE121=""),"exemption needs a reason in Notes; ","")))</f>
        <v/>
      </c>
    </row>
    <row r="122" spans="1:32" x14ac:dyDescent="0.35">
      <c r="A122" s="22"/>
      <c r="B122" s="23"/>
      <c r="C122" s="22"/>
      <c r="D122" s="22"/>
      <c r="E122" s="20" t="str">
        <f>IF($A122="","",IFERROR(VLOOKUP($D122,ReqTypes,2,FALSE),"?"))</f>
        <v/>
      </c>
      <c r="F122" s="20" t="str">
        <f>IF($A122="","",IFERROR(VLOOKUP($D122,ReqTypes,3,FALSE),"?"))</f>
        <v/>
      </c>
      <c r="G122" s="22"/>
      <c r="H122" s="22"/>
      <c r="I122" s="23"/>
      <c r="J122" s="20" t="str">
        <f>IF(OR($A122="",$I122=""),"",IF(NETWORKDAYS($B122,$I122,Holidays)-1&lt;=AckDays,"Y","N"))</f>
        <v/>
      </c>
      <c r="K122" s="22"/>
      <c r="L122" s="23"/>
      <c r="M122" s="23"/>
      <c r="N122" s="20" t="str">
        <f>IF(OR($A122="",$K122&lt;&gt;"Y"),"",IF($L122="","Pending",IF($L122-$B122&lt;=IDPromptDays,"Y","Check")))</f>
        <v/>
      </c>
      <c r="O122" s="20" t="str">
        <f>IF($A122="","",IF(OR($K122&lt;&gt;"Y",$L122=""),0,IF($M122="",MAX(0,ReportDate-$L122),$M122-$L122)))</f>
        <v/>
      </c>
      <c r="P122" s="21" t="str">
        <f>IF($A122="","",IF($F122&lt;&gt;"Y","n/a",WORKDAY(EDATE($B122,1)+$O122-1,1,Holidays)))</f>
        <v/>
      </c>
      <c r="Q122" s="21" t="str">
        <f>IF($A122="","",$B122+$O122+InternalDays)</f>
        <v/>
      </c>
      <c r="R122" s="22"/>
      <c r="S122" s="23"/>
      <c r="T122" s="20" t="str">
        <f t="shared" si="6"/>
        <v/>
      </c>
      <c r="U122" s="21" t="str">
        <f>IF($A122="","",IF($F122&lt;&gt;"Y",$Q122,IF(AND($R122="Y",$T122="Y"),WORKDAY(EDATE($B122,3)+$O122-1,1,Holidays),$P122)))</f>
        <v/>
      </c>
      <c r="V122" s="22"/>
      <c r="W122" s="22"/>
      <c r="X122" s="22"/>
      <c r="Y122" s="23"/>
      <c r="Z122" s="20" t="str">
        <f>IF($A122="","",IF($Y122&lt;&gt;"",$Y122-$B122,ReportDate-$B122))</f>
        <v/>
      </c>
      <c r="AA122" s="20" t="str">
        <f>IF(OR($A122="",$W122="Closed"),"",$U122-ReportDate)</f>
        <v/>
      </c>
      <c r="AB122" s="20" t="str">
        <f>IF($A122="","",IF($W122="Closed",IF($Y122&lt;=$U122,"Closed on time","Closed late"),IF($W122="Awaiting ID","Paused",IF($AA122&lt;0,"Overdue",IF($AA122&lt;=RedDays,"Red",IF($AA122&lt;=AmberDays,"Amber","Green"))))))</f>
        <v/>
      </c>
      <c r="AC122" s="20" t="str">
        <f t="shared" si="7"/>
        <v/>
      </c>
      <c r="AD122" s="22"/>
      <c r="AE122" s="22"/>
      <c r="AF122" s="20" t="str">
        <f>IF($A122="","",IF(IF(OR($B122="",$C122="",$D122="",$V122="",$W122=""),"missing required field; ","")&amp;IF(COUNTIF($A$2:$A$201,$A122)&gt;1,"duplicate ID; ","")&amp;IF(AND($B122&lt;&gt;"",$B122&gt;ReportDate),"received after snapshot date; ","")&amp;IF(AND($I122&lt;&gt;"",$B122&lt;&gt;"",$I122&lt;$B122),"acknowledged before receipt; ","")&amp;IF(AND($K122="Y",$L122="",$W122&lt;&gt;"Logged"),"ID requested date missing; ","")&amp;IF(AND($L122&lt;&gt;"",$M122&lt;&gt;"",$M122&lt;$L122),"ID dates out of order; ","")&amp;IF(AND($K122&lt;&gt;"Y",OR($L122&lt;&gt;"",$W122="Awaiting ID")),"ID fields used but ID_Check_Needed is not Y; ","")&amp;IF(AND($R122="Y",$S122=""),"extension notice date missing; ","")&amp;IF(AND($R122&lt;&gt;"Y",$S122&lt;&gt;""),"notice date but Extended is not Y; ","")&amp;IF(AND($W122="Closed",$Y122=""),"closed without response date; ","")&amp;IF(AND($Y122&lt;&gt;"",$W122&lt;&gt;"Closed"),"response date but status not Closed; ","")&amp;IF(AND($Y122&lt;&gt;"",$B122&lt;&gt;"",$Y122&lt;$B122),"response before receipt; ","")&amp;IF(AND($AD122="Y",$AE122=""),"exemption needs a reason in Notes; ","")="","OK","Check: "&amp;IF(OR($B122="",$C122="",$D122="",$V122="",$W122=""),"missing required field; ","")&amp;IF(COUNTIF($A$2:$A$201,$A122)&gt;1,"duplicate ID; ","")&amp;IF(AND($B122&lt;&gt;"",$B122&gt;ReportDate),"received after snapshot date; ","")&amp;IF(AND($I122&lt;&gt;"",$B122&lt;&gt;"",$I122&lt;$B122),"acknowledged before receipt; ","")&amp;IF(AND($K122="Y",$L122="",$W122&lt;&gt;"Logged"),"ID requested date missing; ","")&amp;IF(AND($L122&lt;&gt;"",$M122&lt;&gt;"",$M122&lt;$L122),"ID dates out of order; ","")&amp;IF(AND($K122&lt;&gt;"Y",OR($L122&lt;&gt;"",$W122="Awaiting ID")),"ID fields used but ID_Check_Needed is not Y; ","")&amp;IF(AND($R122="Y",$S122=""),"extension notice date missing; ","")&amp;IF(AND($R122&lt;&gt;"Y",$S122&lt;&gt;""),"notice date but Extended is not Y; ","")&amp;IF(AND($W122="Closed",$Y122=""),"closed without response date; ","")&amp;IF(AND($Y122&lt;&gt;"",$W122&lt;&gt;"Closed"),"response date but status not Closed; ","")&amp;IF(AND($Y122&lt;&gt;"",$B122&lt;&gt;"",$Y122&lt;$B122),"response before receipt; ","")&amp;IF(AND($AD122="Y",$AE122=""),"exemption needs a reason in Notes; ","")))</f>
        <v/>
      </c>
    </row>
    <row r="123" spans="1:32" x14ac:dyDescent="0.35">
      <c r="A123" s="22"/>
      <c r="B123" s="23"/>
      <c r="C123" s="22"/>
      <c r="D123" s="22"/>
      <c r="E123" s="20" t="str">
        <f>IF($A123="","",IFERROR(VLOOKUP($D123,ReqTypes,2,FALSE),"?"))</f>
        <v/>
      </c>
      <c r="F123" s="20" t="str">
        <f>IF($A123="","",IFERROR(VLOOKUP($D123,ReqTypes,3,FALSE),"?"))</f>
        <v/>
      </c>
      <c r="G123" s="22"/>
      <c r="H123" s="22"/>
      <c r="I123" s="23"/>
      <c r="J123" s="20" t="str">
        <f>IF(OR($A123="",$I123=""),"",IF(NETWORKDAYS($B123,$I123,Holidays)-1&lt;=AckDays,"Y","N"))</f>
        <v/>
      </c>
      <c r="K123" s="22"/>
      <c r="L123" s="23"/>
      <c r="M123" s="23"/>
      <c r="N123" s="20" t="str">
        <f>IF(OR($A123="",$K123&lt;&gt;"Y"),"",IF($L123="","Pending",IF($L123-$B123&lt;=IDPromptDays,"Y","Check")))</f>
        <v/>
      </c>
      <c r="O123" s="20" t="str">
        <f>IF($A123="","",IF(OR($K123&lt;&gt;"Y",$L123=""),0,IF($M123="",MAX(0,ReportDate-$L123),$M123-$L123)))</f>
        <v/>
      </c>
      <c r="P123" s="21" t="str">
        <f>IF($A123="","",IF($F123&lt;&gt;"Y","n/a",WORKDAY(EDATE($B123,1)+$O123-1,1,Holidays)))</f>
        <v/>
      </c>
      <c r="Q123" s="21" t="str">
        <f>IF($A123="","",$B123+$O123+InternalDays)</f>
        <v/>
      </c>
      <c r="R123" s="22"/>
      <c r="S123" s="23"/>
      <c r="T123" s="20" t="str">
        <f t="shared" si="6"/>
        <v/>
      </c>
      <c r="U123" s="21" t="str">
        <f>IF($A123="","",IF($F123&lt;&gt;"Y",$Q123,IF(AND($R123="Y",$T123="Y"),WORKDAY(EDATE($B123,3)+$O123-1,1,Holidays),$P123)))</f>
        <v/>
      </c>
      <c r="V123" s="22"/>
      <c r="W123" s="22"/>
      <c r="X123" s="22"/>
      <c r="Y123" s="23"/>
      <c r="Z123" s="20" t="str">
        <f>IF($A123="","",IF($Y123&lt;&gt;"",$Y123-$B123,ReportDate-$B123))</f>
        <v/>
      </c>
      <c r="AA123" s="20" t="str">
        <f>IF(OR($A123="",$W123="Closed"),"",$U123-ReportDate)</f>
        <v/>
      </c>
      <c r="AB123" s="20" t="str">
        <f>IF($A123="","",IF($W123="Closed",IF($Y123&lt;=$U123,"Closed on time","Closed late"),IF($W123="Awaiting ID","Paused",IF($AA123&lt;0,"Overdue",IF($AA123&lt;=RedDays,"Red",IF($AA123&lt;=AmberDays,"Amber","Green"))))))</f>
        <v/>
      </c>
      <c r="AC123" s="20" t="str">
        <f t="shared" si="7"/>
        <v/>
      </c>
      <c r="AD123" s="22"/>
      <c r="AE123" s="22"/>
      <c r="AF123" s="20" t="str">
        <f>IF($A123="","",IF(IF(OR($B123="",$C123="",$D123="",$V123="",$W123=""),"missing required field; ","")&amp;IF(COUNTIF($A$2:$A$201,$A123)&gt;1,"duplicate ID; ","")&amp;IF(AND($B123&lt;&gt;"",$B123&gt;ReportDate),"received after snapshot date; ","")&amp;IF(AND($I123&lt;&gt;"",$B123&lt;&gt;"",$I123&lt;$B123),"acknowledged before receipt; ","")&amp;IF(AND($K123="Y",$L123="",$W123&lt;&gt;"Logged"),"ID requested date missing; ","")&amp;IF(AND($L123&lt;&gt;"",$M123&lt;&gt;"",$M123&lt;$L123),"ID dates out of order; ","")&amp;IF(AND($K123&lt;&gt;"Y",OR($L123&lt;&gt;"",$W123="Awaiting ID")),"ID fields used but ID_Check_Needed is not Y; ","")&amp;IF(AND($R123="Y",$S123=""),"extension notice date missing; ","")&amp;IF(AND($R123&lt;&gt;"Y",$S123&lt;&gt;""),"notice date but Extended is not Y; ","")&amp;IF(AND($W123="Closed",$Y123=""),"closed without response date; ","")&amp;IF(AND($Y123&lt;&gt;"",$W123&lt;&gt;"Closed"),"response date but status not Closed; ","")&amp;IF(AND($Y123&lt;&gt;"",$B123&lt;&gt;"",$Y123&lt;$B123),"response before receipt; ","")&amp;IF(AND($AD123="Y",$AE123=""),"exemption needs a reason in Notes; ","")="","OK","Check: "&amp;IF(OR($B123="",$C123="",$D123="",$V123="",$W123=""),"missing required field; ","")&amp;IF(COUNTIF($A$2:$A$201,$A123)&gt;1,"duplicate ID; ","")&amp;IF(AND($B123&lt;&gt;"",$B123&gt;ReportDate),"received after snapshot date; ","")&amp;IF(AND($I123&lt;&gt;"",$B123&lt;&gt;"",$I123&lt;$B123),"acknowledged before receipt; ","")&amp;IF(AND($K123="Y",$L123="",$W123&lt;&gt;"Logged"),"ID requested date missing; ","")&amp;IF(AND($L123&lt;&gt;"",$M123&lt;&gt;"",$M123&lt;$L123),"ID dates out of order; ","")&amp;IF(AND($K123&lt;&gt;"Y",OR($L123&lt;&gt;"",$W123="Awaiting ID")),"ID fields used but ID_Check_Needed is not Y; ","")&amp;IF(AND($R123="Y",$S123=""),"extension notice date missing; ","")&amp;IF(AND($R123&lt;&gt;"Y",$S123&lt;&gt;""),"notice date but Extended is not Y; ","")&amp;IF(AND($W123="Closed",$Y123=""),"closed without response date; ","")&amp;IF(AND($Y123&lt;&gt;"",$W123&lt;&gt;"Closed"),"response date but status not Closed; ","")&amp;IF(AND($Y123&lt;&gt;"",$B123&lt;&gt;"",$Y123&lt;$B123),"response before receipt; ","")&amp;IF(AND($AD123="Y",$AE123=""),"exemption needs a reason in Notes; ","")))</f>
        <v/>
      </c>
    </row>
    <row r="124" spans="1:32" x14ac:dyDescent="0.35">
      <c r="A124" s="22"/>
      <c r="B124" s="23"/>
      <c r="C124" s="22"/>
      <c r="D124" s="22"/>
      <c r="E124" s="20" t="str">
        <f>IF($A124="","",IFERROR(VLOOKUP($D124,ReqTypes,2,FALSE),"?"))</f>
        <v/>
      </c>
      <c r="F124" s="20" t="str">
        <f>IF($A124="","",IFERROR(VLOOKUP($D124,ReqTypes,3,FALSE),"?"))</f>
        <v/>
      </c>
      <c r="G124" s="22"/>
      <c r="H124" s="22"/>
      <c r="I124" s="23"/>
      <c r="J124" s="20" t="str">
        <f>IF(OR($A124="",$I124=""),"",IF(NETWORKDAYS($B124,$I124,Holidays)-1&lt;=AckDays,"Y","N"))</f>
        <v/>
      </c>
      <c r="K124" s="22"/>
      <c r="L124" s="23"/>
      <c r="M124" s="23"/>
      <c r="N124" s="20" t="str">
        <f>IF(OR($A124="",$K124&lt;&gt;"Y"),"",IF($L124="","Pending",IF($L124-$B124&lt;=IDPromptDays,"Y","Check")))</f>
        <v/>
      </c>
      <c r="O124" s="20" t="str">
        <f>IF($A124="","",IF(OR($K124&lt;&gt;"Y",$L124=""),0,IF($M124="",MAX(0,ReportDate-$L124),$M124-$L124)))</f>
        <v/>
      </c>
      <c r="P124" s="21" t="str">
        <f>IF($A124="","",IF($F124&lt;&gt;"Y","n/a",WORKDAY(EDATE($B124,1)+$O124-1,1,Holidays)))</f>
        <v/>
      </c>
      <c r="Q124" s="21" t="str">
        <f>IF($A124="","",$B124+$O124+InternalDays)</f>
        <v/>
      </c>
      <c r="R124" s="22"/>
      <c r="S124" s="23"/>
      <c r="T124" s="20" t="str">
        <f t="shared" si="6"/>
        <v/>
      </c>
      <c r="U124" s="21" t="str">
        <f>IF($A124="","",IF($F124&lt;&gt;"Y",$Q124,IF(AND($R124="Y",$T124="Y"),WORKDAY(EDATE($B124,3)+$O124-1,1,Holidays),$P124)))</f>
        <v/>
      </c>
      <c r="V124" s="22"/>
      <c r="W124" s="22"/>
      <c r="X124" s="22"/>
      <c r="Y124" s="23"/>
      <c r="Z124" s="20" t="str">
        <f>IF($A124="","",IF($Y124&lt;&gt;"",$Y124-$B124,ReportDate-$B124))</f>
        <v/>
      </c>
      <c r="AA124" s="20" t="str">
        <f>IF(OR($A124="",$W124="Closed"),"",$U124-ReportDate)</f>
        <v/>
      </c>
      <c r="AB124" s="20" t="str">
        <f>IF($A124="","",IF($W124="Closed",IF($Y124&lt;=$U124,"Closed on time","Closed late"),IF($W124="Awaiting ID","Paused",IF($AA124&lt;0,"Overdue",IF($AA124&lt;=RedDays,"Red",IF($AA124&lt;=AmberDays,"Amber","Green"))))))</f>
        <v/>
      </c>
      <c r="AC124" s="20" t="str">
        <f t="shared" si="7"/>
        <v/>
      </c>
      <c r="AD124" s="22"/>
      <c r="AE124" s="22"/>
      <c r="AF124" s="20" t="str">
        <f>IF($A124="","",IF(IF(OR($B124="",$C124="",$D124="",$V124="",$W124=""),"missing required field; ","")&amp;IF(COUNTIF($A$2:$A$201,$A124)&gt;1,"duplicate ID; ","")&amp;IF(AND($B124&lt;&gt;"",$B124&gt;ReportDate),"received after snapshot date; ","")&amp;IF(AND($I124&lt;&gt;"",$B124&lt;&gt;"",$I124&lt;$B124),"acknowledged before receipt; ","")&amp;IF(AND($K124="Y",$L124="",$W124&lt;&gt;"Logged"),"ID requested date missing; ","")&amp;IF(AND($L124&lt;&gt;"",$M124&lt;&gt;"",$M124&lt;$L124),"ID dates out of order; ","")&amp;IF(AND($K124&lt;&gt;"Y",OR($L124&lt;&gt;"",$W124="Awaiting ID")),"ID fields used but ID_Check_Needed is not Y; ","")&amp;IF(AND($R124="Y",$S124=""),"extension notice date missing; ","")&amp;IF(AND($R124&lt;&gt;"Y",$S124&lt;&gt;""),"notice date but Extended is not Y; ","")&amp;IF(AND($W124="Closed",$Y124=""),"closed without response date; ","")&amp;IF(AND($Y124&lt;&gt;"",$W124&lt;&gt;"Closed"),"response date but status not Closed; ","")&amp;IF(AND($Y124&lt;&gt;"",$B124&lt;&gt;"",$Y124&lt;$B124),"response before receipt; ","")&amp;IF(AND($AD124="Y",$AE124=""),"exemption needs a reason in Notes; ","")="","OK","Check: "&amp;IF(OR($B124="",$C124="",$D124="",$V124="",$W124=""),"missing required field; ","")&amp;IF(COUNTIF($A$2:$A$201,$A124)&gt;1,"duplicate ID; ","")&amp;IF(AND($B124&lt;&gt;"",$B124&gt;ReportDate),"received after snapshot date; ","")&amp;IF(AND($I124&lt;&gt;"",$B124&lt;&gt;"",$I124&lt;$B124),"acknowledged before receipt; ","")&amp;IF(AND($K124="Y",$L124="",$W124&lt;&gt;"Logged"),"ID requested date missing; ","")&amp;IF(AND($L124&lt;&gt;"",$M124&lt;&gt;"",$M124&lt;$L124),"ID dates out of order; ","")&amp;IF(AND($K124&lt;&gt;"Y",OR($L124&lt;&gt;"",$W124="Awaiting ID")),"ID fields used but ID_Check_Needed is not Y; ","")&amp;IF(AND($R124="Y",$S124=""),"extension notice date missing; ","")&amp;IF(AND($R124&lt;&gt;"Y",$S124&lt;&gt;""),"notice date but Extended is not Y; ","")&amp;IF(AND($W124="Closed",$Y124=""),"closed without response date; ","")&amp;IF(AND($Y124&lt;&gt;"",$W124&lt;&gt;"Closed"),"response date but status not Closed; ","")&amp;IF(AND($Y124&lt;&gt;"",$B124&lt;&gt;"",$Y124&lt;$B124),"response before receipt; ","")&amp;IF(AND($AD124="Y",$AE124=""),"exemption needs a reason in Notes; ","")))</f>
        <v/>
      </c>
    </row>
    <row r="125" spans="1:32" x14ac:dyDescent="0.35">
      <c r="A125" s="22"/>
      <c r="B125" s="23"/>
      <c r="C125" s="22"/>
      <c r="D125" s="22"/>
      <c r="E125" s="20" t="str">
        <f>IF($A125="","",IFERROR(VLOOKUP($D125,ReqTypes,2,FALSE),"?"))</f>
        <v/>
      </c>
      <c r="F125" s="20" t="str">
        <f>IF($A125="","",IFERROR(VLOOKUP($D125,ReqTypes,3,FALSE),"?"))</f>
        <v/>
      </c>
      <c r="G125" s="22"/>
      <c r="H125" s="22"/>
      <c r="I125" s="23"/>
      <c r="J125" s="20" t="str">
        <f>IF(OR($A125="",$I125=""),"",IF(NETWORKDAYS($B125,$I125,Holidays)-1&lt;=AckDays,"Y","N"))</f>
        <v/>
      </c>
      <c r="K125" s="22"/>
      <c r="L125" s="23"/>
      <c r="M125" s="23"/>
      <c r="N125" s="20" t="str">
        <f>IF(OR($A125="",$K125&lt;&gt;"Y"),"",IF($L125="","Pending",IF($L125-$B125&lt;=IDPromptDays,"Y","Check")))</f>
        <v/>
      </c>
      <c r="O125" s="20" t="str">
        <f>IF($A125="","",IF(OR($K125&lt;&gt;"Y",$L125=""),0,IF($M125="",MAX(0,ReportDate-$L125),$M125-$L125)))</f>
        <v/>
      </c>
      <c r="P125" s="21" t="str">
        <f>IF($A125="","",IF($F125&lt;&gt;"Y","n/a",WORKDAY(EDATE($B125,1)+$O125-1,1,Holidays)))</f>
        <v/>
      </c>
      <c r="Q125" s="21" t="str">
        <f>IF($A125="","",$B125+$O125+InternalDays)</f>
        <v/>
      </c>
      <c r="R125" s="22"/>
      <c r="S125" s="23"/>
      <c r="T125" s="20" t="str">
        <f t="shared" si="6"/>
        <v/>
      </c>
      <c r="U125" s="21" t="str">
        <f>IF($A125="","",IF($F125&lt;&gt;"Y",$Q125,IF(AND($R125="Y",$T125="Y"),WORKDAY(EDATE($B125,3)+$O125-1,1,Holidays),$P125)))</f>
        <v/>
      </c>
      <c r="V125" s="22"/>
      <c r="W125" s="22"/>
      <c r="X125" s="22"/>
      <c r="Y125" s="23"/>
      <c r="Z125" s="20" t="str">
        <f>IF($A125="","",IF($Y125&lt;&gt;"",$Y125-$B125,ReportDate-$B125))</f>
        <v/>
      </c>
      <c r="AA125" s="20" t="str">
        <f>IF(OR($A125="",$W125="Closed"),"",$U125-ReportDate)</f>
        <v/>
      </c>
      <c r="AB125" s="20" t="str">
        <f>IF($A125="","",IF($W125="Closed",IF($Y125&lt;=$U125,"Closed on time","Closed late"),IF($W125="Awaiting ID","Paused",IF($AA125&lt;0,"Overdue",IF($AA125&lt;=RedDays,"Red",IF($AA125&lt;=AmberDays,"Amber","Green"))))))</f>
        <v/>
      </c>
      <c r="AC125" s="20" t="str">
        <f t="shared" si="7"/>
        <v/>
      </c>
      <c r="AD125" s="22"/>
      <c r="AE125" s="22"/>
      <c r="AF125" s="20" t="str">
        <f>IF($A125="","",IF(IF(OR($B125="",$C125="",$D125="",$V125="",$W125=""),"missing required field; ","")&amp;IF(COUNTIF($A$2:$A$201,$A125)&gt;1,"duplicate ID; ","")&amp;IF(AND($B125&lt;&gt;"",$B125&gt;ReportDate),"received after snapshot date; ","")&amp;IF(AND($I125&lt;&gt;"",$B125&lt;&gt;"",$I125&lt;$B125),"acknowledged before receipt; ","")&amp;IF(AND($K125="Y",$L125="",$W125&lt;&gt;"Logged"),"ID requested date missing; ","")&amp;IF(AND($L125&lt;&gt;"",$M125&lt;&gt;"",$M125&lt;$L125),"ID dates out of order; ","")&amp;IF(AND($K125&lt;&gt;"Y",OR($L125&lt;&gt;"",$W125="Awaiting ID")),"ID fields used but ID_Check_Needed is not Y; ","")&amp;IF(AND($R125="Y",$S125=""),"extension notice date missing; ","")&amp;IF(AND($R125&lt;&gt;"Y",$S125&lt;&gt;""),"notice date but Extended is not Y; ","")&amp;IF(AND($W125="Closed",$Y125=""),"closed without response date; ","")&amp;IF(AND($Y125&lt;&gt;"",$W125&lt;&gt;"Closed"),"response date but status not Closed; ","")&amp;IF(AND($Y125&lt;&gt;"",$B125&lt;&gt;"",$Y125&lt;$B125),"response before receipt; ","")&amp;IF(AND($AD125="Y",$AE125=""),"exemption needs a reason in Notes; ","")="","OK","Check: "&amp;IF(OR($B125="",$C125="",$D125="",$V125="",$W125=""),"missing required field; ","")&amp;IF(COUNTIF($A$2:$A$201,$A125)&gt;1,"duplicate ID; ","")&amp;IF(AND($B125&lt;&gt;"",$B125&gt;ReportDate),"received after snapshot date; ","")&amp;IF(AND($I125&lt;&gt;"",$B125&lt;&gt;"",$I125&lt;$B125),"acknowledged before receipt; ","")&amp;IF(AND($K125="Y",$L125="",$W125&lt;&gt;"Logged"),"ID requested date missing; ","")&amp;IF(AND($L125&lt;&gt;"",$M125&lt;&gt;"",$M125&lt;$L125),"ID dates out of order; ","")&amp;IF(AND($K125&lt;&gt;"Y",OR($L125&lt;&gt;"",$W125="Awaiting ID")),"ID fields used but ID_Check_Needed is not Y; ","")&amp;IF(AND($R125="Y",$S125=""),"extension notice date missing; ","")&amp;IF(AND($R125&lt;&gt;"Y",$S125&lt;&gt;""),"notice date but Extended is not Y; ","")&amp;IF(AND($W125="Closed",$Y125=""),"closed without response date; ","")&amp;IF(AND($Y125&lt;&gt;"",$W125&lt;&gt;"Closed"),"response date but status not Closed; ","")&amp;IF(AND($Y125&lt;&gt;"",$B125&lt;&gt;"",$Y125&lt;$B125),"response before receipt; ","")&amp;IF(AND($AD125="Y",$AE125=""),"exemption needs a reason in Notes; ","")))</f>
        <v/>
      </c>
    </row>
    <row r="126" spans="1:32" x14ac:dyDescent="0.35">
      <c r="A126" s="22"/>
      <c r="B126" s="23"/>
      <c r="C126" s="22"/>
      <c r="D126" s="22"/>
      <c r="E126" s="20" t="str">
        <f>IF($A126="","",IFERROR(VLOOKUP($D126,ReqTypes,2,FALSE),"?"))</f>
        <v/>
      </c>
      <c r="F126" s="20" t="str">
        <f>IF($A126="","",IFERROR(VLOOKUP($D126,ReqTypes,3,FALSE),"?"))</f>
        <v/>
      </c>
      <c r="G126" s="22"/>
      <c r="H126" s="22"/>
      <c r="I126" s="23"/>
      <c r="J126" s="20" t="str">
        <f>IF(OR($A126="",$I126=""),"",IF(NETWORKDAYS($B126,$I126,Holidays)-1&lt;=AckDays,"Y","N"))</f>
        <v/>
      </c>
      <c r="K126" s="22"/>
      <c r="L126" s="23"/>
      <c r="M126" s="23"/>
      <c r="N126" s="20" t="str">
        <f>IF(OR($A126="",$K126&lt;&gt;"Y"),"",IF($L126="","Pending",IF($L126-$B126&lt;=IDPromptDays,"Y","Check")))</f>
        <v/>
      </c>
      <c r="O126" s="20" t="str">
        <f>IF($A126="","",IF(OR($K126&lt;&gt;"Y",$L126=""),0,IF($M126="",MAX(0,ReportDate-$L126),$M126-$L126)))</f>
        <v/>
      </c>
      <c r="P126" s="21" t="str">
        <f>IF($A126="","",IF($F126&lt;&gt;"Y","n/a",WORKDAY(EDATE($B126,1)+$O126-1,1,Holidays)))</f>
        <v/>
      </c>
      <c r="Q126" s="21" t="str">
        <f>IF($A126="","",$B126+$O126+InternalDays)</f>
        <v/>
      </c>
      <c r="R126" s="22"/>
      <c r="S126" s="23"/>
      <c r="T126" s="20" t="str">
        <f t="shared" si="6"/>
        <v/>
      </c>
      <c r="U126" s="21" t="str">
        <f>IF($A126="","",IF($F126&lt;&gt;"Y",$Q126,IF(AND($R126="Y",$T126="Y"),WORKDAY(EDATE($B126,3)+$O126-1,1,Holidays),$P126)))</f>
        <v/>
      </c>
      <c r="V126" s="22"/>
      <c r="W126" s="22"/>
      <c r="X126" s="22"/>
      <c r="Y126" s="23"/>
      <c r="Z126" s="20" t="str">
        <f>IF($A126="","",IF($Y126&lt;&gt;"",$Y126-$B126,ReportDate-$B126))</f>
        <v/>
      </c>
      <c r="AA126" s="20" t="str">
        <f>IF(OR($A126="",$W126="Closed"),"",$U126-ReportDate)</f>
        <v/>
      </c>
      <c r="AB126" s="20" t="str">
        <f>IF($A126="","",IF($W126="Closed",IF($Y126&lt;=$U126,"Closed on time","Closed late"),IF($W126="Awaiting ID","Paused",IF($AA126&lt;0,"Overdue",IF($AA126&lt;=RedDays,"Red",IF($AA126&lt;=AmberDays,"Amber","Green"))))))</f>
        <v/>
      </c>
      <c r="AC126" s="20" t="str">
        <f t="shared" si="7"/>
        <v/>
      </c>
      <c r="AD126" s="22"/>
      <c r="AE126" s="22"/>
      <c r="AF126" s="20" t="str">
        <f>IF($A126="","",IF(IF(OR($B126="",$C126="",$D126="",$V126="",$W126=""),"missing required field; ","")&amp;IF(COUNTIF($A$2:$A$201,$A126)&gt;1,"duplicate ID; ","")&amp;IF(AND($B126&lt;&gt;"",$B126&gt;ReportDate),"received after snapshot date; ","")&amp;IF(AND($I126&lt;&gt;"",$B126&lt;&gt;"",$I126&lt;$B126),"acknowledged before receipt; ","")&amp;IF(AND($K126="Y",$L126="",$W126&lt;&gt;"Logged"),"ID requested date missing; ","")&amp;IF(AND($L126&lt;&gt;"",$M126&lt;&gt;"",$M126&lt;$L126),"ID dates out of order; ","")&amp;IF(AND($K126&lt;&gt;"Y",OR($L126&lt;&gt;"",$W126="Awaiting ID")),"ID fields used but ID_Check_Needed is not Y; ","")&amp;IF(AND($R126="Y",$S126=""),"extension notice date missing; ","")&amp;IF(AND($R126&lt;&gt;"Y",$S126&lt;&gt;""),"notice date but Extended is not Y; ","")&amp;IF(AND($W126="Closed",$Y126=""),"closed without response date; ","")&amp;IF(AND($Y126&lt;&gt;"",$W126&lt;&gt;"Closed"),"response date but status not Closed; ","")&amp;IF(AND($Y126&lt;&gt;"",$B126&lt;&gt;"",$Y126&lt;$B126),"response before receipt; ","")&amp;IF(AND($AD126="Y",$AE126=""),"exemption needs a reason in Notes; ","")="","OK","Check: "&amp;IF(OR($B126="",$C126="",$D126="",$V126="",$W126=""),"missing required field; ","")&amp;IF(COUNTIF($A$2:$A$201,$A126)&gt;1,"duplicate ID; ","")&amp;IF(AND($B126&lt;&gt;"",$B126&gt;ReportDate),"received after snapshot date; ","")&amp;IF(AND($I126&lt;&gt;"",$B126&lt;&gt;"",$I126&lt;$B126),"acknowledged before receipt; ","")&amp;IF(AND($K126="Y",$L126="",$W126&lt;&gt;"Logged"),"ID requested date missing; ","")&amp;IF(AND($L126&lt;&gt;"",$M126&lt;&gt;"",$M126&lt;$L126),"ID dates out of order; ","")&amp;IF(AND($K126&lt;&gt;"Y",OR($L126&lt;&gt;"",$W126="Awaiting ID")),"ID fields used but ID_Check_Needed is not Y; ","")&amp;IF(AND($R126="Y",$S126=""),"extension notice date missing; ","")&amp;IF(AND($R126&lt;&gt;"Y",$S126&lt;&gt;""),"notice date but Extended is not Y; ","")&amp;IF(AND($W126="Closed",$Y126=""),"closed without response date; ","")&amp;IF(AND($Y126&lt;&gt;"",$W126&lt;&gt;"Closed"),"response date but status not Closed; ","")&amp;IF(AND($Y126&lt;&gt;"",$B126&lt;&gt;"",$Y126&lt;$B126),"response before receipt; ","")&amp;IF(AND($AD126="Y",$AE126=""),"exemption needs a reason in Notes; ","")))</f>
        <v/>
      </c>
    </row>
    <row r="127" spans="1:32" x14ac:dyDescent="0.35">
      <c r="A127" s="22"/>
      <c r="B127" s="23"/>
      <c r="C127" s="22"/>
      <c r="D127" s="22"/>
      <c r="E127" s="20" t="str">
        <f>IF($A127="","",IFERROR(VLOOKUP($D127,ReqTypes,2,FALSE),"?"))</f>
        <v/>
      </c>
      <c r="F127" s="20" t="str">
        <f>IF($A127="","",IFERROR(VLOOKUP($D127,ReqTypes,3,FALSE),"?"))</f>
        <v/>
      </c>
      <c r="G127" s="22"/>
      <c r="H127" s="22"/>
      <c r="I127" s="23"/>
      <c r="J127" s="20" t="str">
        <f>IF(OR($A127="",$I127=""),"",IF(NETWORKDAYS($B127,$I127,Holidays)-1&lt;=AckDays,"Y","N"))</f>
        <v/>
      </c>
      <c r="K127" s="22"/>
      <c r="L127" s="23"/>
      <c r="M127" s="23"/>
      <c r="N127" s="20" t="str">
        <f>IF(OR($A127="",$K127&lt;&gt;"Y"),"",IF($L127="","Pending",IF($L127-$B127&lt;=IDPromptDays,"Y","Check")))</f>
        <v/>
      </c>
      <c r="O127" s="20" t="str">
        <f>IF($A127="","",IF(OR($K127&lt;&gt;"Y",$L127=""),0,IF($M127="",MAX(0,ReportDate-$L127),$M127-$L127)))</f>
        <v/>
      </c>
      <c r="P127" s="21" t="str">
        <f>IF($A127="","",IF($F127&lt;&gt;"Y","n/a",WORKDAY(EDATE($B127,1)+$O127-1,1,Holidays)))</f>
        <v/>
      </c>
      <c r="Q127" s="21" t="str">
        <f>IF($A127="","",$B127+$O127+InternalDays)</f>
        <v/>
      </c>
      <c r="R127" s="22"/>
      <c r="S127" s="23"/>
      <c r="T127" s="20" t="str">
        <f t="shared" si="6"/>
        <v/>
      </c>
      <c r="U127" s="21" t="str">
        <f>IF($A127="","",IF($F127&lt;&gt;"Y",$Q127,IF(AND($R127="Y",$T127="Y"),WORKDAY(EDATE($B127,3)+$O127-1,1,Holidays),$P127)))</f>
        <v/>
      </c>
      <c r="V127" s="22"/>
      <c r="W127" s="22"/>
      <c r="X127" s="22"/>
      <c r="Y127" s="23"/>
      <c r="Z127" s="20" t="str">
        <f>IF($A127="","",IF($Y127&lt;&gt;"",$Y127-$B127,ReportDate-$B127))</f>
        <v/>
      </c>
      <c r="AA127" s="20" t="str">
        <f>IF(OR($A127="",$W127="Closed"),"",$U127-ReportDate)</f>
        <v/>
      </c>
      <c r="AB127" s="20" t="str">
        <f>IF($A127="","",IF($W127="Closed",IF($Y127&lt;=$U127,"Closed on time","Closed late"),IF($W127="Awaiting ID","Paused",IF($AA127&lt;0,"Overdue",IF($AA127&lt;=RedDays,"Red",IF($AA127&lt;=AmberDays,"Amber","Green"))))))</f>
        <v/>
      </c>
      <c r="AC127" s="20" t="str">
        <f t="shared" si="7"/>
        <v/>
      </c>
      <c r="AD127" s="22"/>
      <c r="AE127" s="22"/>
      <c r="AF127" s="20" t="str">
        <f>IF($A127="","",IF(IF(OR($B127="",$C127="",$D127="",$V127="",$W127=""),"missing required field; ","")&amp;IF(COUNTIF($A$2:$A$201,$A127)&gt;1,"duplicate ID; ","")&amp;IF(AND($B127&lt;&gt;"",$B127&gt;ReportDate),"received after snapshot date; ","")&amp;IF(AND($I127&lt;&gt;"",$B127&lt;&gt;"",$I127&lt;$B127),"acknowledged before receipt; ","")&amp;IF(AND($K127="Y",$L127="",$W127&lt;&gt;"Logged"),"ID requested date missing; ","")&amp;IF(AND($L127&lt;&gt;"",$M127&lt;&gt;"",$M127&lt;$L127),"ID dates out of order; ","")&amp;IF(AND($K127&lt;&gt;"Y",OR($L127&lt;&gt;"",$W127="Awaiting ID")),"ID fields used but ID_Check_Needed is not Y; ","")&amp;IF(AND($R127="Y",$S127=""),"extension notice date missing; ","")&amp;IF(AND($R127&lt;&gt;"Y",$S127&lt;&gt;""),"notice date but Extended is not Y; ","")&amp;IF(AND($W127="Closed",$Y127=""),"closed without response date; ","")&amp;IF(AND($Y127&lt;&gt;"",$W127&lt;&gt;"Closed"),"response date but status not Closed; ","")&amp;IF(AND($Y127&lt;&gt;"",$B127&lt;&gt;"",$Y127&lt;$B127),"response before receipt; ","")&amp;IF(AND($AD127="Y",$AE127=""),"exemption needs a reason in Notes; ","")="","OK","Check: "&amp;IF(OR($B127="",$C127="",$D127="",$V127="",$W127=""),"missing required field; ","")&amp;IF(COUNTIF($A$2:$A$201,$A127)&gt;1,"duplicate ID; ","")&amp;IF(AND($B127&lt;&gt;"",$B127&gt;ReportDate),"received after snapshot date; ","")&amp;IF(AND($I127&lt;&gt;"",$B127&lt;&gt;"",$I127&lt;$B127),"acknowledged before receipt; ","")&amp;IF(AND($K127="Y",$L127="",$W127&lt;&gt;"Logged"),"ID requested date missing; ","")&amp;IF(AND($L127&lt;&gt;"",$M127&lt;&gt;"",$M127&lt;$L127),"ID dates out of order; ","")&amp;IF(AND($K127&lt;&gt;"Y",OR($L127&lt;&gt;"",$W127="Awaiting ID")),"ID fields used but ID_Check_Needed is not Y; ","")&amp;IF(AND($R127="Y",$S127=""),"extension notice date missing; ","")&amp;IF(AND($R127&lt;&gt;"Y",$S127&lt;&gt;""),"notice date but Extended is not Y; ","")&amp;IF(AND($W127="Closed",$Y127=""),"closed without response date; ","")&amp;IF(AND($Y127&lt;&gt;"",$W127&lt;&gt;"Closed"),"response date but status not Closed; ","")&amp;IF(AND($Y127&lt;&gt;"",$B127&lt;&gt;"",$Y127&lt;$B127),"response before receipt; ","")&amp;IF(AND($AD127="Y",$AE127=""),"exemption needs a reason in Notes; ","")))</f>
        <v/>
      </c>
    </row>
    <row r="128" spans="1:32" x14ac:dyDescent="0.35">
      <c r="A128" s="22"/>
      <c r="B128" s="23"/>
      <c r="C128" s="22"/>
      <c r="D128" s="22"/>
      <c r="E128" s="20" t="str">
        <f>IF($A128="","",IFERROR(VLOOKUP($D128,ReqTypes,2,FALSE),"?"))</f>
        <v/>
      </c>
      <c r="F128" s="20" t="str">
        <f>IF($A128="","",IFERROR(VLOOKUP($D128,ReqTypes,3,FALSE),"?"))</f>
        <v/>
      </c>
      <c r="G128" s="22"/>
      <c r="H128" s="22"/>
      <c r="I128" s="23"/>
      <c r="J128" s="20" t="str">
        <f>IF(OR($A128="",$I128=""),"",IF(NETWORKDAYS($B128,$I128,Holidays)-1&lt;=AckDays,"Y","N"))</f>
        <v/>
      </c>
      <c r="K128" s="22"/>
      <c r="L128" s="23"/>
      <c r="M128" s="23"/>
      <c r="N128" s="20" t="str">
        <f>IF(OR($A128="",$K128&lt;&gt;"Y"),"",IF($L128="","Pending",IF($L128-$B128&lt;=IDPromptDays,"Y","Check")))</f>
        <v/>
      </c>
      <c r="O128" s="20" t="str">
        <f>IF($A128="","",IF(OR($K128&lt;&gt;"Y",$L128=""),0,IF($M128="",MAX(0,ReportDate-$L128),$M128-$L128)))</f>
        <v/>
      </c>
      <c r="P128" s="21" t="str">
        <f>IF($A128="","",IF($F128&lt;&gt;"Y","n/a",WORKDAY(EDATE($B128,1)+$O128-1,1,Holidays)))</f>
        <v/>
      </c>
      <c r="Q128" s="21" t="str">
        <f>IF($A128="","",$B128+$O128+InternalDays)</f>
        <v/>
      </c>
      <c r="R128" s="22"/>
      <c r="S128" s="23"/>
      <c r="T128" s="20" t="str">
        <f t="shared" si="6"/>
        <v/>
      </c>
      <c r="U128" s="21" t="str">
        <f>IF($A128="","",IF($F128&lt;&gt;"Y",$Q128,IF(AND($R128="Y",$T128="Y"),WORKDAY(EDATE($B128,3)+$O128-1,1,Holidays),$P128)))</f>
        <v/>
      </c>
      <c r="V128" s="22"/>
      <c r="W128" s="22"/>
      <c r="X128" s="22"/>
      <c r="Y128" s="23"/>
      <c r="Z128" s="20" t="str">
        <f>IF($A128="","",IF($Y128&lt;&gt;"",$Y128-$B128,ReportDate-$B128))</f>
        <v/>
      </c>
      <c r="AA128" s="20" t="str">
        <f>IF(OR($A128="",$W128="Closed"),"",$U128-ReportDate)</f>
        <v/>
      </c>
      <c r="AB128" s="20" t="str">
        <f>IF($A128="","",IF($W128="Closed",IF($Y128&lt;=$U128,"Closed on time","Closed late"),IF($W128="Awaiting ID","Paused",IF($AA128&lt;0,"Overdue",IF($AA128&lt;=RedDays,"Red",IF($AA128&lt;=AmberDays,"Amber","Green"))))))</f>
        <v/>
      </c>
      <c r="AC128" s="20" t="str">
        <f t="shared" si="7"/>
        <v/>
      </c>
      <c r="AD128" s="22"/>
      <c r="AE128" s="22"/>
      <c r="AF128" s="20" t="str">
        <f>IF($A128="","",IF(IF(OR($B128="",$C128="",$D128="",$V128="",$W128=""),"missing required field; ","")&amp;IF(COUNTIF($A$2:$A$201,$A128)&gt;1,"duplicate ID; ","")&amp;IF(AND($B128&lt;&gt;"",$B128&gt;ReportDate),"received after snapshot date; ","")&amp;IF(AND($I128&lt;&gt;"",$B128&lt;&gt;"",$I128&lt;$B128),"acknowledged before receipt; ","")&amp;IF(AND($K128="Y",$L128="",$W128&lt;&gt;"Logged"),"ID requested date missing; ","")&amp;IF(AND($L128&lt;&gt;"",$M128&lt;&gt;"",$M128&lt;$L128),"ID dates out of order; ","")&amp;IF(AND($K128&lt;&gt;"Y",OR($L128&lt;&gt;"",$W128="Awaiting ID")),"ID fields used but ID_Check_Needed is not Y; ","")&amp;IF(AND($R128="Y",$S128=""),"extension notice date missing; ","")&amp;IF(AND($R128&lt;&gt;"Y",$S128&lt;&gt;""),"notice date but Extended is not Y; ","")&amp;IF(AND($W128="Closed",$Y128=""),"closed without response date; ","")&amp;IF(AND($Y128&lt;&gt;"",$W128&lt;&gt;"Closed"),"response date but status not Closed; ","")&amp;IF(AND($Y128&lt;&gt;"",$B128&lt;&gt;"",$Y128&lt;$B128),"response before receipt; ","")&amp;IF(AND($AD128="Y",$AE128=""),"exemption needs a reason in Notes; ","")="","OK","Check: "&amp;IF(OR($B128="",$C128="",$D128="",$V128="",$W128=""),"missing required field; ","")&amp;IF(COUNTIF($A$2:$A$201,$A128)&gt;1,"duplicate ID; ","")&amp;IF(AND($B128&lt;&gt;"",$B128&gt;ReportDate),"received after snapshot date; ","")&amp;IF(AND($I128&lt;&gt;"",$B128&lt;&gt;"",$I128&lt;$B128),"acknowledged before receipt; ","")&amp;IF(AND($K128="Y",$L128="",$W128&lt;&gt;"Logged"),"ID requested date missing; ","")&amp;IF(AND($L128&lt;&gt;"",$M128&lt;&gt;"",$M128&lt;$L128),"ID dates out of order; ","")&amp;IF(AND($K128&lt;&gt;"Y",OR($L128&lt;&gt;"",$W128="Awaiting ID")),"ID fields used but ID_Check_Needed is not Y; ","")&amp;IF(AND($R128="Y",$S128=""),"extension notice date missing; ","")&amp;IF(AND($R128&lt;&gt;"Y",$S128&lt;&gt;""),"notice date but Extended is not Y; ","")&amp;IF(AND($W128="Closed",$Y128=""),"closed without response date; ","")&amp;IF(AND($Y128&lt;&gt;"",$W128&lt;&gt;"Closed"),"response date but status not Closed; ","")&amp;IF(AND($Y128&lt;&gt;"",$B128&lt;&gt;"",$Y128&lt;$B128),"response before receipt; ","")&amp;IF(AND($AD128="Y",$AE128=""),"exemption needs a reason in Notes; ","")))</f>
        <v/>
      </c>
    </row>
    <row r="129" spans="1:32" x14ac:dyDescent="0.35">
      <c r="A129" s="22"/>
      <c r="B129" s="23"/>
      <c r="C129" s="22"/>
      <c r="D129" s="22"/>
      <c r="E129" s="20" t="str">
        <f>IF($A129="","",IFERROR(VLOOKUP($D129,ReqTypes,2,FALSE),"?"))</f>
        <v/>
      </c>
      <c r="F129" s="20" t="str">
        <f>IF($A129="","",IFERROR(VLOOKUP($D129,ReqTypes,3,FALSE),"?"))</f>
        <v/>
      </c>
      <c r="G129" s="22"/>
      <c r="H129" s="22"/>
      <c r="I129" s="23"/>
      <c r="J129" s="20" t="str">
        <f>IF(OR($A129="",$I129=""),"",IF(NETWORKDAYS($B129,$I129,Holidays)-1&lt;=AckDays,"Y","N"))</f>
        <v/>
      </c>
      <c r="K129" s="22"/>
      <c r="L129" s="23"/>
      <c r="M129" s="23"/>
      <c r="N129" s="20" t="str">
        <f>IF(OR($A129="",$K129&lt;&gt;"Y"),"",IF($L129="","Pending",IF($L129-$B129&lt;=IDPromptDays,"Y","Check")))</f>
        <v/>
      </c>
      <c r="O129" s="20" t="str">
        <f>IF($A129="","",IF(OR($K129&lt;&gt;"Y",$L129=""),0,IF($M129="",MAX(0,ReportDate-$L129),$M129-$L129)))</f>
        <v/>
      </c>
      <c r="P129" s="21" t="str">
        <f>IF($A129="","",IF($F129&lt;&gt;"Y","n/a",WORKDAY(EDATE($B129,1)+$O129-1,1,Holidays)))</f>
        <v/>
      </c>
      <c r="Q129" s="21" t="str">
        <f>IF($A129="","",$B129+$O129+InternalDays)</f>
        <v/>
      </c>
      <c r="R129" s="22"/>
      <c r="S129" s="23"/>
      <c r="T129" s="20" t="str">
        <f t="shared" si="6"/>
        <v/>
      </c>
      <c r="U129" s="21" t="str">
        <f>IF($A129="","",IF($F129&lt;&gt;"Y",$Q129,IF(AND($R129="Y",$T129="Y"),WORKDAY(EDATE($B129,3)+$O129-1,1,Holidays),$P129)))</f>
        <v/>
      </c>
      <c r="V129" s="22"/>
      <c r="W129" s="22"/>
      <c r="X129" s="22"/>
      <c r="Y129" s="23"/>
      <c r="Z129" s="20" t="str">
        <f>IF($A129="","",IF($Y129&lt;&gt;"",$Y129-$B129,ReportDate-$B129))</f>
        <v/>
      </c>
      <c r="AA129" s="20" t="str">
        <f>IF(OR($A129="",$W129="Closed"),"",$U129-ReportDate)</f>
        <v/>
      </c>
      <c r="AB129" s="20" t="str">
        <f>IF($A129="","",IF($W129="Closed",IF($Y129&lt;=$U129,"Closed on time","Closed late"),IF($W129="Awaiting ID","Paused",IF($AA129&lt;0,"Overdue",IF($AA129&lt;=RedDays,"Red",IF($AA129&lt;=AmberDays,"Amber","Green"))))))</f>
        <v/>
      </c>
      <c r="AC129" s="20" t="str">
        <f t="shared" si="7"/>
        <v/>
      </c>
      <c r="AD129" s="22"/>
      <c r="AE129" s="22"/>
      <c r="AF129" s="20" t="str">
        <f>IF($A129="","",IF(IF(OR($B129="",$C129="",$D129="",$V129="",$W129=""),"missing required field; ","")&amp;IF(COUNTIF($A$2:$A$201,$A129)&gt;1,"duplicate ID; ","")&amp;IF(AND($B129&lt;&gt;"",$B129&gt;ReportDate),"received after snapshot date; ","")&amp;IF(AND($I129&lt;&gt;"",$B129&lt;&gt;"",$I129&lt;$B129),"acknowledged before receipt; ","")&amp;IF(AND($K129="Y",$L129="",$W129&lt;&gt;"Logged"),"ID requested date missing; ","")&amp;IF(AND($L129&lt;&gt;"",$M129&lt;&gt;"",$M129&lt;$L129),"ID dates out of order; ","")&amp;IF(AND($K129&lt;&gt;"Y",OR($L129&lt;&gt;"",$W129="Awaiting ID")),"ID fields used but ID_Check_Needed is not Y; ","")&amp;IF(AND($R129="Y",$S129=""),"extension notice date missing; ","")&amp;IF(AND($R129&lt;&gt;"Y",$S129&lt;&gt;""),"notice date but Extended is not Y; ","")&amp;IF(AND($W129="Closed",$Y129=""),"closed without response date; ","")&amp;IF(AND($Y129&lt;&gt;"",$W129&lt;&gt;"Closed"),"response date but status not Closed; ","")&amp;IF(AND($Y129&lt;&gt;"",$B129&lt;&gt;"",$Y129&lt;$B129),"response before receipt; ","")&amp;IF(AND($AD129="Y",$AE129=""),"exemption needs a reason in Notes; ","")="","OK","Check: "&amp;IF(OR($B129="",$C129="",$D129="",$V129="",$W129=""),"missing required field; ","")&amp;IF(COUNTIF($A$2:$A$201,$A129)&gt;1,"duplicate ID; ","")&amp;IF(AND($B129&lt;&gt;"",$B129&gt;ReportDate),"received after snapshot date; ","")&amp;IF(AND($I129&lt;&gt;"",$B129&lt;&gt;"",$I129&lt;$B129),"acknowledged before receipt; ","")&amp;IF(AND($K129="Y",$L129="",$W129&lt;&gt;"Logged"),"ID requested date missing; ","")&amp;IF(AND($L129&lt;&gt;"",$M129&lt;&gt;"",$M129&lt;$L129),"ID dates out of order; ","")&amp;IF(AND($K129&lt;&gt;"Y",OR($L129&lt;&gt;"",$W129="Awaiting ID")),"ID fields used but ID_Check_Needed is not Y; ","")&amp;IF(AND($R129="Y",$S129=""),"extension notice date missing; ","")&amp;IF(AND($R129&lt;&gt;"Y",$S129&lt;&gt;""),"notice date but Extended is not Y; ","")&amp;IF(AND($W129="Closed",$Y129=""),"closed without response date; ","")&amp;IF(AND($Y129&lt;&gt;"",$W129&lt;&gt;"Closed"),"response date but status not Closed; ","")&amp;IF(AND($Y129&lt;&gt;"",$B129&lt;&gt;"",$Y129&lt;$B129),"response before receipt; ","")&amp;IF(AND($AD129="Y",$AE129=""),"exemption needs a reason in Notes; ","")))</f>
        <v/>
      </c>
    </row>
    <row r="130" spans="1:32" x14ac:dyDescent="0.35">
      <c r="A130" s="22"/>
      <c r="B130" s="23"/>
      <c r="C130" s="22"/>
      <c r="D130" s="22"/>
      <c r="E130" s="20" t="str">
        <f>IF($A130="","",IFERROR(VLOOKUP($D130,ReqTypes,2,FALSE),"?"))</f>
        <v/>
      </c>
      <c r="F130" s="20" t="str">
        <f>IF($A130="","",IFERROR(VLOOKUP($D130,ReqTypes,3,FALSE),"?"))</f>
        <v/>
      </c>
      <c r="G130" s="22"/>
      <c r="H130" s="22"/>
      <c r="I130" s="23"/>
      <c r="J130" s="20" t="str">
        <f>IF(OR($A130="",$I130=""),"",IF(NETWORKDAYS($B130,$I130,Holidays)-1&lt;=AckDays,"Y","N"))</f>
        <v/>
      </c>
      <c r="K130" s="22"/>
      <c r="L130" s="23"/>
      <c r="M130" s="23"/>
      <c r="N130" s="20" t="str">
        <f>IF(OR($A130="",$K130&lt;&gt;"Y"),"",IF($L130="","Pending",IF($L130-$B130&lt;=IDPromptDays,"Y","Check")))</f>
        <v/>
      </c>
      <c r="O130" s="20" t="str">
        <f>IF($A130="","",IF(OR($K130&lt;&gt;"Y",$L130=""),0,IF($M130="",MAX(0,ReportDate-$L130),$M130-$L130)))</f>
        <v/>
      </c>
      <c r="P130" s="21" t="str">
        <f>IF($A130="","",IF($F130&lt;&gt;"Y","n/a",WORKDAY(EDATE($B130,1)+$O130-1,1,Holidays)))</f>
        <v/>
      </c>
      <c r="Q130" s="21" t="str">
        <f>IF($A130="","",$B130+$O130+InternalDays)</f>
        <v/>
      </c>
      <c r="R130" s="22"/>
      <c r="S130" s="23"/>
      <c r="T130" s="20" t="str">
        <f t="shared" ref="T130:T161" si="8">IF(OR($A130="",$R130&lt;&gt;"Y"),"",IF($S130="","Missing",IF(AND($F130="Y",$S130&lt;=$P130),"Y","Late")))</f>
        <v/>
      </c>
      <c r="U130" s="21" t="str">
        <f>IF($A130="","",IF($F130&lt;&gt;"Y",$Q130,IF(AND($R130="Y",$T130="Y"),WORKDAY(EDATE($B130,3)+$O130-1,1,Holidays),$P130)))</f>
        <v/>
      </c>
      <c r="V130" s="22"/>
      <c r="W130" s="22"/>
      <c r="X130" s="22"/>
      <c r="Y130" s="23"/>
      <c r="Z130" s="20" t="str">
        <f>IF($A130="","",IF($Y130&lt;&gt;"",$Y130-$B130,ReportDate-$B130))</f>
        <v/>
      </c>
      <c r="AA130" s="20" t="str">
        <f>IF(OR($A130="",$W130="Closed"),"",$U130-ReportDate)</f>
        <v/>
      </c>
      <c r="AB130" s="20" t="str">
        <f>IF($A130="","",IF($W130="Closed",IF($Y130&lt;=$U130,"Closed on time","Closed late"),IF($W130="Awaiting ID","Paused",IF($AA130&lt;0,"Overdue",IF($AA130&lt;=RedDays,"Red",IF($AA130&lt;=AmberDays,"Amber","Green"))))))</f>
        <v/>
      </c>
      <c r="AC130" s="20" t="str">
        <f t="shared" ref="AC130:AC161" si="9">IF(OR($A130="",$Y130=""),"",IF($Y130&lt;=$U130,"Y","N"))</f>
        <v/>
      </c>
      <c r="AD130" s="22"/>
      <c r="AE130" s="22"/>
      <c r="AF130" s="20" t="str">
        <f>IF($A130="","",IF(IF(OR($B130="",$C130="",$D130="",$V130="",$W130=""),"missing required field; ","")&amp;IF(COUNTIF($A$2:$A$201,$A130)&gt;1,"duplicate ID; ","")&amp;IF(AND($B130&lt;&gt;"",$B130&gt;ReportDate),"received after snapshot date; ","")&amp;IF(AND($I130&lt;&gt;"",$B130&lt;&gt;"",$I130&lt;$B130),"acknowledged before receipt; ","")&amp;IF(AND($K130="Y",$L130="",$W130&lt;&gt;"Logged"),"ID requested date missing; ","")&amp;IF(AND($L130&lt;&gt;"",$M130&lt;&gt;"",$M130&lt;$L130),"ID dates out of order; ","")&amp;IF(AND($K130&lt;&gt;"Y",OR($L130&lt;&gt;"",$W130="Awaiting ID")),"ID fields used but ID_Check_Needed is not Y; ","")&amp;IF(AND($R130="Y",$S130=""),"extension notice date missing; ","")&amp;IF(AND($R130&lt;&gt;"Y",$S130&lt;&gt;""),"notice date but Extended is not Y; ","")&amp;IF(AND($W130="Closed",$Y130=""),"closed without response date; ","")&amp;IF(AND($Y130&lt;&gt;"",$W130&lt;&gt;"Closed"),"response date but status not Closed; ","")&amp;IF(AND($Y130&lt;&gt;"",$B130&lt;&gt;"",$Y130&lt;$B130),"response before receipt; ","")&amp;IF(AND($AD130="Y",$AE130=""),"exemption needs a reason in Notes; ","")="","OK","Check: "&amp;IF(OR($B130="",$C130="",$D130="",$V130="",$W130=""),"missing required field; ","")&amp;IF(COUNTIF($A$2:$A$201,$A130)&gt;1,"duplicate ID; ","")&amp;IF(AND($B130&lt;&gt;"",$B130&gt;ReportDate),"received after snapshot date; ","")&amp;IF(AND($I130&lt;&gt;"",$B130&lt;&gt;"",$I130&lt;$B130),"acknowledged before receipt; ","")&amp;IF(AND($K130="Y",$L130="",$W130&lt;&gt;"Logged"),"ID requested date missing; ","")&amp;IF(AND($L130&lt;&gt;"",$M130&lt;&gt;"",$M130&lt;$L130),"ID dates out of order; ","")&amp;IF(AND($K130&lt;&gt;"Y",OR($L130&lt;&gt;"",$W130="Awaiting ID")),"ID fields used but ID_Check_Needed is not Y; ","")&amp;IF(AND($R130="Y",$S130=""),"extension notice date missing; ","")&amp;IF(AND($R130&lt;&gt;"Y",$S130&lt;&gt;""),"notice date but Extended is not Y; ","")&amp;IF(AND($W130="Closed",$Y130=""),"closed without response date; ","")&amp;IF(AND($Y130&lt;&gt;"",$W130&lt;&gt;"Closed"),"response date but status not Closed; ","")&amp;IF(AND($Y130&lt;&gt;"",$B130&lt;&gt;"",$Y130&lt;$B130),"response before receipt; ","")&amp;IF(AND($AD130="Y",$AE130=""),"exemption needs a reason in Notes; ","")))</f>
        <v/>
      </c>
    </row>
    <row r="131" spans="1:32" x14ac:dyDescent="0.35">
      <c r="A131" s="22"/>
      <c r="B131" s="23"/>
      <c r="C131" s="22"/>
      <c r="D131" s="22"/>
      <c r="E131" s="20" t="str">
        <f>IF($A131="","",IFERROR(VLOOKUP($D131,ReqTypes,2,FALSE),"?"))</f>
        <v/>
      </c>
      <c r="F131" s="20" t="str">
        <f>IF($A131="","",IFERROR(VLOOKUP($D131,ReqTypes,3,FALSE),"?"))</f>
        <v/>
      </c>
      <c r="G131" s="22"/>
      <c r="H131" s="22"/>
      <c r="I131" s="23"/>
      <c r="J131" s="20" t="str">
        <f>IF(OR($A131="",$I131=""),"",IF(NETWORKDAYS($B131,$I131,Holidays)-1&lt;=AckDays,"Y","N"))</f>
        <v/>
      </c>
      <c r="K131" s="22"/>
      <c r="L131" s="23"/>
      <c r="M131" s="23"/>
      <c r="N131" s="20" t="str">
        <f>IF(OR($A131="",$K131&lt;&gt;"Y"),"",IF($L131="","Pending",IF($L131-$B131&lt;=IDPromptDays,"Y","Check")))</f>
        <v/>
      </c>
      <c r="O131" s="20" t="str">
        <f>IF($A131="","",IF(OR($K131&lt;&gt;"Y",$L131=""),0,IF($M131="",MAX(0,ReportDate-$L131),$M131-$L131)))</f>
        <v/>
      </c>
      <c r="P131" s="21" t="str">
        <f>IF($A131="","",IF($F131&lt;&gt;"Y","n/a",WORKDAY(EDATE($B131,1)+$O131-1,1,Holidays)))</f>
        <v/>
      </c>
      <c r="Q131" s="21" t="str">
        <f>IF($A131="","",$B131+$O131+InternalDays)</f>
        <v/>
      </c>
      <c r="R131" s="22"/>
      <c r="S131" s="23"/>
      <c r="T131" s="20" t="str">
        <f t="shared" si="8"/>
        <v/>
      </c>
      <c r="U131" s="21" t="str">
        <f>IF($A131="","",IF($F131&lt;&gt;"Y",$Q131,IF(AND($R131="Y",$T131="Y"),WORKDAY(EDATE($B131,3)+$O131-1,1,Holidays),$P131)))</f>
        <v/>
      </c>
      <c r="V131" s="22"/>
      <c r="W131" s="22"/>
      <c r="X131" s="22"/>
      <c r="Y131" s="23"/>
      <c r="Z131" s="20" t="str">
        <f>IF($A131="","",IF($Y131&lt;&gt;"",$Y131-$B131,ReportDate-$B131))</f>
        <v/>
      </c>
      <c r="AA131" s="20" t="str">
        <f>IF(OR($A131="",$W131="Closed"),"",$U131-ReportDate)</f>
        <v/>
      </c>
      <c r="AB131" s="20" t="str">
        <f>IF($A131="","",IF($W131="Closed",IF($Y131&lt;=$U131,"Closed on time","Closed late"),IF($W131="Awaiting ID","Paused",IF($AA131&lt;0,"Overdue",IF($AA131&lt;=RedDays,"Red",IF($AA131&lt;=AmberDays,"Amber","Green"))))))</f>
        <v/>
      </c>
      <c r="AC131" s="20" t="str">
        <f t="shared" si="9"/>
        <v/>
      </c>
      <c r="AD131" s="22"/>
      <c r="AE131" s="22"/>
      <c r="AF131" s="20" t="str">
        <f>IF($A131="","",IF(IF(OR($B131="",$C131="",$D131="",$V131="",$W131=""),"missing required field; ","")&amp;IF(COUNTIF($A$2:$A$201,$A131)&gt;1,"duplicate ID; ","")&amp;IF(AND($B131&lt;&gt;"",$B131&gt;ReportDate),"received after snapshot date; ","")&amp;IF(AND($I131&lt;&gt;"",$B131&lt;&gt;"",$I131&lt;$B131),"acknowledged before receipt; ","")&amp;IF(AND($K131="Y",$L131="",$W131&lt;&gt;"Logged"),"ID requested date missing; ","")&amp;IF(AND($L131&lt;&gt;"",$M131&lt;&gt;"",$M131&lt;$L131),"ID dates out of order; ","")&amp;IF(AND($K131&lt;&gt;"Y",OR($L131&lt;&gt;"",$W131="Awaiting ID")),"ID fields used but ID_Check_Needed is not Y; ","")&amp;IF(AND($R131="Y",$S131=""),"extension notice date missing; ","")&amp;IF(AND($R131&lt;&gt;"Y",$S131&lt;&gt;""),"notice date but Extended is not Y; ","")&amp;IF(AND($W131="Closed",$Y131=""),"closed without response date; ","")&amp;IF(AND($Y131&lt;&gt;"",$W131&lt;&gt;"Closed"),"response date but status not Closed; ","")&amp;IF(AND($Y131&lt;&gt;"",$B131&lt;&gt;"",$Y131&lt;$B131),"response before receipt; ","")&amp;IF(AND($AD131="Y",$AE131=""),"exemption needs a reason in Notes; ","")="","OK","Check: "&amp;IF(OR($B131="",$C131="",$D131="",$V131="",$W131=""),"missing required field; ","")&amp;IF(COUNTIF($A$2:$A$201,$A131)&gt;1,"duplicate ID; ","")&amp;IF(AND($B131&lt;&gt;"",$B131&gt;ReportDate),"received after snapshot date; ","")&amp;IF(AND($I131&lt;&gt;"",$B131&lt;&gt;"",$I131&lt;$B131),"acknowledged before receipt; ","")&amp;IF(AND($K131="Y",$L131="",$W131&lt;&gt;"Logged"),"ID requested date missing; ","")&amp;IF(AND($L131&lt;&gt;"",$M131&lt;&gt;"",$M131&lt;$L131),"ID dates out of order; ","")&amp;IF(AND($K131&lt;&gt;"Y",OR($L131&lt;&gt;"",$W131="Awaiting ID")),"ID fields used but ID_Check_Needed is not Y; ","")&amp;IF(AND($R131="Y",$S131=""),"extension notice date missing; ","")&amp;IF(AND($R131&lt;&gt;"Y",$S131&lt;&gt;""),"notice date but Extended is not Y; ","")&amp;IF(AND($W131="Closed",$Y131=""),"closed without response date; ","")&amp;IF(AND($Y131&lt;&gt;"",$W131&lt;&gt;"Closed"),"response date but status not Closed; ","")&amp;IF(AND($Y131&lt;&gt;"",$B131&lt;&gt;"",$Y131&lt;$B131),"response before receipt; ","")&amp;IF(AND($AD131="Y",$AE131=""),"exemption needs a reason in Notes; ","")))</f>
        <v/>
      </c>
    </row>
    <row r="132" spans="1:32" x14ac:dyDescent="0.35">
      <c r="A132" s="22"/>
      <c r="B132" s="23"/>
      <c r="C132" s="22"/>
      <c r="D132" s="22"/>
      <c r="E132" s="20" t="str">
        <f>IF($A132="","",IFERROR(VLOOKUP($D132,ReqTypes,2,FALSE),"?"))</f>
        <v/>
      </c>
      <c r="F132" s="20" t="str">
        <f>IF($A132="","",IFERROR(VLOOKUP($D132,ReqTypes,3,FALSE),"?"))</f>
        <v/>
      </c>
      <c r="G132" s="22"/>
      <c r="H132" s="22"/>
      <c r="I132" s="23"/>
      <c r="J132" s="20" t="str">
        <f>IF(OR($A132="",$I132=""),"",IF(NETWORKDAYS($B132,$I132,Holidays)-1&lt;=AckDays,"Y","N"))</f>
        <v/>
      </c>
      <c r="K132" s="22"/>
      <c r="L132" s="23"/>
      <c r="M132" s="23"/>
      <c r="N132" s="20" t="str">
        <f>IF(OR($A132="",$K132&lt;&gt;"Y"),"",IF($L132="","Pending",IF($L132-$B132&lt;=IDPromptDays,"Y","Check")))</f>
        <v/>
      </c>
      <c r="O132" s="20" t="str">
        <f>IF($A132="","",IF(OR($K132&lt;&gt;"Y",$L132=""),0,IF($M132="",MAX(0,ReportDate-$L132),$M132-$L132)))</f>
        <v/>
      </c>
      <c r="P132" s="21" t="str">
        <f>IF($A132="","",IF($F132&lt;&gt;"Y","n/a",WORKDAY(EDATE($B132,1)+$O132-1,1,Holidays)))</f>
        <v/>
      </c>
      <c r="Q132" s="21" t="str">
        <f>IF($A132="","",$B132+$O132+InternalDays)</f>
        <v/>
      </c>
      <c r="R132" s="22"/>
      <c r="S132" s="23"/>
      <c r="T132" s="20" t="str">
        <f t="shared" si="8"/>
        <v/>
      </c>
      <c r="U132" s="21" t="str">
        <f>IF($A132="","",IF($F132&lt;&gt;"Y",$Q132,IF(AND($R132="Y",$T132="Y"),WORKDAY(EDATE($B132,3)+$O132-1,1,Holidays),$P132)))</f>
        <v/>
      </c>
      <c r="V132" s="22"/>
      <c r="W132" s="22"/>
      <c r="X132" s="22"/>
      <c r="Y132" s="23"/>
      <c r="Z132" s="20" t="str">
        <f>IF($A132="","",IF($Y132&lt;&gt;"",$Y132-$B132,ReportDate-$B132))</f>
        <v/>
      </c>
      <c r="AA132" s="20" t="str">
        <f>IF(OR($A132="",$W132="Closed"),"",$U132-ReportDate)</f>
        <v/>
      </c>
      <c r="AB132" s="20" t="str">
        <f>IF($A132="","",IF($W132="Closed",IF($Y132&lt;=$U132,"Closed on time","Closed late"),IF($W132="Awaiting ID","Paused",IF($AA132&lt;0,"Overdue",IF($AA132&lt;=RedDays,"Red",IF($AA132&lt;=AmberDays,"Amber","Green"))))))</f>
        <v/>
      </c>
      <c r="AC132" s="20" t="str">
        <f t="shared" si="9"/>
        <v/>
      </c>
      <c r="AD132" s="22"/>
      <c r="AE132" s="22"/>
      <c r="AF132" s="20" t="str">
        <f>IF($A132="","",IF(IF(OR($B132="",$C132="",$D132="",$V132="",$W132=""),"missing required field; ","")&amp;IF(COUNTIF($A$2:$A$201,$A132)&gt;1,"duplicate ID; ","")&amp;IF(AND($B132&lt;&gt;"",$B132&gt;ReportDate),"received after snapshot date; ","")&amp;IF(AND($I132&lt;&gt;"",$B132&lt;&gt;"",$I132&lt;$B132),"acknowledged before receipt; ","")&amp;IF(AND($K132="Y",$L132="",$W132&lt;&gt;"Logged"),"ID requested date missing; ","")&amp;IF(AND($L132&lt;&gt;"",$M132&lt;&gt;"",$M132&lt;$L132),"ID dates out of order; ","")&amp;IF(AND($K132&lt;&gt;"Y",OR($L132&lt;&gt;"",$W132="Awaiting ID")),"ID fields used but ID_Check_Needed is not Y; ","")&amp;IF(AND($R132="Y",$S132=""),"extension notice date missing; ","")&amp;IF(AND($R132&lt;&gt;"Y",$S132&lt;&gt;""),"notice date but Extended is not Y; ","")&amp;IF(AND($W132="Closed",$Y132=""),"closed without response date; ","")&amp;IF(AND($Y132&lt;&gt;"",$W132&lt;&gt;"Closed"),"response date but status not Closed; ","")&amp;IF(AND($Y132&lt;&gt;"",$B132&lt;&gt;"",$Y132&lt;$B132),"response before receipt; ","")&amp;IF(AND($AD132="Y",$AE132=""),"exemption needs a reason in Notes; ","")="","OK","Check: "&amp;IF(OR($B132="",$C132="",$D132="",$V132="",$W132=""),"missing required field; ","")&amp;IF(COUNTIF($A$2:$A$201,$A132)&gt;1,"duplicate ID; ","")&amp;IF(AND($B132&lt;&gt;"",$B132&gt;ReportDate),"received after snapshot date; ","")&amp;IF(AND($I132&lt;&gt;"",$B132&lt;&gt;"",$I132&lt;$B132),"acknowledged before receipt; ","")&amp;IF(AND($K132="Y",$L132="",$W132&lt;&gt;"Logged"),"ID requested date missing; ","")&amp;IF(AND($L132&lt;&gt;"",$M132&lt;&gt;"",$M132&lt;$L132),"ID dates out of order; ","")&amp;IF(AND($K132&lt;&gt;"Y",OR($L132&lt;&gt;"",$W132="Awaiting ID")),"ID fields used but ID_Check_Needed is not Y; ","")&amp;IF(AND($R132="Y",$S132=""),"extension notice date missing; ","")&amp;IF(AND($R132&lt;&gt;"Y",$S132&lt;&gt;""),"notice date but Extended is not Y; ","")&amp;IF(AND($W132="Closed",$Y132=""),"closed without response date; ","")&amp;IF(AND($Y132&lt;&gt;"",$W132&lt;&gt;"Closed"),"response date but status not Closed; ","")&amp;IF(AND($Y132&lt;&gt;"",$B132&lt;&gt;"",$Y132&lt;$B132),"response before receipt; ","")&amp;IF(AND($AD132="Y",$AE132=""),"exemption needs a reason in Notes; ","")))</f>
        <v/>
      </c>
    </row>
    <row r="133" spans="1:32" x14ac:dyDescent="0.35">
      <c r="A133" s="22"/>
      <c r="B133" s="23"/>
      <c r="C133" s="22"/>
      <c r="D133" s="22"/>
      <c r="E133" s="20" t="str">
        <f>IF($A133="","",IFERROR(VLOOKUP($D133,ReqTypes,2,FALSE),"?"))</f>
        <v/>
      </c>
      <c r="F133" s="20" t="str">
        <f>IF($A133="","",IFERROR(VLOOKUP($D133,ReqTypes,3,FALSE),"?"))</f>
        <v/>
      </c>
      <c r="G133" s="22"/>
      <c r="H133" s="22"/>
      <c r="I133" s="23"/>
      <c r="J133" s="20" t="str">
        <f>IF(OR($A133="",$I133=""),"",IF(NETWORKDAYS($B133,$I133,Holidays)-1&lt;=AckDays,"Y","N"))</f>
        <v/>
      </c>
      <c r="K133" s="22"/>
      <c r="L133" s="23"/>
      <c r="M133" s="23"/>
      <c r="N133" s="20" t="str">
        <f>IF(OR($A133="",$K133&lt;&gt;"Y"),"",IF($L133="","Pending",IF($L133-$B133&lt;=IDPromptDays,"Y","Check")))</f>
        <v/>
      </c>
      <c r="O133" s="20" t="str">
        <f>IF($A133="","",IF(OR($K133&lt;&gt;"Y",$L133=""),0,IF($M133="",MAX(0,ReportDate-$L133),$M133-$L133)))</f>
        <v/>
      </c>
      <c r="P133" s="21" t="str">
        <f>IF($A133="","",IF($F133&lt;&gt;"Y","n/a",WORKDAY(EDATE($B133,1)+$O133-1,1,Holidays)))</f>
        <v/>
      </c>
      <c r="Q133" s="21" t="str">
        <f>IF($A133="","",$B133+$O133+InternalDays)</f>
        <v/>
      </c>
      <c r="R133" s="22"/>
      <c r="S133" s="23"/>
      <c r="T133" s="20" t="str">
        <f t="shared" si="8"/>
        <v/>
      </c>
      <c r="U133" s="21" t="str">
        <f>IF($A133="","",IF($F133&lt;&gt;"Y",$Q133,IF(AND($R133="Y",$T133="Y"),WORKDAY(EDATE($B133,3)+$O133-1,1,Holidays),$P133)))</f>
        <v/>
      </c>
      <c r="V133" s="22"/>
      <c r="W133" s="22"/>
      <c r="X133" s="22"/>
      <c r="Y133" s="23"/>
      <c r="Z133" s="20" t="str">
        <f>IF($A133="","",IF($Y133&lt;&gt;"",$Y133-$B133,ReportDate-$B133))</f>
        <v/>
      </c>
      <c r="AA133" s="20" t="str">
        <f>IF(OR($A133="",$W133="Closed"),"",$U133-ReportDate)</f>
        <v/>
      </c>
      <c r="AB133" s="20" t="str">
        <f>IF($A133="","",IF($W133="Closed",IF($Y133&lt;=$U133,"Closed on time","Closed late"),IF($W133="Awaiting ID","Paused",IF($AA133&lt;0,"Overdue",IF($AA133&lt;=RedDays,"Red",IF($AA133&lt;=AmberDays,"Amber","Green"))))))</f>
        <v/>
      </c>
      <c r="AC133" s="20" t="str">
        <f t="shared" si="9"/>
        <v/>
      </c>
      <c r="AD133" s="22"/>
      <c r="AE133" s="22"/>
      <c r="AF133" s="20" t="str">
        <f>IF($A133="","",IF(IF(OR($B133="",$C133="",$D133="",$V133="",$W133=""),"missing required field; ","")&amp;IF(COUNTIF($A$2:$A$201,$A133)&gt;1,"duplicate ID; ","")&amp;IF(AND($B133&lt;&gt;"",$B133&gt;ReportDate),"received after snapshot date; ","")&amp;IF(AND($I133&lt;&gt;"",$B133&lt;&gt;"",$I133&lt;$B133),"acknowledged before receipt; ","")&amp;IF(AND($K133="Y",$L133="",$W133&lt;&gt;"Logged"),"ID requested date missing; ","")&amp;IF(AND($L133&lt;&gt;"",$M133&lt;&gt;"",$M133&lt;$L133),"ID dates out of order; ","")&amp;IF(AND($K133&lt;&gt;"Y",OR($L133&lt;&gt;"",$W133="Awaiting ID")),"ID fields used but ID_Check_Needed is not Y; ","")&amp;IF(AND($R133="Y",$S133=""),"extension notice date missing; ","")&amp;IF(AND($R133&lt;&gt;"Y",$S133&lt;&gt;""),"notice date but Extended is not Y; ","")&amp;IF(AND($W133="Closed",$Y133=""),"closed without response date; ","")&amp;IF(AND($Y133&lt;&gt;"",$W133&lt;&gt;"Closed"),"response date but status not Closed; ","")&amp;IF(AND($Y133&lt;&gt;"",$B133&lt;&gt;"",$Y133&lt;$B133),"response before receipt; ","")&amp;IF(AND($AD133="Y",$AE133=""),"exemption needs a reason in Notes; ","")="","OK","Check: "&amp;IF(OR($B133="",$C133="",$D133="",$V133="",$W133=""),"missing required field; ","")&amp;IF(COUNTIF($A$2:$A$201,$A133)&gt;1,"duplicate ID; ","")&amp;IF(AND($B133&lt;&gt;"",$B133&gt;ReportDate),"received after snapshot date; ","")&amp;IF(AND($I133&lt;&gt;"",$B133&lt;&gt;"",$I133&lt;$B133),"acknowledged before receipt; ","")&amp;IF(AND($K133="Y",$L133="",$W133&lt;&gt;"Logged"),"ID requested date missing; ","")&amp;IF(AND($L133&lt;&gt;"",$M133&lt;&gt;"",$M133&lt;$L133),"ID dates out of order; ","")&amp;IF(AND($K133&lt;&gt;"Y",OR($L133&lt;&gt;"",$W133="Awaiting ID")),"ID fields used but ID_Check_Needed is not Y; ","")&amp;IF(AND($R133="Y",$S133=""),"extension notice date missing; ","")&amp;IF(AND($R133&lt;&gt;"Y",$S133&lt;&gt;""),"notice date but Extended is not Y; ","")&amp;IF(AND($W133="Closed",$Y133=""),"closed without response date; ","")&amp;IF(AND($Y133&lt;&gt;"",$W133&lt;&gt;"Closed"),"response date but status not Closed; ","")&amp;IF(AND($Y133&lt;&gt;"",$B133&lt;&gt;"",$Y133&lt;$B133),"response before receipt; ","")&amp;IF(AND($AD133="Y",$AE133=""),"exemption needs a reason in Notes; ","")))</f>
        <v/>
      </c>
    </row>
    <row r="134" spans="1:32" x14ac:dyDescent="0.35">
      <c r="A134" s="22"/>
      <c r="B134" s="23"/>
      <c r="C134" s="22"/>
      <c r="D134" s="22"/>
      <c r="E134" s="20" t="str">
        <f>IF($A134="","",IFERROR(VLOOKUP($D134,ReqTypes,2,FALSE),"?"))</f>
        <v/>
      </c>
      <c r="F134" s="20" t="str">
        <f>IF($A134="","",IFERROR(VLOOKUP($D134,ReqTypes,3,FALSE),"?"))</f>
        <v/>
      </c>
      <c r="G134" s="22"/>
      <c r="H134" s="22"/>
      <c r="I134" s="23"/>
      <c r="J134" s="20" t="str">
        <f>IF(OR($A134="",$I134=""),"",IF(NETWORKDAYS($B134,$I134,Holidays)-1&lt;=AckDays,"Y","N"))</f>
        <v/>
      </c>
      <c r="K134" s="22"/>
      <c r="L134" s="23"/>
      <c r="M134" s="23"/>
      <c r="N134" s="20" t="str">
        <f>IF(OR($A134="",$K134&lt;&gt;"Y"),"",IF($L134="","Pending",IF($L134-$B134&lt;=IDPromptDays,"Y","Check")))</f>
        <v/>
      </c>
      <c r="O134" s="20" t="str">
        <f>IF($A134="","",IF(OR($K134&lt;&gt;"Y",$L134=""),0,IF($M134="",MAX(0,ReportDate-$L134),$M134-$L134)))</f>
        <v/>
      </c>
      <c r="P134" s="21" t="str">
        <f>IF($A134="","",IF($F134&lt;&gt;"Y","n/a",WORKDAY(EDATE($B134,1)+$O134-1,1,Holidays)))</f>
        <v/>
      </c>
      <c r="Q134" s="21" t="str">
        <f>IF($A134="","",$B134+$O134+InternalDays)</f>
        <v/>
      </c>
      <c r="R134" s="22"/>
      <c r="S134" s="23"/>
      <c r="T134" s="20" t="str">
        <f t="shared" si="8"/>
        <v/>
      </c>
      <c r="U134" s="21" t="str">
        <f>IF($A134="","",IF($F134&lt;&gt;"Y",$Q134,IF(AND($R134="Y",$T134="Y"),WORKDAY(EDATE($B134,3)+$O134-1,1,Holidays),$P134)))</f>
        <v/>
      </c>
      <c r="V134" s="22"/>
      <c r="W134" s="22"/>
      <c r="X134" s="22"/>
      <c r="Y134" s="23"/>
      <c r="Z134" s="20" t="str">
        <f>IF($A134="","",IF($Y134&lt;&gt;"",$Y134-$B134,ReportDate-$B134))</f>
        <v/>
      </c>
      <c r="AA134" s="20" t="str">
        <f>IF(OR($A134="",$W134="Closed"),"",$U134-ReportDate)</f>
        <v/>
      </c>
      <c r="AB134" s="20" t="str">
        <f>IF($A134="","",IF($W134="Closed",IF($Y134&lt;=$U134,"Closed on time","Closed late"),IF($W134="Awaiting ID","Paused",IF($AA134&lt;0,"Overdue",IF($AA134&lt;=RedDays,"Red",IF($AA134&lt;=AmberDays,"Amber","Green"))))))</f>
        <v/>
      </c>
      <c r="AC134" s="20" t="str">
        <f t="shared" si="9"/>
        <v/>
      </c>
      <c r="AD134" s="22"/>
      <c r="AE134" s="22"/>
      <c r="AF134" s="20" t="str">
        <f>IF($A134="","",IF(IF(OR($B134="",$C134="",$D134="",$V134="",$W134=""),"missing required field; ","")&amp;IF(COUNTIF($A$2:$A$201,$A134)&gt;1,"duplicate ID; ","")&amp;IF(AND($B134&lt;&gt;"",$B134&gt;ReportDate),"received after snapshot date; ","")&amp;IF(AND($I134&lt;&gt;"",$B134&lt;&gt;"",$I134&lt;$B134),"acknowledged before receipt; ","")&amp;IF(AND($K134="Y",$L134="",$W134&lt;&gt;"Logged"),"ID requested date missing; ","")&amp;IF(AND($L134&lt;&gt;"",$M134&lt;&gt;"",$M134&lt;$L134),"ID dates out of order; ","")&amp;IF(AND($K134&lt;&gt;"Y",OR($L134&lt;&gt;"",$W134="Awaiting ID")),"ID fields used but ID_Check_Needed is not Y; ","")&amp;IF(AND($R134="Y",$S134=""),"extension notice date missing; ","")&amp;IF(AND($R134&lt;&gt;"Y",$S134&lt;&gt;""),"notice date but Extended is not Y; ","")&amp;IF(AND($W134="Closed",$Y134=""),"closed without response date; ","")&amp;IF(AND($Y134&lt;&gt;"",$W134&lt;&gt;"Closed"),"response date but status not Closed; ","")&amp;IF(AND($Y134&lt;&gt;"",$B134&lt;&gt;"",$Y134&lt;$B134),"response before receipt; ","")&amp;IF(AND($AD134="Y",$AE134=""),"exemption needs a reason in Notes; ","")="","OK","Check: "&amp;IF(OR($B134="",$C134="",$D134="",$V134="",$W134=""),"missing required field; ","")&amp;IF(COUNTIF($A$2:$A$201,$A134)&gt;1,"duplicate ID; ","")&amp;IF(AND($B134&lt;&gt;"",$B134&gt;ReportDate),"received after snapshot date; ","")&amp;IF(AND($I134&lt;&gt;"",$B134&lt;&gt;"",$I134&lt;$B134),"acknowledged before receipt; ","")&amp;IF(AND($K134="Y",$L134="",$W134&lt;&gt;"Logged"),"ID requested date missing; ","")&amp;IF(AND($L134&lt;&gt;"",$M134&lt;&gt;"",$M134&lt;$L134),"ID dates out of order; ","")&amp;IF(AND($K134&lt;&gt;"Y",OR($L134&lt;&gt;"",$W134="Awaiting ID")),"ID fields used but ID_Check_Needed is not Y; ","")&amp;IF(AND($R134="Y",$S134=""),"extension notice date missing; ","")&amp;IF(AND($R134&lt;&gt;"Y",$S134&lt;&gt;""),"notice date but Extended is not Y; ","")&amp;IF(AND($W134="Closed",$Y134=""),"closed without response date; ","")&amp;IF(AND($Y134&lt;&gt;"",$W134&lt;&gt;"Closed"),"response date but status not Closed; ","")&amp;IF(AND($Y134&lt;&gt;"",$B134&lt;&gt;"",$Y134&lt;$B134),"response before receipt; ","")&amp;IF(AND($AD134="Y",$AE134=""),"exemption needs a reason in Notes; ","")))</f>
        <v/>
      </c>
    </row>
    <row r="135" spans="1:32" x14ac:dyDescent="0.35">
      <c r="A135" s="22"/>
      <c r="B135" s="23"/>
      <c r="C135" s="22"/>
      <c r="D135" s="22"/>
      <c r="E135" s="20" t="str">
        <f>IF($A135="","",IFERROR(VLOOKUP($D135,ReqTypes,2,FALSE),"?"))</f>
        <v/>
      </c>
      <c r="F135" s="20" t="str">
        <f>IF($A135="","",IFERROR(VLOOKUP($D135,ReqTypes,3,FALSE),"?"))</f>
        <v/>
      </c>
      <c r="G135" s="22"/>
      <c r="H135" s="22"/>
      <c r="I135" s="23"/>
      <c r="J135" s="20" t="str">
        <f>IF(OR($A135="",$I135=""),"",IF(NETWORKDAYS($B135,$I135,Holidays)-1&lt;=AckDays,"Y","N"))</f>
        <v/>
      </c>
      <c r="K135" s="22"/>
      <c r="L135" s="23"/>
      <c r="M135" s="23"/>
      <c r="N135" s="20" t="str">
        <f>IF(OR($A135="",$K135&lt;&gt;"Y"),"",IF($L135="","Pending",IF($L135-$B135&lt;=IDPromptDays,"Y","Check")))</f>
        <v/>
      </c>
      <c r="O135" s="20" t="str">
        <f>IF($A135="","",IF(OR($K135&lt;&gt;"Y",$L135=""),0,IF($M135="",MAX(0,ReportDate-$L135),$M135-$L135)))</f>
        <v/>
      </c>
      <c r="P135" s="21" t="str">
        <f>IF($A135="","",IF($F135&lt;&gt;"Y","n/a",WORKDAY(EDATE($B135,1)+$O135-1,1,Holidays)))</f>
        <v/>
      </c>
      <c r="Q135" s="21" t="str">
        <f>IF($A135="","",$B135+$O135+InternalDays)</f>
        <v/>
      </c>
      <c r="R135" s="22"/>
      <c r="S135" s="23"/>
      <c r="T135" s="20" t="str">
        <f t="shared" si="8"/>
        <v/>
      </c>
      <c r="U135" s="21" t="str">
        <f>IF($A135="","",IF($F135&lt;&gt;"Y",$Q135,IF(AND($R135="Y",$T135="Y"),WORKDAY(EDATE($B135,3)+$O135-1,1,Holidays),$P135)))</f>
        <v/>
      </c>
      <c r="V135" s="22"/>
      <c r="W135" s="22"/>
      <c r="X135" s="22"/>
      <c r="Y135" s="23"/>
      <c r="Z135" s="20" t="str">
        <f>IF($A135="","",IF($Y135&lt;&gt;"",$Y135-$B135,ReportDate-$B135))</f>
        <v/>
      </c>
      <c r="AA135" s="20" t="str">
        <f>IF(OR($A135="",$W135="Closed"),"",$U135-ReportDate)</f>
        <v/>
      </c>
      <c r="AB135" s="20" t="str">
        <f>IF($A135="","",IF($W135="Closed",IF($Y135&lt;=$U135,"Closed on time","Closed late"),IF($W135="Awaiting ID","Paused",IF($AA135&lt;0,"Overdue",IF($AA135&lt;=RedDays,"Red",IF($AA135&lt;=AmberDays,"Amber","Green"))))))</f>
        <v/>
      </c>
      <c r="AC135" s="20" t="str">
        <f t="shared" si="9"/>
        <v/>
      </c>
      <c r="AD135" s="22"/>
      <c r="AE135" s="22"/>
      <c r="AF135" s="20" t="str">
        <f>IF($A135="","",IF(IF(OR($B135="",$C135="",$D135="",$V135="",$W135=""),"missing required field; ","")&amp;IF(COUNTIF($A$2:$A$201,$A135)&gt;1,"duplicate ID; ","")&amp;IF(AND($B135&lt;&gt;"",$B135&gt;ReportDate),"received after snapshot date; ","")&amp;IF(AND($I135&lt;&gt;"",$B135&lt;&gt;"",$I135&lt;$B135),"acknowledged before receipt; ","")&amp;IF(AND($K135="Y",$L135="",$W135&lt;&gt;"Logged"),"ID requested date missing; ","")&amp;IF(AND($L135&lt;&gt;"",$M135&lt;&gt;"",$M135&lt;$L135),"ID dates out of order; ","")&amp;IF(AND($K135&lt;&gt;"Y",OR($L135&lt;&gt;"",$W135="Awaiting ID")),"ID fields used but ID_Check_Needed is not Y; ","")&amp;IF(AND($R135="Y",$S135=""),"extension notice date missing; ","")&amp;IF(AND($R135&lt;&gt;"Y",$S135&lt;&gt;""),"notice date but Extended is not Y; ","")&amp;IF(AND($W135="Closed",$Y135=""),"closed without response date; ","")&amp;IF(AND($Y135&lt;&gt;"",$W135&lt;&gt;"Closed"),"response date but status not Closed; ","")&amp;IF(AND($Y135&lt;&gt;"",$B135&lt;&gt;"",$Y135&lt;$B135),"response before receipt; ","")&amp;IF(AND($AD135="Y",$AE135=""),"exemption needs a reason in Notes; ","")="","OK","Check: "&amp;IF(OR($B135="",$C135="",$D135="",$V135="",$W135=""),"missing required field; ","")&amp;IF(COUNTIF($A$2:$A$201,$A135)&gt;1,"duplicate ID; ","")&amp;IF(AND($B135&lt;&gt;"",$B135&gt;ReportDate),"received after snapshot date; ","")&amp;IF(AND($I135&lt;&gt;"",$B135&lt;&gt;"",$I135&lt;$B135),"acknowledged before receipt; ","")&amp;IF(AND($K135="Y",$L135="",$W135&lt;&gt;"Logged"),"ID requested date missing; ","")&amp;IF(AND($L135&lt;&gt;"",$M135&lt;&gt;"",$M135&lt;$L135),"ID dates out of order; ","")&amp;IF(AND($K135&lt;&gt;"Y",OR($L135&lt;&gt;"",$W135="Awaiting ID")),"ID fields used but ID_Check_Needed is not Y; ","")&amp;IF(AND($R135="Y",$S135=""),"extension notice date missing; ","")&amp;IF(AND($R135&lt;&gt;"Y",$S135&lt;&gt;""),"notice date but Extended is not Y; ","")&amp;IF(AND($W135="Closed",$Y135=""),"closed without response date; ","")&amp;IF(AND($Y135&lt;&gt;"",$W135&lt;&gt;"Closed"),"response date but status not Closed; ","")&amp;IF(AND($Y135&lt;&gt;"",$B135&lt;&gt;"",$Y135&lt;$B135),"response before receipt; ","")&amp;IF(AND($AD135="Y",$AE135=""),"exemption needs a reason in Notes; ","")))</f>
        <v/>
      </c>
    </row>
    <row r="136" spans="1:32" x14ac:dyDescent="0.35">
      <c r="A136" s="22"/>
      <c r="B136" s="23"/>
      <c r="C136" s="22"/>
      <c r="D136" s="22"/>
      <c r="E136" s="20" t="str">
        <f>IF($A136="","",IFERROR(VLOOKUP($D136,ReqTypes,2,FALSE),"?"))</f>
        <v/>
      </c>
      <c r="F136" s="20" t="str">
        <f>IF($A136="","",IFERROR(VLOOKUP($D136,ReqTypes,3,FALSE),"?"))</f>
        <v/>
      </c>
      <c r="G136" s="22"/>
      <c r="H136" s="22"/>
      <c r="I136" s="23"/>
      <c r="J136" s="20" t="str">
        <f>IF(OR($A136="",$I136=""),"",IF(NETWORKDAYS($B136,$I136,Holidays)-1&lt;=AckDays,"Y","N"))</f>
        <v/>
      </c>
      <c r="K136" s="22"/>
      <c r="L136" s="23"/>
      <c r="M136" s="23"/>
      <c r="N136" s="20" t="str">
        <f>IF(OR($A136="",$K136&lt;&gt;"Y"),"",IF($L136="","Pending",IF($L136-$B136&lt;=IDPromptDays,"Y","Check")))</f>
        <v/>
      </c>
      <c r="O136" s="20" t="str">
        <f>IF($A136="","",IF(OR($K136&lt;&gt;"Y",$L136=""),0,IF($M136="",MAX(0,ReportDate-$L136),$M136-$L136)))</f>
        <v/>
      </c>
      <c r="P136" s="21" t="str">
        <f>IF($A136="","",IF($F136&lt;&gt;"Y","n/a",WORKDAY(EDATE($B136,1)+$O136-1,1,Holidays)))</f>
        <v/>
      </c>
      <c r="Q136" s="21" t="str">
        <f>IF($A136="","",$B136+$O136+InternalDays)</f>
        <v/>
      </c>
      <c r="R136" s="22"/>
      <c r="S136" s="23"/>
      <c r="T136" s="20" t="str">
        <f t="shared" si="8"/>
        <v/>
      </c>
      <c r="U136" s="21" t="str">
        <f>IF($A136="","",IF($F136&lt;&gt;"Y",$Q136,IF(AND($R136="Y",$T136="Y"),WORKDAY(EDATE($B136,3)+$O136-1,1,Holidays),$P136)))</f>
        <v/>
      </c>
      <c r="V136" s="22"/>
      <c r="W136" s="22"/>
      <c r="X136" s="22"/>
      <c r="Y136" s="23"/>
      <c r="Z136" s="20" t="str">
        <f>IF($A136="","",IF($Y136&lt;&gt;"",$Y136-$B136,ReportDate-$B136))</f>
        <v/>
      </c>
      <c r="AA136" s="20" t="str">
        <f>IF(OR($A136="",$W136="Closed"),"",$U136-ReportDate)</f>
        <v/>
      </c>
      <c r="AB136" s="20" t="str">
        <f>IF($A136="","",IF($W136="Closed",IF($Y136&lt;=$U136,"Closed on time","Closed late"),IF($W136="Awaiting ID","Paused",IF($AA136&lt;0,"Overdue",IF($AA136&lt;=RedDays,"Red",IF($AA136&lt;=AmberDays,"Amber","Green"))))))</f>
        <v/>
      </c>
      <c r="AC136" s="20" t="str">
        <f t="shared" si="9"/>
        <v/>
      </c>
      <c r="AD136" s="22"/>
      <c r="AE136" s="22"/>
      <c r="AF136" s="20" t="str">
        <f>IF($A136="","",IF(IF(OR($B136="",$C136="",$D136="",$V136="",$W136=""),"missing required field; ","")&amp;IF(COUNTIF($A$2:$A$201,$A136)&gt;1,"duplicate ID; ","")&amp;IF(AND($B136&lt;&gt;"",$B136&gt;ReportDate),"received after snapshot date; ","")&amp;IF(AND($I136&lt;&gt;"",$B136&lt;&gt;"",$I136&lt;$B136),"acknowledged before receipt; ","")&amp;IF(AND($K136="Y",$L136="",$W136&lt;&gt;"Logged"),"ID requested date missing; ","")&amp;IF(AND($L136&lt;&gt;"",$M136&lt;&gt;"",$M136&lt;$L136),"ID dates out of order; ","")&amp;IF(AND($K136&lt;&gt;"Y",OR($L136&lt;&gt;"",$W136="Awaiting ID")),"ID fields used but ID_Check_Needed is not Y; ","")&amp;IF(AND($R136="Y",$S136=""),"extension notice date missing; ","")&amp;IF(AND($R136&lt;&gt;"Y",$S136&lt;&gt;""),"notice date but Extended is not Y; ","")&amp;IF(AND($W136="Closed",$Y136=""),"closed without response date; ","")&amp;IF(AND($Y136&lt;&gt;"",$W136&lt;&gt;"Closed"),"response date but status not Closed; ","")&amp;IF(AND($Y136&lt;&gt;"",$B136&lt;&gt;"",$Y136&lt;$B136),"response before receipt; ","")&amp;IF(AND($AD136="Y",$AE136=""),"exemption needs a reason in Notes; ","")="","OK","Check: "&amp;IF(OR($B136="",$C136="",$D136="",$V136="",$W136=""),"missing required field; ","")&amp;IF(COUNTIF($A$2:$A$201,$A136)&gt;1,"duplicate ID; ","")&amp;IF(AND($B136&lt;&gt;"",$B136&gt;ReportDate),"received after snapshot date; ","")&amp;IF(AND($I136&lt;&gt;"",$B136&lt;&gt;"",$I136&lt;$B136),"acknowledged before receipt; ","")&amp;IF(AND($K136="Y",$L136="",$W136&lt;&gt;"Logged"),"ID requested date missing; ","")&amp;IF(AND($L136&lt;&gt;"",$M136&lt;&gt;"",$M136&lt;$L136),"ID dates out of order; ","")&amp;IF(AND($K136&lt;&gt;"Y",OR($L136&lt;&gt;"",$W136="Awaiting ID")),"ID fields used but ID_Check_Needed is not Y; ","")&amp;IF(AND($R136="Y",$S136=""),"extension notice date missing; ","")&amp;IF(AND($R136&lt;&gt;"Y",$S136&lt;&gt;""),"notice date but Extended is not Y; ","")&amp;IF(AND($W136="Closed",$Y136=""),"closed without response date; ","")&amp;IF(AND($Y136&lt;&gt;"",$W136&lt;&gt;"Closed"),"response date but status not Closed; ","")&amp;IF(AND($Y136&lt;&gt;"",$B136&lt;&gt;"",$Y136&lt;$B136),"response before receipt; ","")&amp;IF(AND($AD136="Y",$AE136=""),"exemption needs a reason in Notes; ","")))</f>
        <v/>
      </c>
    </row>
    <row r="137" spans="1:32" x14ac:dyDescent="0.35">
      <c r="A137" s="22"/>
      <c r="B137" s="23"/>
      <c r="C137" s="22"/>
      <c r="D137" s="22"/>
      <c r="E137" s="20" t="str">
        <f>IF($A137="","",IFERROR(VLOOKUP($D137,ReqTypes,2,FALSE),"?"))</f>
        <v/>
      </c>
      <c r="F137" s="20" t="str">
        <f>IF($A137="","",IFERROR(VLOOKUP($D137,ReqTypes,3,FALSE),"?"))</f>
        <v/>
      </c>
      <c r="G137" s="22"/>
      <c r="H137" s="22"/>
      <c r="I137" s="23"/>
      <c r="J137" s="20" t="str">
        <f>IF(OR($A137="",$I137=""),"",IF(NETWORKDAYS($B137,$I137,Holidays)-1&lt;=AckDays,"Y","N"))</f>
        <v/>
      </c>
      <c r="K137" s="22"/>
      <c r="L137" s="23"/>
      <c r="M137" s="23"/>
      <c r="N137" s="20" t="str">
        <f>IF(OR($A137="",$K137&lt;&gt;"Y"),"",IF($L137="","Pending",IF($L137-$B137&lt;=IDPromptDays,"Y","Check")))</f>
        <v/>
      </c>
      <c r="O137" s="20" t="str">
        <f>IF($A137="","",IF(OR($K137&lt;&gt;"Y",$L137=""),0,IF($M137="",MAX(0,ReportDate-$L137),$M137-$L137)))</f>
        <v/>
      </c>
      <c r="P137" s="21" t="str">
        <f>IF($A137="","",IF($F137&lt;&gt;"Y","n/a",WORKDAY(EDATE($B137,1)+$O137-1,1,Holidays)))</f>
        <v/>
      </c>
      <c r="Q137" s="21" t="str">
        <f>IF($A137="","",$B137+$O137+InternalDays)</f>
        <v/>
      </c>
      <c r="R137" s="22"/>
      <c r="S137" s="23"/>
      <c r="T137" s="20" t="str">
        <f t="shared" si="8"/>
        <v/>
      </c>
      <c r="U137" s="21" t="str">
        <f>IF($A137="","",IF($F137&lt;&gt;"Y",$Q137,IF(AND($R137="Y",$T137="Y"),WORKDAY(EDATE($B137,3)+$O137-1,1,Holidays),$P137)))</f>
        <v/>
      </c>
      <c r="V137" s="22"/>
      <c r="W137" s="22"/>
      <c r="X137" s="22"/>
      <c r="Y137" s="23"/>
      <c r="Z137" s="20" t="str">
        <f>IF($A137="","",IF($Y137&lt;&gt;"",$Y137-$B137,ReportDate-$B137))</f>
        <v/>
      </c>
      <c r="AA137" s="20" t="str">
        <f>IF(OR($A137="",$W137="Closed"),"",$U137-ReportDate)</f>
        <v/>
      </c>
      <c r="AB137" s="20" t="str">
        <f>IF($A137="","",IF($W137="Closed",IF($Y137&lt;=$U137,"Closed on time","Closed late"),IF($W137="Awaiting ID","Paused",IF($AA137&lt;0,"Overdue",IF($AA137&lt;=RedDays,"Red",IF($AA137&lt;=AmberDays,"Amber","Green"))))))</f>
        <v/>
      </c>
      <c r="AC137" s="20" t="str">
        <f t="shared" si="9"/>
        <v/>
      </c>
      <c r="AD137" s="22"/>
      <c r="AE137" s="22"/>
      <c r="AF137" s="20" t="str">
        <f>IF($A137="","",IF(IF(OR($B137="",$C137="",$D137="",$V137="",$W137=""),"missing required field; ","")&amp;IF(COUNTIF($A$2:$A$201,$A137)&gt;1,"duplicate ID; ","")&amp;IF(AND($B137&lt;&gt;"",$B137&gt;ReportDate),"received after snapshot date; ","")&amp;IF(AND($I137&lt;&gt;"",$B137&lt;&gt;"",$I137&lt;$B137),"acknowledged before receipt; ","")&amp;IF(AND($K137="Y",$L137="",$W137&lt;&gt;"Logged"),"ID requested date missing; ","")&amp;IF(AND($L137&lt;&gt;"",$M137&lt;&gt;"",$M137&lt;$L137),"ID dates out of order; ","")&amp;IF(AND($K137&lt;&gt;"Y",OR($L137&lt;&gt;"",$W137="Awaiting ID")),"ID fields used but ID_Check_Needed is not Y; ","")&amp;IF(AND($R137="Y",$S137=""),"extension notice date missing; ","")&amp;IF(AND($R137&lt;&gt;"Y",$S137&lt;&gt;""),"notice date but Extended is not Y; ","")&amp;IF(AND($W137="Closed",$Y137=""),"closed without response date; ","")&amp;IF(AND($Y137&lt;&gt;"",$W137&lt;&gt;"Closed"),"response date but status not Closed; ","")&amp;IF(AND($Y137&lt;&gt;"",$B137&lt;&gt;"",$Y137&lt;$B137),"response before receipt; ","")&amp;IF(AND($AD137="Y",$AE137=""),"exemption needs a reason in Notes; ","")="","OK","Check: "&amp;IF(OR($B137="",$C137="",$D137="",$V137="",$W137=""),"missing required field; ","")&amp;IF(COUNTIF($A$2:$A$201,$A137)&gt;1,"duplicate ID; ","")&amp;IF(AND($B137&lt;&gt;"",$B137&gt;ReportDate),"received after snapshot date; ","")&amp;IF(AND($I137&lt;&gt;"",$B137&lt;&gt;"",$I137&lt;$B137),"acknowledged before receipt; ","")&amp;IF(AND($K137="Y",$L137="",$W137&lt;&gt;"Logged"),"ID requested date missing; ","")&amp;IF(AND($L137&lt;&gt;"",$M137&lt;&gt;"",$M137&lt;$L137),"ID dates out of order; ","")&amp;IF(AND($K137&lt;&gt;"Y",OR($L137&lt;&gt;"",$W137="Awaiting ID")),"ID fields used but ID_Check_Needed is not Y; ","")&amp;IF(AND($R137="Y",$S137=""),"extension notice date missing; ","")&amp;IF(AND($R137&lt;&gt;"Y",$S137&lt;&gt;""),"notice date but Extended is not Y; ","")&amp;IF(AND($W137="Closed",$Y137=""),"closed without response date; ","")&amp;IF(AND($Y137&lt;&gt;"",$W137&lt;&gt;"Closed"),"response date but status not Closed; ","")&amp;IF(AND($Y137&lt;&gt;"",$B137&lt;&gt;"",$Y137&lt;$B137),"response before receipt; ","")&amp;IF(AND($AD137="Y",$AE137=""),"exemption needs a reason in Notes; ","")))</f>
        <v/>
      </c>
    </row>
    <row r="138" spans="1:32" x14ac:dyDescent="0.35">
      <c r="A138" s="22"/>
      <c r="B138" s="23"/>
      <c r="C138" s="22"/>
      <c r="D138" s="22"/>
      <c r="E138" s="20" t="str">
        <f>IF($A138="","",IFERROR(VLOOKUP($D138,ReqTypes,2,FALSE),"?"))</f>
        <v/>
      </c>
      <c r="F138" s="20" t="str">
        <f>IF($A138="","",IFERROR(VLOOKUP($D138,ReqTypes,3,FALSE),"?"))</f>
        <v/>
      </c>
      <c r="G138" s="22"/>
      <c r="H138" s="22"/>
      <c r="I138" s="23"/>
      <c r="J138" s="20" t="str">
        <f>IF(OR($A138="",$I138=""),"",IF(NETWORKDAYS($B138,$I138,Holidays)-1&lt;=AckDays,"Y","N"))</f>
        <v/>
      </c>
      <c r="K138" s="22"/>
      <c r="L138" s="23"/>
      <c r="M138" s="23"/>
      <c r="N138" s="20" t="str">
        <f>IF(OR($A138="",$K138&lt;&gt;"Y"),"",IF($L138="","Pending",IF($L138-$B138&lt;=IDPromptDays,"Y","Check")))</f>
        <v/>
      </c>
      <c r="O138" s="20" t="str">
        <f>IF($A138="","",IF(OR($K138&lt;&gt;"Y",$L138=""),0,IF($M138="",MAX(0,ReportDate-$L138),$M138-$L138)))</f>
        <v/>
      </c>
      <c r="P138" s="21" t="str">
        <f>IF($A138="","",IF($F138&lt;&gt;"Y","n/a",WORKDAY(EDATE($B138,1)+$O138-1,1,Holidays)))</f>
        <v/>
      </c>
      <c r="Q138" s="21" t="str">
        <f>IF($A138="","",$B138+$O138+InternalDays)</f>
        <v/>
      </c>
      <c r="R138" s="22"/>
      <c r="S138" s="23"/>
      <c r="T138" s="20" t="str">
        <f t="shared" si="8"/>
        <v/>
      </c>
      <c r="U138" s="21" t="str">
        <f>IF($A138="","",IF($F138&lt;&gt;"Y",$Q138,IF(AND($R138="Y",$T138="Y"),WORKDAY(EDATE($B138,3)+$O138-1,1,Holidays),$P138)))</f>
        <v/>
      </c>
      <c r="V138" s="22"/>
      <c r="W138" s="22"/>
      <c r="X138" s="22"/>
      <c r="Y138" s="23"/>
      <c r="Z138" s="20" t="str">
        <f>IF($A138="","",IF($Y138&lt;&gt;"",$Y138-$B138,ReportDate-$B138))</f>
        <v/>
      </c>
      <c r="AA138" s="20" t="str">
        <f>IF(OR($A138="",$W138="Closed"),"",$U138-ReportDate)</f>
        <v/>
      </c>
      <c r="AB138" s="20" t="str">
        <f>IF($A138="","",IF($W138="Closed",IF($Y138&lt;=$U138,"Closed on time","Closed late"),IF($W138="Awaiting ID","Paused",IF($AA138&lt;0,"Overdue",IF($AA138&lt;=RedDays,"Red",IF($AA138&lt;=AmberDays,"Amber","Green"))))))</f>
        <v/>
      </c>
      <c r="AC138" s="20" t="str">
        <f t="shared" si="9"/>
        <v/>
      </c>
      <c r="AD138" s="22"/>
      <c r="AE138" s="22"/>
      <c r="AF138" s="20" t="str">
        <f>IF($A138="","",IF(IF(OR($B138="",$C138="",$D138="",$V138="",$W138=""),"missing required field; ","")&amp;IF(COUNTIF($A$2:$A$201,$A138)&gt;1,"duplicate ID; ","")&amp;IF(AND($B138&lt;&gt;"",$B138&gt;ReportDate),"received after snapshot date; ","")&amp;IF(AND($I138&lt;&gt;"",$B138&lt;&gt;"",$I138&lt;$B138),"acknowledged before receipt; ","")&amp;IF(AND($K138="Y",$L138="",$W138&lt;&gt;"Logged"),"ID requested date missing; ","")&amp;IF(AND($L138&lt;&gt;"",$M138&lt;&gt;"",$M138&lt;$L138),"ID dates out of order; ","")&amp;IF(AND($K138&lt;&gt;"Y",OR($L138&lt;&gt;"",$W138="Awaiting ID")),"ID fields used but ID_Check_Needed is not Y; ","")&amp;IF(AND($R138="Y",$S138=""),"extension notice date missing; ","")&amp;IF(AND($R138&lt;&gt;"Y",$S138&lt;&gt;""),"notice date but Extended is not Y; ","")&amp;IF(AND($W138="Closed",$Y138=""),"closed without response date; ","")&amp;IF(AND($Y138&lt;&gt;"",$W138&lt;&gt;"Closed"),"response date but status not Closed; ","")&amp;IF(AND($Y138&lt;&gt;"",$B138&lt;&gt;"",$Y138&lt;$B138),"response before receipt; ","")&amp;IF(AND($AD138="Y",$AE138=""),"exemption needs a reason in Notes; ","")="","OK","Check: "&amp;IF(OR($B138="",$C138="",$D138="",$V138="",$W138=""),"missing required field; ","")&amp;IF(COUNTIF($A$2:$A$201,$A138)&gt;1,"duplicate ID; ","")&amp;IF(AND($B138&lt;&gt;"",$B138&gt;ReportDate),"received after snapshot date; ","")&amp;IF(AND($I138&lt;&gt;"",$B138&lt;&gt;"",$I138&lt;$B138),"acknowledged before receipt; ","")&amp;IF(AND($K138="Y",$L138="",$W138&lt;&gt;"Logged"),"ID requested date missing; ","")&amp;IF(AND($L138&lt;&gt;"",$M138&lt;&gt;"",$M138&lt;$L138),"ID dates out of order; ","")&amp;IF(AND($K138&lt;&gt;"Y",OR($L138&lt;&gt;"",$W138="Awaiting ID")),"ID fields used but ID_Check_Needed is not Y; ","")&amp;IF(AND($R138="Y",$S138=""),"extension notice date missing; ","")&amp;IF(AND($R138&lt;&gt;"Y",$S138&lt;&gt;""),"notice date but Extended is not Y; ","")&amp;IF(AND($W138="Closed",$Y138=""),"closed without response date; ","")&amp;IF(AND($Y138&lt;&gt;"",$W138&lt;&gt;"Closed"),"response date but status not Closed; ","")&amp;IF(AND($Y138&lt;&gt;"",$B138&lt;&gt;"",$Y138&lt;$B138),"response before receipt; ","")&amp;IF(AND($AD138="Y",$AE138=""),"exemption needs a reason in Notes; ","")))</f>
        <v/>
      </c>
    </row>
    <row r="139" spans="1:32" x14ac:dyDescent="0.35">
      <c r="A139" s="22"/>
      <c r="B139" s="23"/>
      <c r="C139" s="22"/>
      <c r="D139" s="22"/>
      <c r="E139" s="20" t="str">
        <f>IF($A139="","",IFERROR(VLOOKUP($D139,ReqTypes,2,FALSE),"?"))</f>
        <v/>
      </c>
      <c r="F139" s="20" t="str">
        <f>IF($A139="","",IFERROR(VLOOKUP($D139,ReqTypes,3,FALSE),"?"))</f>
        <v/>
      </c>
      <c r="G139" s="22"/>
      <c r="H139" s="22"/>
      <c r="I139" s="23"/>
      <c r="J139" s="20" t="str">
        <f>IF(OR($A139="",$I139=""),"",IF(NETWORKDAYS($B139,$I139,Holidays)-1&lt;=AckDays,"Y","N"))</f>
        <v/>
      </c>
      <c r="K139" s="22"/>
      <c r="L139" s="23"/>
      <c r="M139" s="23"/>
      <c r="N139" s="20" t="str">
        <f>IF(OR($A139="",$K139&lt;&gt;"Y"),"",IF($L139="","Pending",IF($L139-$B139&lt;=IDPromptDays,"Y","Check")))</f>
        <v/>
      </c>
      <c r="O139" s="20" t="str">
        <f>IF($A139="","",IF(OR($K139&lt;&gt;"Y",$L139=""),0,IF($M139="",MAX(0,ReportDate-$L139),$M139-$L139)))</f>
        <v/>
      </c>
      <c r="P139" s="21" t="str">
        <f>IF($A139="","",IF($F139&lt;&gt;"Y","n/a",WORKDAY(EDATE($B139,1)+$O139-1,1,Holidays)))</f>
        <v/>
      </c>
      <c r="Q139" s="21" t="str">
        <f>IF($A139="","",$B139+$O139+InternalDays)</f>
        <v/>
      </c>
      <c r="R139" s="22"/>
      <c r="S139" s="23"/>
      <c r="T139" s="20" t="str">
        <f t="shared" si="8"/>
        <v/>
      </c>
      <c r="U139" s="21" t="str">
        <f>IF($A139="","",IF($F139&lt;&gt;"Y",$Q139,IF(AND($R139="Y",$T139="Y"),WORKDAY(EDATE($B139,3)+$O139-1,1,Holidays),$P139)))</f>
        <v/>
      </c>
      <c r="V139" s="22"/>
      <c r="W139" s="22"/>
      <c r="X139" s="22"/>
      <c r="Y139" s="23"/>
      <c r="Z139" s="20" t="str">
        <f>IF($A139="","",IF($Y139&lt;&gt;"",$Y139-$B139,ReportDate-$B139))</f>
        <v/>
      </c>
      <c r="AA139" s="20" t="str">
        <f>IF(OR($A139="",$W139="Closed"),"",$U139-ReportDate)</f>
        <v/>
      </c>
      <c r="AB139" s="20" t="str">
        <f>IF($A139="","",IF($W139="Closed",IF($Y139&lt;=$U139,"Closed on time","Closed late"),IF($W139="Awaiting ID","Paused",IF($AA139&lt;0,"Overdue",IF($AA139&lt;=RedDays,"Red",IF($AA139&lt;=AmberDays,"Amber","Green"))))))</f>
        <v/>
      </c>
      <c r="AC139" s="20" t="str">
        <f t="shared" si="9"/>
        <v/>
      </c>
      <c r="AD139" s="22"/>
      <c r="AE139" s="22"/>
      <c r="AF139" s="20" t="str">
        <f>IF($A139="","",IF(IF(OR($B139="",$C139="",$D139="",$V139="",$W139=""),"missing required field; ","")&amp;IF(COUNTIF($A$2:$A$201,$A139)&gt;1,"duplicate ID; ","")&amp;IF(AND($B139&lt;&gt;"",$B139&gt;ReportDate),"received after snapshot date; ","")&amp;IF(AND($I139&lt;&gt;"",$B139&lt;&gt;"",$I139&lt;$B139),"acknowledged before receipt; ","")&amp;IF(AND($K139="Y",$L139="",$W139&lt;&gt;"Logged"),"ID requested date missing; ","")&amp;IF(AND($L139&lt;&gt;"",$M139&lt;&gt;"",$M139&lt;$L139),"ID dates out of order; ","")&amp;IF(AND($K139&lt;&gt;"Y",OR($L139&lt;&gt;"",$W139="Awaiting ID")),"ID fields used but ID_Check_Needed is not Y; ","")&amp;IF(AND($R139="Y",$S139=""),"extension notice date missing; ","")&amp;IF(AND($R139&lt;&gt;"Y",$S139&lt;&gt;""),"notice date but Extended is not Y; ","")&amp;IF(AND($W139="Closed",$Y139=""),"closed without response date; ","")&amp;IF(AND($Y139&lt;&gt;"",$W139&lt;&gt;"Closed"),"response date but status not Closed; ","")&amp;IF(AND($Y139&lt;&gt;"",$B139&lt;&gt;"",$Y139&lt;$B139),"response before receipt; ","")&amp;IF(AND($AD139="Y",$AE139=""),"exemption needs a reason in Notes; ","")="","OK","Check: "&amp;IF(OR($B139="",$C139="",$D139="",$V139="",$W139=""),"missing required field; ","")&amp;IF(COUNTIF($A$2:$A$201,$A139)&gt;1,"duplicate ID; ","")&amp;IF(AND($B139&lt;&gt;"",$B139&gt;ReportDate),"received after snapshot date; ","")&amp;IF(AND($I139&lt;&gt;"",$B139&lt;&gt;"",$I139&lt;$B139),"acknowledged before receipt; ","")&amp;IF(AND($K139="Y",$L139="",$W139&lt;&gt;"Logged"),"ID requested date missing; ","")&amp;IF(AND($L139&lt;&gt;"",$M139&lt;&gt;"",$M139&lt;$L139),"ID dates out of order; ","")&amp;IF(AND($K139&lt;&gt;"Y",OR($L139&lt;&gt;"",$W139="Awaiting ID")),"ID fields used but ID_Check_Needed is not Y; ","")&amp;IF(AND($R139="Y",$S139=""),"extension notice date missing; ","")&amp;IF(AND($R139&lt;&gt;"Y",$S139&lt;&gt;""),"notice date but Extended is not Y; ","")&amp;IF(AND($W139="Closed",$Y139=""),"closed without response date; ","")&amp;IF(AND($Y139&lt;&gt;"",$W139&lt;&gt;"Closed"),"response date but status not Closed; ","")&amp;IF(AND($Y139&lt;&gt;"",$B139&lt;&gt;"",$Y139&lt;$B139),"response before receipt; ","")&amp;IF(AND($AD139="Y",$AE139=""),"exemption needs a reason in Notes; ","")))</f>
        <v/>
      </c>
    </row>
    <row r="140" spans="1:32" x14ac:dyDescent="0.35">
      <c r="A140" s="22"/>
      <c r="B140" s="23"/>
      <c r="C140" s="22"/>
      <c r="D140" s="22"/>
      <c r="E140" s="20" t="str">
        <f>IF($A140="","",IFERROR(VLOOKUP($D140,ReqTypes,2,FALSE),"?"))</f>
        <v/>
      </c>
      <c r="F140" s="20" t="str">
        <f>IF($A140="","",IFERROR(VLOOKUP($D140,ReqTypes,3,FALSE),"?"))</f>
        <v/>
      </c>
      <c r="G140" s="22"/>
      <c r="H140" s="22"/>
      <c r="I140" s="23"/>
      <c r="J140" s="20" t="str">
        <f>IF(OR($A140="",$I140=""),"",IF(NETWORKDAYS($B140,$I140,Holidays)-1&lt;=AckDays,"Y","N"))</f>
        <v/>
      </c>
      <c r="K140" s="22"/>
      <c r="L140" s="23"/>
      <c r="M140" s="23"/>
      <c r="N140" s="20" t="str">
        <f>IF(OR($A140="",$K140&lt;&gt;"Y"),"",IF($L140="","Pending",IF($L140-$B140&lt;=IDPromptDays,"Y","Check")))</f>
        <v/>
      </c>
      <c r="O140" s="20" t="str">
        <f>IF($A140="","",IF(OR($K140&lt;&gt;"Y",$L140=""),0,IF($M140="",MAX(0,ReportDate-$L140),$M140-$L140)))</f>
        <v/>
      </c>
      <c r="P140" s="21" t="str">
        <f>IF($A140="","",IF($F140&lt;&gt;"Y","n/a",WORKDAY(EDATE($B140,1)+$O140-1,1,Holidays)))</f>
        <v/>
      </c>
      <c r="Q140" s="21" t="str">
        <f>IF($A140="","",$B140+$O140+InternalDays)</f>
        <v/>
      </c>
      <c r="R140" s="22"/>
      <c r="S140" s="23"/>
      <c r="T140" s="20" t="str">
        <f t="shared" si="8"/>
        <v/>
      </c>
      <c r="U140" s="21" t="str">
        <f>IF($A140="","",IF($F140&lt;&gt;"Y",$Q140,IF(AND($R140="Y",$T140="Y"),WORKDAY(EDATE($B140,3)+$O140-1,1,Holidays),$P140)))</f>
        <v/>
      </c>
      <c r="V140" s="22"/>
      <c r="W140" s="22"/>
      <c r="X140" s="22"/>
      <c r="Y140" s="23"/>
      <c r="Z140" s="20" t="str">
        <f>IF($A140="","",IF($Y140&lt;&gt;"",$Y140-$B140,ReportDate-$B140))</f>
        <v/>
      </c>
      <c r="AA140" s="20" t="str">
        <f>IF(OR($A140="",$W140="Closed"),"",$U140-ReportDate)</f>
        <v/>
      </c>
      <c r="AB140" s="20" t="str">
        <f>IF($A140="","",IF($W140="Closed",IF($Y140&lt;=$U140,"Closed on time","Closed late"),IF($W140="Awaiting ID","Paused",IF($AA140&lt;0,"Overdue",IF($AA140&lt;=RedDays,"Red",IF($AA140&lt;=AmberDays,"Amber","Green"))))))</f>
        <v/>
      </c>
      <c r="AC140" s="20" t="str">
        <f t="shared" si="9"/>
        <v/>
      </c>
      <c r="AD140" s="22"/>
      <c r="AE140" s="22"/>
      <c r="AF140" s="20" t="str">
        <f>IF($A140="","",IF(IF(OR($B140="",$C140="",$D140="",$V140="",$W140=""),"missing required field; ","")&amp;IF(COUNTIF($A$2:$A$201,$A140)&gt;1,"duplicate ID; ","")&amp;IF(AND($B140&lt;&gt;"",$B140&gt;ReportDate),"received after snapshot date; ","")&amp;IF(AND($I140&lt;&gt;"",$B140&lt;&gt;"",$I140&lt;$B140),"acknowledged before receipt; ","")&amp;IF(AND($K140="Y",$L140="",$W140&lt;&gt;"Logged"),"ID requested date missing; ","")&amp;IF(AND($L140&lt;&gt;"",$M140&lt;&gt;"",$M140&lt;$L140),"ID dates out of order; ","")&amp;IF(AND($K140&lt;&gt;"Y",OR($L140&lt;&gt;"",$W140="Awaiting ID")),"ID fields used but ID_Check_Needed is not Y; ","")&amp;IF(AND($R140="Y",$S140=""),"extension notice date missing; ","")&amp;IF(AND($R140&lt;&gt;"Y",$S140&lt;&gt;""),"notice date but Extended is not Y; ","")&amp;IF(AND($W140="Closed",$Y140=""),"closed without response date; ","")&amp;IF(AND($Y140&lt;&gt;"",$W140&lt;&gt;"Closed"),"response date but status not Closed; ","")&amp;IF(AND($Y140&lt;&gt;"",$B140&lt;&gt;"",$Y140&lt;$B140),"response before receipt; ","")&amp;IF(AND($AD140="Y",$AE140=""),"exemption needs a reason in Notes; ","")="","OK","Check: "&amp;IF(OR($B140="",$C140="",$D140="",$V140="",$W140=""),"missing required field; ","")&amp;IF(COUNTIF($A$2:$A$201,$A140)&gt;1,"duplicate ID; ","")&amp;IF(AND($B140&lt;&gt;"",$B140&gt;ReportDate),"received after snapshot date; ","")&amp;IF(AND($I140&lt;&gt;"",$B140&lt;&gt;"",$I140&lt;$B140),"acknowledged before receipt; ","")&amp;IF(AND($K140="Y",$L140="",$W140&lt;&gt;"Logged"),"ID requested date missing; ","")&amp;IF(AND($L140&lt;&gt;"",$M140&lt;&gt;"",$M140&lt;$L140),"ID dates out of order; ","")&amp;IF(AND($K140&lt;&gt;"Y",OR($L140&lt;&gt;"",$W140="Awaiting ID")),"ID fields used but ID_Check_Needed is not Y; ","")&amp;IF(AND($R140="Y",$S140=""),"extension notice date missing; ","")&amp;IF(AND($R140&lt;&gt;"Y",$S140&lt;&gt;""),"notice date but Extended is not Y; ","")&amp;IF(AND($W140="Closed",$Y140=""),"closed without response date; ","")&amp;IF(AND($Y140&lt;&gt;"",$W140&lt;&gt;"Closed"),"response date but status not Closed; ","")&amp;IF(AND($Y140&lt;&gt;"",$B140&lt;&gt;"",$Y140&lt;$B140),"response before receipt; ","")&amp;IF(AND($AD140="Y",$AE140=""),"exemption needs a reason in Notes; ","")))</f>
        <v/>
      </c>
    </row>
    <row r="141" spans="1:32" x14ac:dyDescent="0.35">
      <c r="A141" s="22"/>
      <c r="B141" s="23"/>
      <c r="C141" s="22"/>
      <c r="D141" s="22"/>
      <c r="E141" s="20" t="str">
        <f>IF($A141="","",IFERROR(VLOOKUP($D141,ReqTypes,2,FALSE),"?"))</f>
        <v/>
      </c>
      <c r="F141" s="20" t="str">
        <f>IF($A141="","",IFERROR(VLOOKUP($D141,ReqTypes,3,FALSE),"?"))</f>
        <v/>
      </c>
      <c r="G141" s="22"/>
      <c r="H141" s="22"/>
      <c r="I141" s="23"/>
      <c r="J141" s="20" t="str">
        <f>IF(OR($A141="",$I141=""),"",IF(NETWORKDAYS($B141,$I141,Holidays)-1&lt;=AckDays,"Y","N"))</f>
        <v/>
      </c>
      <c r="K141" s="22"/>
      <c r="L141" s="23"/>
      <c r="M141" s="23"/>
      <c r="N141" s="20" t="str">
        <f>IF(OR($A141="",$K141&lt;&gt;"Y"),"",IF($L141="","Pending",IF($L141-$B141&lt;=IDPromptDays,"Y","Check")))</f>
        <v/>
      </c>
      <c r="O141" s="20" t="str">
        <f>IF($A141="","",IF(OR($K141&lt;&gt;"Y",$L141=""),0,IF($M141="",MAX(0,ReportDate-$L141),$M141-$L141)))</f>
        <v/>
      </c>
      <c r="P141" s="21" t="str">
        <f>IF($A141="","",IF($F141&lt;&gt;"Y","n/a",WORKDAY(EDATE($B141,1)+$O141-1,1,Holidays)))</f>
        <v/>
      </c>
      <c r="Q141" s="21" t="str">
        <f>IF($A141="","",$B141+$O141+InternalDays)</f>
        <v/>
      </c>
      <c r="R141" s="22"/>
      <c r="S141" s="23"/>
      <c r="T141" s="20" t="str">
        <f t="shared" si="8"/>
        <v/>
      </c>
      <c r="U141" s="21" t="str">
        <f>IF($A141="","",IF($F141&lt;&gt;"Y",$Q141,IF(AND($R141="Y",$T141="Y"),WORKDAY(EDATE($B141,3)+$O141-1,1,Holidays),$P141)))</f>
        <v/>
      </c>
      <c r="V141" s="22"/>
      <c r="W141" s="22"/>
      <c r="X141" s="22"/>
      <c r="Y141" s="23"/>
      <c r="Z141" s="20" t="str">
        <f>IF($A141="","",IF($Y141&lt;&gt;"",$Y141-$B141,ReportDate-$B141))</f>
        <v/>
      </c>
      <c r="AA141" s="20" t="str">
        <f>IF(OR($A141="",$W141="Closed"),"",$U141-ReportDate)</f>
        <v/>
      </c>
      <c r="AB141" s="20" t="str">
        <f>IF($A141="","",IF($W141="Closed",IF($Y141&lt;=$U141,"Closed on time","Closed late"),IF($W141="Awaiting ID","Paused",IF($AA141&lt;0,"Overdue",IF($AA141&lt;=RedDays,"Red",IF($AA141&lt;=AmberDays,"Amber","Green"))))))</f>
        <v/>
      </c>
      <c r="AC141" s="20" t="str">
        <f t="shared" si="9"/>
        <v/>
      </c>
      <c r="AD141" s="22"/>
      <c r="AE141" s="22"/>
      <c r="AF141" s="20" t="str">
        <f>IF($A141="","",IF(IF(OR($B141="",$C141="",$D141="",$V141="",$W141=""),"missing required field; ","")&amp;IF(COUNTIF($A$2:$A$201,$A141)&gt;1,"duplicate ID; ","")&amp;IF(AND($B141&lt;&gt;"",$B141&gt;ReportDate),"received after snapshot date; ","")&amp;IF(AND($I141&lt;&gt;"",$B141&lt;&gt;"",$I141&lt;$B141),"acknowledged before receipt; ","")&amp;IF(AND($K141="Y",$L141="",$W141&lt;&gt;"Logged"),"ID requested date missing; ","")&amp;IF(AND($L141&lt;&gt;"",$M141&lt;&gt;"",$M141&lt;$L141),"ID dates out of order; ","")&amp;IF(AND($K141&lt;&gt;"Y",OR($L141&lt;&gt;"",$W141="Awaiting ID")),"ID fields used but ID_Check_Needed is not Y; ","")&amp;IF(AND($R141="Y",$S141=""),"extension notice date missing; ","")&amp;IF(AND($R141&lt;&gt;"Y",$S141&lt;&gt;""),"notice date but Extended is not Y; ","")&amp;IF(AND($W141="Closed",$Y141=""),"closed without response date; ","")&amp;IF(AND($Y141&lt;&gt;"",$W141&lt;&gt;"Closed"),"response date but status not Closed; ","")&amp;IF(AND($Y141&lt;&gt;"",$B141&lt;&gt;"",$Y141&lt;$B141),"response before receipt; ","")&amp;IF(AND($AD141="Y",$AE141=""),"exemption needs a reason in Notes; ","")="","OK","Check: "&amp;IF(OR($B141="",$C141="",$D141="",$V141="",$W141=""),"missing required field; ","")&amp;IF(COUNTIF($A$2:$A$201,$A141)&gt;1,"duplicate ID; ","")&amp;IF(AND($B141&lt;&gt;"",$B141&gt;ReportDate),"received after snapshot date; ","")&amp;IF(AND($I141&lt;&gt;"",$B141&lt;&gt;"",$I141&lt;$B141),"acknowledged before receipt; ","")&amp;IF(AND($K141="Y",$L141="",$W141&lt;&gt;"Logged"),"ID requested date missing; ","")&amp;IF(AND($L141&lt;&gt;"",$M141&lt;&gt;"",$M141&lt;$L141),"ID dates out of order; ","")&amp;IF(AND($K141&lt;&gt;"Y",OR($L141&lt;&gt;"",$W141="Awaiting ID")),"ID fields used but ID_Check_Needed is not Y; ","")&amp;IF(AND($R141="Y",$S141=""),"extension notice date missing; ","")&amp;IF(AND($R141&lt;&gt;"Y",$S141&lt;&gt;""),"notice date but Extended is not Y; ","")&amp;IF(AND($W141="Closed",$Y141=""),"closed without response date; ","")&amp;IF(AND($Y141&lt;&gt;"",$W141&lt;&gt;"Closed"),"response date but status not Closed; ","")&amp;IF(AND($Y141&lt;&gt;"",$B141&lt;&gt;"",$Y141&lt;$B141),"response before receipt; ","")&amp;IF(AND($AD141="Y",$AE141=""),"exemption needs a reason in Notes; ","")))</f>
        <v/>
      </c>
    </row>
    <row r="142" spans="1:32" x14ac:dyDescent="0.35">
      <c r="A142" s="22"/>
      <c r="B142" s="23"/>
      <c r="C142" s="22"/>
      <c r="D142" s="22"/>
      <c r="E142" s="20" t="str">
        <f>IF($A142="","",IFERROR(VLOOKUP($D142,ReqTypes,2,FALSE),"?"))</f>
        <v/>
      </c>
      <c r="F142" s="20" t="str">
        <f>IF($A142="","",IFERROR(VLOOKUP($D142,ReqTypes,3,FALSE),"?"))</f>
        <v/>
      </c>
      <c r="G142" s="22"/>
      <c r="H142" s="22"/>
      <c r="I142" s="23"/>
      <c r="J142" s="20" t="str">
        <f>IF(OR($A142="",$I142=""),"",IF(NETWORKDAYS($B142,$I142,Holidays)-1&lt;=AckDays,"Y","N"))</f>
        <v/>
      </c>
      <c r="K142" s="22"/>
      <c r="L142" s="23"/>
      <c r="M142" s="23"/>
      <c r="N142" s="20" t="str">
        <f>IF(OR($A142="",$K142&lt;&gt;"Y"),"",IF($L142="","Pending",IF($L142-$B142&lt;=IDPromptDays,"Y","Check")))</f>
        <v/>
      </c>
      <c r="O142" s="20" t="str">
        <f>IF($A142="","",IF(OR($K142&lt;&gt;"Y",$L142=""),0,IF($M142="",MAX(0,ReportDate-$L142),$M142-$L142)))</f>
        <v/>
      </c>
      <c r="P142" s="21" t="str">
        <f>IF($A142="","",IF($F142&lt;&gt;"Y","n/a",WORKDAY(EDATE($B142,1)+$O142-1,1,Holidays)))</f>
        <v/>
      </c>
      <c r="Q142" s="21" t="str">
        <f>IF($A142="","",$B142+$O142+InternalDays)</f>
        <v/>
      </c>
      <c r="R142" s="22"/>
      <c r="S142" s="23"/>
      <c r="T142" s="20" t="str">
        <f t="shared" si="8"/>
        <v/>
      </c>
      <c r="U142" s="21" t="str">
        <f>IF($A142="","",IF($F142&lt;&gt;"Y",$Q142,IF(AND($R142="Y",$T142="Y"),WORKDAY(EDATE($B142,3)+$O142-1,1,Holidays),$P142)))</f>
        <v/>
      </c>
      <c r="V142" s="22"/>
      <c r="W142" s="22"/>
      <c r="X142" s="22"/>
      <c r="Y142" s="23"/>
      <c r="Z142" s="20" t="str">
        <f>IF($A142="","",IF($Y142&lt;&gt;"",$Y142-$B142,ReportDate-$B142))</f>
        <v/>
      </c>
      <c r="AA142" s="20" t="str">
        <f>IF(OR($A142="",$W142="Closed"),"",$U142-ReportDate)</f>
        <v/>
      </c>
      <c r="AB142" s="20" t="str">
        <f>IF($A142="","",IF($W142="Closed",IF($Y142&lt;=$U142,"Closed on time","Closed late"),IF($W142="Awaiting ID","Paused",IF($AA142&lt;0,"Overdue",IF($AA142&lt;=RedDays,"Red",IF($AA142&lt;=AmberDays,"Amber","Green"))))))</f>
        <v/>
      </c>
      <c r="AC142" s="20" t="str">
        <f t="shared" si="9"/>
        <v/>
      </c>
      <c r="AD142" s="22"/>
      <c r="AE142" s="22"/>
      <c r="AF142" s="20" t="str">
        <f>IF($A142="","",IF(IF(OR($B142="",$C142="",$D142="",$V142="",$W142=""),"missing required field; ","")&amp;IF(COUNTIF($A$2:$A$201,$A142)&gt;1,"duplicate ID; ","")&amp;IF(AND($B142&lt;&gt;"",$B142&gt;ReportDate),"received after snapshot date; ","")&amp;IF(AND($I142&lt;&gt;"",$B142&lt;&gt;"",$I142&lt;$B142),"acknowledged before receipt; ","")&amp;IF(AND($K142="Y",$L142="",$W142&lt;&gt;"Logged"),"ID requested date missing; ","")&amp;IF(AND($L142&lt;&gt;"",$M142&lt;&gt;"",$M142&lt;$L142),"ID dates out of order; ","")&amp;IF(AND($K142&lt;&gt;"Y",OR($L142&lt;&gt;"",$W142="Awaiting ID")),"ID fields used but ID_Check_Needed is not Y; ","")&amp;IF(AND($R142="Y",$S142=""),"extension notice date missing; ","")&amp;IF(AND($R142&lt;&gt;"Y",$S142&lt;&gt;""),"notice date but Extended is not Y; ","")&amp;IF(AND($W142="Closed",$Y142=""),"closed without response date; ","")&amp;IF(AND($Y142&lt;&gt;"",$W142&lt;&gt;"Closed"),"response date but status not Closed; ","")&amp;IF(AND($Y142&lt;&gt;"",$B142&lt;&gt;"",$Y142&lt;$B142),"response before receipt; ","")&amp;IF(AND($AD142="Y",$AE142=""),"exemption needs a reason in Notes; ","")="","OK","Check: "&amp;IF(OR($B142="",$C142="",$D142="",$V142="",$W142=""),"missing required field; ","")&amp;IF(COUNTIF($A$2:$A$201,$A142)&gt;1,"duplicate ID; ","")&amp;IF(AND($B142&lt;&gt;"",$B142&gt;ReportDate),"received after snapshot date; ","")&amp;IF(AND($I142&lt;&gt;"",$B142&lt;&gt;"",$I142&lt;$B142),"acknowledged before receipt; ","")&amp;IF(AND($K142="Y",$L142="",$W142&lt;&gt;"Logged"),"ID requested date missing; ","")&amp;IF(AND($L142&lt;&gt;"",$M142&lt;&gt;"",$M142&lt;$L142),"ID dates out of order; ","")&amp;IF(AND($K142&lt;&gt;"Y",OR($L142&lt;&gt;"",$W142="Awaiting ID")),"ID fields used but ID_Check_Needed is not Y; ","")&amp;IF(AND($R142="Y",$S142=""),"extension notice date missing; ","")&amp;IF(AND($R142&lt;&gt;"Y",$S142&lt;&gt;""),"notice date but Extended is not Y; ","")&amp;IF(AND($W142="Closed",$Y142=""),"closed without response date; ","")&amp;IF(AND($Y142&lt;&gt;"",$W142&lt;&gt;"Closed"),"response date but status not Closed; ","")&amp;IF(AND($Y142&lt;&gt;"",$B142&lt;&gt;"",$Y142&lt;$B142),"response before receipt; ","")&amp;IF(AND($AD142="Y",$AE142=""),"exemption needs a reason in Notes; ","")))</f>
        <v/>
      </c>
    </row>
    <row r="143" spans="1:32" x14ac:dyDescent="0.35">
      <c r="A143" s="22"/>
      <c r="B143" s="23"/>
      <c r="C143" s="22"/>
      <c r="D143" s="22"/>
      <c r="E143" s="20" t="str">
        <f>IF($A143="","",IFERROR(VLOOKUP($D143,ReqTypes,2,FALSE),"?"))</f>
        <v/>
      </c>
      <c r="F143" s="20" t="str">
        <f>IF($A143="","",IFERROR(VLOOKUP($D143,ReqTypes,3,FALSE),"?"))</f>
        <v/>
      </c>
      <c r="G143" s="22"/>
      <c r="H143" s="22"/>
      <c r="I143" s="23"/>
      <c r="J143" s="20" t="str">
        <f>IF(OR($A143="",$I143=""),"",IF(NETWORKDAYS($B143,$I143,Holidays)-1&lt;=AckDays,"Y","N"))</f>
        <v/>
      </c>
      <c r="K143" s="22"/>
      <c r="L143" s="23"/>
      <c r="M143" s="23"/>
      <c r="N143" s="20" t="str">
        <f>IF(OR($A143="",$K143&lt;&gt;"Y"),"",IF($L143="","Pending",IF($L143-$B143&lt;=IDPromptDays,"Y","Check")))</f>
        <v/>
      </c>
      <c r="O143" s="20" t="str">
        <f>IF($A143="","",IF(OR($K143&lt;&gt;"Y",$L143=""),0,IF($M143="",MAX(0,ReportDate-$L143),$M143-$L143)))</f>
        <v/>
      </c>
      <c r="P143" s="21" t="str">
        <f>IF($A143="","",IF($F143&lt;&gt;"Y","n/a",WORKDAY(EDATE($B143,1)+$O143-1,1,Holidays)))</f>
        <v/>
      </c>
      <c r="Q143" s="21" t="str">
        <f>IF($A143="","",$B143+$O143+InternalDays)</f>
        <v/>
      </c>
      <c r="R143" s="22"/>
      <c r="S143" s="23"/>
      <c r="T143" s="20" t="str">
        <f t="shared" si="8"/>
        <v/>
      </c>
      <c r="U143" s="21" t="str">
        <f>IF($A143="","",IF($F143&lt;&gt;"Y",$Q143,IF(AND($R143="Y",$T143="Y"),WORKDAY(EDATE($B143,3)+$O143-1,1,Holidays),$P143)))</f>
        <v/>
      </c>
      <c r="V143" s="22"/>
      <c r="W143" s="22"/>
      <c r="X143" s="22"/>
      <c r="Y143" s="23"/>
      <c r="Z143" s="20" t="str">
        <f>IF($A143="","",IF($Y143&lt;&gt;"",$Y143-$B143,ReportDate-$B143))</f>
        <v/>
      </c>
      <c r="AA143" s="20" t="str">
        <f>IF(OR($A143="",$W143="Closed"),"",$U143-ReportDate)</f>
        <v/>
      </c>
      <c r="AB143" s="20" t="str">
        <f>IF($A143="","",IF($W143="Closed",IF($Y143&lt;=$U143,"Closed on time","Closed late"),IF($W143="Awaiting ID","Paused",IF($AA143&lt;0,"Overdue",IF($AA143&lt;=RedDays,"Red",IF($AA143&lt;=AmberDays,"Amber","Green"))))))</f>
        <v/>
      </c>
      <c r="AC143" s="20" t="str">
        <f t="shared" si="9"/>
        <v/>
      </c>
      <c r="AD143" s="22"/>
      <c r="AE143" s="22"/>
      <c r="AF143" s="20" t="str">
        <f>IF($A143="","",IF(IF(OR($B143="",$C143="",$D143="",$V143="",$W143=""),"missing required field; ","")&amp;IF(COUNTIF($A$2:$A$201,$A143)&gt;1,"duplicate ID; ","")&amp;IF(AND($B143&lt;&gt;"",$B143&gt;ReportDate),"received after snapshot date; ","")&amp;IF(AND($I143&lt;&gt;"",$B143&lt;&gt;"",$I143&lt;$B143),"acknowledged before receipt; ","")&amp;IF(AND($K143="Y",$L143="",$W143&lt;&gt;"Logged"),"ID requested date missing; ","")&amp;IF(AND($L143&lt;&gt;"",$M143&lt;&gt;"",$M143&lt;$L143),"ID dates out of order; ","")&amp;IF(AND($K143&lt;&gt;"Y",OR($L143&lt;&gt;"",$W143="Awaiting ID")),"ID fields used but ID_Check_Needed is not Y; ","")&amp;IF(AND($R143="Y",$S143=""),"extension notice date missing; ","")&amp;IF(AND($R143&lt;&gt;"Y",$S143&lt;&gt;""),"notice date but Extended is not Y; ","")&amp;IF(AND($W143="Closed",$Y143=""),"closed without response date; ","")&amp;IF(AND($Y143&lt;&gt;"",$W143&lt;&gt;"Closed"),"response date but status not Closed; ","")&amp;IF(AND($Y143&lt;&gt;"",$B143&lt;&gt;"",$Y143&lt;$B143),"response before receipt; ","")&amp;IF(AND($AD143="Y",$AE143=""),"exemption needs a reason in Notes; ","")="","OK","Check: "&amp;IF(OR($B143="",$C143="",$D143="",$V143="",$W143=""),"missing required field; ","")&amp;IF(COUNTIF($A$2:$A$201,$A143)&gt;1,"duplicate ID; ","")&amp;IF(AND($B143&lt;&gt;"",$B143&gt;ReportDate),"received after snapshot date; ","")&amp;IF(AND($I143&lt;&gt;"",$B143&lt;&gt;"",$I143&lt;$B143),"acknowledged before receipt; ","")&amp;IF(AND($K143="Y",$L143="",$W143&lt;&gt;"Logged"),"ID requested date missing; ","")&amp;IF(AND($L143&lt;&gt;"",$M143&lt;&gt;"",$M143&lt;$L143),"ID dates out of order; ","")&amp;IF(AND($K143&lt;&gt;"Y",OR($L143&lt;&gt;"",$W143="Awaiting ID")),"ID fields used but ID_Check_Needed is not Y; ","")&amp;IF(AND($R143="Y",$S143=""),"extension notice date missing; ","")&amp;IF(AND($R143&lt;&gt;"Y",$S143&lt;&gt;""),"notice date but Extended is not Y; ","")&amp;IF(AND($W143="Closed",$Y143=""),"closed without response date; ","")&amp;IF(AND($Y143&lt;&gt;"",$W143&lt;&gt;"Closed"),"response date but status not Closed; ","")&amp;IF(AND($Y143&lt;&gt;"",$B143&lt;&gt;"",$Y143&lt;$B143),"response before receipt; ","")&amp;IF(AND($AD143="Y",$AE143=""),"exemption needs a reason in Notes; ","")))</f>
        <v/>
      </c>
    </row>
    <row r="144" spans="1:32" x14ac:dyDescent="0.35">
      <c r="A144" s="22"/>
      <c r="B144" s="23"/>
      <c r="C144" s="22"/>
      <c r="D144" s="22"/>
      <c r="E144" s="20" t="str">
        <f>IF($A144="","",IFERROR(VLOOKUP($D144,ReqTypes,2,FALSE),"?"))</f>
        <v/>
      </c>
      <c r="F144" s="20" t="str">
        <f>IF($A144="","",IFERROR(VLOOKUP($D144,ReqTypes,3,FALSE),"?"))</f>
        <v/>
      </c>
      <c r="G144" s="22"/>
      <c r="H144" s="22"/>
      <c r="I144" s="23"/>
      <c r="J144" s="20" t="str">
        <f>IF(OR($A144="",$I144=""),"",IF(NETWORKDAYS($B144,$I144,Holidays)-1&lt;=AckDays,"Y","N"))</f>
        <v/>
      </c>
      <c r="K144" s="22"/>
      <c r="L144" s="23"/>
      <c r="M144" s="23"/>
      <c r="N144" s="20" t="str">
        <f>IF(OR($A144="",$K144&lt;&gt;"Y"),"",IF($L144="","Pending",IF($L144-$B144&lt;=IDPromptDays,"Y","Check")))</f>
        <v/>
      </c>
      <c r="O144" s="20" t="str">
        <f>IF($A144="","",IF(OR($K144&lt;&gt;"Y",$L144=""),0,IF($M144="",MAX(0,ReportDate-$L144),$M144-$L144)))</f>
        <v/>
      </c>
      <c r="P144" s="21" t="str">
        <f>IF($A144="","",IF($F144&lt;&gt;"Y","n/a",WORKDAY(EDATE($B144,1)+$O144-1,1,Holidays)))</f>
        <v/>
      </c>
      <c r="Q144" s="21" t="str">
        <f>IF($A144="","",$B144+$O144+InternalDays)</f>
        <v/>
      </c>
      <c r="R144" s="22"/>
      <c r="S144" s="23"/>
      <c r="T144" s="20" t="str">
        <f t="shared" si="8"/>
        <v/>
      </c>
      <c r="U144" s="21" t="str">
        <f>IF($A144="","",IF($F144&lt;&gt;"Y",$Q144,IF(AND($R144="Y",$T144="Y"),WORKDAY(EDATE($B144,3)+$O144-1,1,Holidays),$P144)))</f>
        <v/>
      </c>
      <c r="V144" s="22"/>
      <c r="W144" s="22"/>
      <c r="X144" s="22"/>
      <c r="Y144" s="23"/>
      <c r="Z144" s="20" t="str">
        <f>IF($A144="","",IF($Y144&lt;&gt;"",$Y144-$B144,ReportDate-$B144))</f>
        <v/>
      </c>
      <c r="AA144" s="20" t="str">
        <f>IF(OR($A144="",$W144="Closed"),"",$U144-ReportDate)</f>
        <v/>
      </c>
      <c r="AB144" s="20" t="str">
        <f>IF($A144="","",IF($W144="Closed",IF($Y144&lt;=$U144,"Closed on time","Closed late"),IF($W144="Awaiting ID","Paused",IF($AA144&lt;0,"Overdue",IF($AA144&lt;=RedDays,"Red",IF($AA144&lt;=AmberDays,"Amber","Green"))))))</f>
        <v/>
      </c>
      <c r="AC144" s="20" t="str">
        <f t="shared" si="9"/>
        <v/>
      </c>
      <c r="AD144" s="22"/>
      <c r="AE144" s="22"/>
      <c r="AF144" s="20" t="str">
        <f>IF($A144="","",IF(IF(OR($B144="",$C144="",$D144="",$V144="",$W144=""),"missing required field; ","")&amp;IF(COUNTIF($A$2:$A$201,$A144)&gt;1,"duplicate ID; ","")&amp;IF(AND($B144&lt;&gt;"",$B144&gt;ReportDate),"received after snapshot date; ","")&amp;IF(AND($I144&lt;&gt;"",$B144&lt;&gt;"",$I144&lt;$B144),"acknowledged before receipt; ","")&amp;IF(AND($K144="Y",$L144="",$W144&lt;&gt;"Logged"),"ID requested date missing; ","")&amp;IF(AND($L144&lt;&gt;"",$M144&lt;&gt;"",$M144&lt;$L144),"ID dates out of order; ","")&amp;IF(AND($K144&lt;&gt;"Y",OR($L144&lt;&gt;"",$W144="Awaiting ID")),"ID fields used but ID_Check_Needed is not Y; ","")&amp;IF(AND($R144="Y",$S144=""),"extension notice date missing; ","")&amp;IF(AND($R144&lt;&gt;"Y",$S144&lt;&gt;""),"notice date but Extended is not Y; ","")&amp;IF(AND($W144="Closed",$Y144=""),"closed without response date; ","")&amp;IF(AND($Y144&lt;&gt;"",$W144&lt;&gt;"Closed"),"response date but status not Closed; ","")&amp;IF(AND($Y144&lt;&gt;"",$B144&lt;&gt;"",$Y144&lt;$B144),"response before receipt; ","")&amp;IF(AND($AD144="Y",$AE144=""),"exemption needs a reason in Notes; ","")="","OK","Check: "&amp;IF(OR($B144="",$C144="",$D144="",$V144="",$W144=""),"missing required field; ","")&amp;IF(COUNTIF($A$2:$A$201,$A144)&gt;1,"duplicate ID; ","")&amp;IF(AND($B144&lt;&gt;"",$B144&gt;ReportDate),"received after snapshot date; ","")&amp;IF(AND($I144&lt;&gt;"",$B144&lt;&gt;"",$I144&lt;$B144),"acknowledged before receipt; ","")&amp;IF(AND($K144="Y",$L144="",$W144&lt;&gt;"Logged"),"ID requested date missing; ","")&amp;IF(AND($L144&lt;&gt;"",$M144&lt;&gt;"",$M144&lt;$L144),"ID dates out of order; ","")&amp;IF(AND($K144&lt;&gt;"Y",OR($L144&lt;&gt;"",$W144="Awaiting ID")),"ID fields used but ID_Check_Needed is not Y; ","")&amp;IF(AND($R144="Y",$S144=""),"extension notice date missing; ","")&amp;IF(AND($R144&lt;&gt;"Y",$S144&lt;&gt;""),"notice date but Extended is not Y; ","")&amp;IF(AND($W144="Closed",$Y144=""),"closed without response date; ","")&amp;IF(AND($Y144&lt;&gt;"",$W144&lt;&gt;"Closed"),"response date but status not Closed; ","")&amp;IF(AND($Y144&lt;&gt;"",$B144&lt;&gt;"",$Y144&lt;$B144),"response before receipt; ","")&amp;IF(AND($AD144="Y",$AE144=""),"exemption needs a reason in Notes; ","")))</f>
        <v/>
      </c>
    </row>
    <row r="145" spans="1:32" x14ac:dyDescent="0.35">
      <c r="A145" s="22"/>
      <c r="B145" s="23"/>
      <c r="C145" s="22"/>
      <c r="D145" s="22"/>
      <c r="E145" s="20" t="str">
        <f>IF($A145="","",IFERROR(VLOOKUP($D145,ReqTypes,2,FALSE),"?"))</f>
        <v/>
      </c>
      <c r="F145" s="20" t="str">
        <f>IF($A145="","",IFERROR(VLOOKUP($D145,ReqTypes,3,FALSE),"?"))</f>
        <v/>
      </c>
      <c r="G145" s="22"/>
      <c r="H145" s="22"/>
      <c r="I145" s="23"/>
      <c r="J145" s="20" t="str">
        <f>IF(OR($A145="",$I145=""),"",IF(NETWORKDAYS($B145,$I145,Holidays)-1&lt;=AckDays,"Y","N"))</f>
        <v/>
      </c>
      <c r="K145" s="22"/>
      <c r="L145" s="23"/>
      <c r="M145" s="23"/>
      <c r="N145" s="20" t="str">
        <f>IF(OR($A145="",$K145&lt;&gt;"Y"),"",IF($L145="","Pending",IF($L145-$B145&lt;=IDPromptDays,"Y","Check")))</f>
        <v/>
      </c>
      <c r="O145" s="20" t="str">
        <f>IF($A145="","",IF(OR($K145&lt;&gt;"Y",$L145=""),0,IF($M145="",MAX(0,ReportDate-$L145),$M145-$L145)))</f>
        <v/>
      </c>
      <c r="P145" s="21" t="str">
        <f>IF($A145="","",IF($F145&lt;&gt;"Y","n/a",WORKDAY(EDATE($B145,1)+$O145-1,1,Holidays)))</f>
        <v/>
      </c>
      <c r="Q145" s="21" t="str">
        <f>IF($A145="","",$B145+$O145+InternalDays)</f>
        <v/>
      </c>
      <c r="R145" s="22"/>
      <c r="S145" s="23"/>
      <c r="T145" s="20" t="str">
        <f t="shared" si="8"/>
        <v/>
      </c>
      <c r="U145" s="21" t="str">
        <f>IF($A145="","",IF($F145&lt;&gt;"Y",$Q145,IF(AND($R145="Y",$T145="Y"),WORKDAY(EDATE($B145,3)+$O145-1,1,Holidays),$P145)))</f>
        <v/>
      </c>
      <c r="V145" s="22"/>
      <c r="W145" s="22"/>
      <c r="X145" s="22"/>
      <c r="Y145" s="23"/>
      <c r="Z145" s="20" t="str">
        <f>IF($A145="","",IF($Y145&lt;&gt;"",$Y145-$B145,ReportDate-$B145))</f>
        <v/>
      </c>
      <c r="AA145" s="20" t="str">
        <f>IF(OR($A145="",$W145="Closed"),"",$U145-ReportDate)</f>
        <v/>
      </c>
      <c r="AB145" s="20" t="str">
        <f>IF($A145="","",IF($W145="Closed",IF($Y145&lt;=$U145,"Closed on time","Closed late"),IF($W145="Awaiting ID","Paused",IF($AA145&lt;0,"Overdue",IF($AA145&lt;=RedDays,"Red",IF($AA145&lt;=AmberDays,"Amber","Green"))))))</f>
        <v/>
      </c>
      <c r="AC145" s="20" t="str">
        <f t="shared" si="9"/>
        <v/>
      </c>
      <c r="AD145" s="22"/>
      <c r="AE145" s="22"/>
      <c r="AF145" s="20" t="str">
        <f>IF($A145="","",IF(IF(OR($B145="",$C145="",$D145="",$V145="",$W145=""),"missing required field; ","")&amp;IF(COUNTIF($A$2:$A$201,$A145)&gt;1,"duplicate ID; ","")&amp;IF(AND($B145&lt;&gt;"",$B145&gt;ReportDate),"received after snapshot date; ","")&amp;IF(AND($I145&lt;&gt;"",$B145&lt;&gt;"",$I145&lt;$B145),"acknowledged before receipt; ","")&amp;IF(AND($K145="Y",$L145="",$W145&lt;&gt;"Logged"),"ID requested date missing; ","")&amp;IF(AND($L145&lt;&gt;"",$M145&lt;&gt;"",$M145&lt;$L145),"ID dates out of order; ","")&amp;IF(AND($K145&lt;&gt;"Y",OR($L145&lt;&gt;"",$W145="Awaiting ID")),"ID fields used but ID_Check_Needed is not Y; ","")&amp;IF(AND($R145="Y",$S145=""),"extension notice date missing; ","")&amp;IF(AND($R145&lt;&gt;"Y",$S145&lt;&gt;""),"notice date but Extended is not Y; ","")&amp;IF(AND($W145="Closed",$Y145=""),"closed without response date; ","")&amp;IF(AND($Y145&lt;&gt;"",$W145&lt;&gt;"Closed"),"response date but status not Closed; ","")&amp;IF(AND($Y145&lt;&gt;"",$B145&lt;&gt;"",$Y145&lt;$B145),"response before receipt; ","")&amp;IF(AND($AD145="Y",$AE145=""),"exemption needs a reason in Notes; ","")="","OK","Check: "&amp;IF(OR($B145="",$C145="",$D145="",$V145="",$W145=""),"missing required field; ","")&amp;IF(COUNTIF($A$2:$A$201,$A145)&gt;1,"duplicate ID; ","")&amp;IF(AND($B145&lt;&gt;"",$B145&gt;ReportDate),"received after snapshot date; ","")&amp;IF(AND($I145&lt;&gt;"",$B145&lt;&gt;"",$I145&lt;$B145),"acknowledged before receipt; ","")&amp;IF(AND($K145="Y",$L145="",$W145&lt;&gt;"Logged"),"ID requested date missing; ","")&amp;IF(AND($L145&lt;&gt;"",$M145&lt;&gt;"",$M145&lt;$L145),"ID dates out of order; ","")&amp;IF(AND($K145&lt;&gt;"Y",OR($L145&lt;&gt;"",$W145="Awaiting ID")),"ID fields used but ID_Check_Needed is not Y; ","")&amp;IF(AND($R145="Y",$S145=""),"extension notice date missing; ","")&amp;IF(AND($R145&lt;&gt;"Y",$S145&lt;&gt;""),"notice date but Extended is not Y; ","")&amp;IF(AND($W145="Closed",$Y145=""),"closed without response date; ","")&amp;IF(AND($Y145&lt;&gt;"",$W145&lt;&gt;"Closed"),"response date but status not Closed; ","")&amp;IF(AND($Y145&lt;&gt;"",$B145&lt;&gt;"",$Y145&lt;$B145),"response before receipt; ","")&amp;IF(AND($AD145="Y",$AE145=""),"exemption needs a reason in Notes; ","")))</f>
        <v/>
      </c>
    </row>
    <row r="146" spans="1:32" x14ac:dyDescent="0.35">
      <c r="A146" s="22"/>
      <c r="B146" s="23"/>
      <c r="C146" s="22"/>
      <c r="D146" s="22"/>
      <c r="E146" s="20" t="str">
        <f>IF($A146="","",IFERROR(VLOOKUP($D146,ReqTypes,2,FALSE),"?"))</f>
        <v/>
      </c>
      <c r="F146" s="20" t="str">
        <f>IF($A146="","",IFERROR(VLOOKUP($D146,ReqTypes,3,FALSE),"?"))</f>
        <v/>
      </c>
      <c r="G146" s="22"/>
      <c r="H146" s="22"/>
      <c r="I146" s="23"/>
      <c r="J146" s="20" t="str">
        <f>IF(OR($A146="",$I146=""),"",IF(NETWORKDAYS($B146,$I146,Holidays)-1&lt;=AckDays,"Y","N"))</f>
        <v/>
      </c>
      <c r="K146" s="22"/>
      <c r="L146" s="23"/>
      <c r="M146" s="23"/>
      <c r="N146" s="20" t="str">
        <f>IF(OR($A146="",$K146&lt;&gt;"Y"),"",IF($L146="","Pending",IF($L146-$B146&lt;=IDPromptDays,"Y","Check")))</f>
        <v/>
      </c>
      <c r="O146" s="20" t="str">
        <f>IF($A146="","",IF(OR($K146&lt;&gt;"Y",$L146=""),0,IF($M146="",MAX(0,ReportDate-$L146),$M146-$L146)))</f>
        <v/>
      </c>
      <c r="P146" s="21" t="str">
        <f>IF($A146="","",IF($F146&lt;&gt;"Y","n/a",WORKDAY(EDATE($B146,1)+$O146-1,1,Holidays)))</f>
        <v/>
      </c>
      <c r="Q146" s="21" t="str">
        <f>IF($A146="","",$B146+$O146+InternalDays)</f>
        <v/>
      </c>
      <c r="R146" s="22"/>
      <c r="S146" s="23"/>
      <c r="T146" s="20" t="str">
        <f t="shared" si="8"/>
        <v/>
      </c>
      <c r="U146" s="21" t="str">
        <f>IF($A146="","",IF($F146&lt;&gt;"Y",$Q146,IF(AND($R146="Y",$T146="Y"),WORKDAY(EDATE($B146,3)+$O146-1,1,Holidays),$P146)))</f>
        <v/>
      </c>
      <c r="V146" s="22"/>
      <c r="W146" s="22"/>
      <c r="X146" s="22"/>
      <c r="Y146" s="23"/>
      <c r="Z146" s="20" t="str">
        <f>IF($A146="","",IF($Y146&lt;&gt;"",$Y146-$B146,ReportDate-$B146))</f>
        <v/>
      </c>
      <c r="AA146" s="20" t="str">
        <f>IF(OR($A146="",$W146="Closed"),"",$U146-ReportDate)</f>
        <v/>
      </c>
      <c r="AB146" s="20" t="str">
        <f>IF($A146="","",IF($W146="Closed",IF($Y146&lt;=$U146,"Closed on time","Closed late"),IF($W146="Awaiting ID","Paused",IF($AA146&lt;0,"Overdue",IF($AA146&lt;=RedDays,"Red",IF($AA146&lt;=AmberDays,"Amber","Green"))))))</f>
        <v/>
      </c>
      <c r="AC146" s="20" t="str">
        <f t="shared" si="9"/>
        <v/>
      </c>
      <c r="AD146" s="22"/>
      <c r="AE146" s="22"/>
      <c r="AF146" s="20" t="str">
        <f>IF($A146="","",IF(IF(OR($B146="",$C146="",$D146="",$V146="",$W146=""),"missing required field; ","")&amp;IF(COUNTIF($A$2:$A$201,$A146)&gt;1,"duplicate ID; ","")&amp;IF(AND($B146&lt;&gt;"",$B146&gt;ReportDate),"received after snapshot date; ","")&amp;IF(AND($I146&lt;&gt;"",$B146&lt;&gt;"",$I146&lt;$B146),"acknowledged before receipt; ","")&amp;IF(AND($K146="Y",$L146="",$W146&lt;&gt;"Logged"),"ID requested date missing; ","")&amp;IF(AND($L146&lt;&gt;"",$M146&lt;&gt;"",$M146&lt;$L146),"ID dates out of order; ","")&amp;IF(AND($K146&lt;&gt;"Y",OR($L146&lt;&gt;"",$W146="Awaiting ID")),"ID fields used but ID_Check_Needed is not Y; ","")&amp;IF(AND($R146="Y",$S146=""),"extension notice date missing; ","")&amp;IF(AND($R146&lt;&gt;"Y",$S146&lt;&gt;""),"notice date but Extended is not Y; ","")&amp;IF(AND($W146="Closed",$Y146=""),"closed without response date; ","")&amp;IF(AND($Y146&lt;&gt;"",$W146&lt;&gt;"Closed"),"response date but status not Closed; ","")&amp;IF(AND($Y146&lt;&gt;"",$B146&lt;&gt;"",$Y146&lt;$B146),"response before receipt; ","")&amp;IF(AND($AD146="Y",$AE146=""),"exemption needs a reason in Notes; ","")="","OK","Check: "&amp;IF(OR($B146="",$C146="",$D146="",$V146="",$W146=""),"missing required field; ","")&amp;IF(COUNTIF($A$2:$A$201,$A146)&gt;1,"duplicate ID; ","")&amp;IF(AND($B146&lt;&gt;"",$B146&gt;ReportDate),"received after snapshot date; ","")&amp;IF(AND($I146&lt;&gt;"",$B146&lt;&gt;"",$I146&lt;$B146),"acknowledged before receipt; ","")&amp;IF(AND($K146="Y",$L146="",$W146&lt;&gt;"Logged"),"ID requested date missing; ","")&amp;IF(AND($L146&lt;&gt;"",$M146&lt;&gt;"",$M146&lt;$L146),"ID dates out of order; ","")&amp;IF(AND($K146&lt;&gt;"Y",OR($L146&lt;&gt;"",$W146="Awaiting ID")),"ID fields used but ID_Check_Needed is not Y; ","")&amp;IF(AND($R146="Y",$S146=""),"extension notice date missing; ","")&amp;IF(AND($R146&lt;&gt;"Y",$S146&lt;&gt;""),"notice date but Extended is not Y; ","")&amp;IF(AND($W146="Closed",$Y146=""),"closed without response date; ","")&amp;IF(AND($Y146&lt;&gt;"",$W146&lt;&gt;"Closed"),"response date but status not Closed; ","")&amp;IF(AND($Y146&lt;&gt;"",$B146&lt;&gt;"",$Y146&lt;$B146),"response before receipt; ","")&amp;IF(AND($AD146="Y",$AE146=""),"exemption needs a reason in Notes; ","")))</f>
        <v/>
      </c>
    </row>
    <row r="147" spans="1:32" x14ac:dyDescent="0.35">
      <c r="A147" s="22"/>
      <c r="B147" s="23"/>
      <c r="C147" s="22"/>
      <c r="D147" s="22"/>
      <c r="E147" s="20" t="str">
        <f>IF($A147="","",IFERROR(VLOOKUP($D147,ReqTypes,2,FALSE),"?"))</f>
        <v/>
      </c>
      <c r="F147" s="20" t="str">
        <f>IF($A147="","",IFERROR(VLOOKUP($D147,ReqTypes,3,FALSE),"?"))</f>
        <v/>
      </c>
      <c r="G147" s="22"/>
      <c r="H147" s="22"/>
      <c r="I147" s="23"/>
      <c r="J147" s="20" t="str">
        <f>IF(OR($A147="",$I147=""),"",IF(NETWORKDAYS($B147,$I147,Holidays)-1&lt;=AckDays,"Y","N"))</f>
        <v/>
      </c>
      <c r="K147" s="22"/>
      <c r="L147" s="23"/>
      <c r="M147" s="23"/>
      <c r="N147" s="20" t="str">
        <f>IF(OR($A147="",$K147&lt;&gt;"Y"),"",IF($L147="","Pending",IF($L147-$B147&lt;=IDPromptDays,"Y","Check")))</f>
        <v/>
      </c>
      <c r="O147" s="20" t="str">
        <f>IF($A147="","",IF(OR($K147&lt;&gt;"Y",$L147=""),0,IF($M147="",MAX(0,ReportDate-$L147),$M147-$L147)))</f>
        <v/>
      </c>
      <c r="P147" s="21" t="str">
        <f>IF($A147="","",IF($F147&lt;&gt;"Y","n/a",WORKDAY(EDATE($B147,1)+$O147-1,1,Holidays)))</f>
        <v/>
      </c>
      <c r="Q147" s="21" t="str">
        <f>IF($A147="","",$B147+$O147+InternalDays)</f>
        <v/>
      </c>
      <c r="R147" s="22"/>
      <c r="S147" s="23"/>
      <c r="T147" s="20" t="str">
        <f t="shared" si="8"/>
        <v/>
      </c>
      <c r="U147" s="21" t="str">
        <f>IF($A147="","",IF($F147&lt;&gt;"Y",$Q147,IF(AND($R147="Y",$T147="Y"),WORKDAY(EDATE($B147,3)+$O147-1,1,Holidays),$P147)))</f>
        <v/>
      </c>
      <c r="V147" s="22"/>
      <c r="W147" s="22"/>
      <c r="X147" s="22"/>
      <c r="Y147" s="23"/>
      <c r="Z147" s="20" t="str">
        <f>IF($A147="","",IF($Y147&lt;&gt;"",$Y147-$B147,ReportDate-$B147))</f>
        <v/>
      </c>
      <c r="AA147" s="20" t="str">
        <f>IF(OR($A147="",$W147="Closed"),"",$U147-ReportDate)</f>
        <v/>
      </c>
      <c r="AB147" s="20" t="str">
        <f>IF($A147="","",IF($W147="Closed",IF($Y147&lt;=$U147,"Closed on time","Closed late"),IF($W147="Awaiting ID","Paused",IF($AA147&lt;0,"Overdue",IF($AA147&lt;=RedDays,"Red",IF($AA147&lt;=AmberDays,"Amber","Green"))))))</f>
        <v/>
      </c>
      <c r="AC147" s="20" t="str">
        <f t="shared" si="9"/>
        <v/>
      </c>
      <c r="AD147" s="22"/>
      <c r="AE147" s="22"/>
      <c r="AF147" s="20" t="str">
        <f>IF($A147="","",IF(IF(OR($B147="",$C147="",$D147="",$V147="",$W147=""),"missing required field; ","")&amp;IF(COUNTIF($A$2:$A$201,$A147)&gt;1,"duplicate ID; ","")&amp;IF(AND($B147&lt;&gt;"",$B147&gt;ReportDate),"received after snapshot date; ","")&amp;IF(AND($I147&lt;&gt;"",$B147&lt;&gt;"",$I147&lt;$B147),"acknowledged before receipt; ","")&amp;IF(AND($K147="Y",$L147="",$W147&lt;&gt;"Logged"),"ID requested date missing; ","")&amp;IF(AND($L147&lt;&gt;"",$M147&lt;&gt;"",$M147&lt;$L147),"ID dates out of order; ","")&amp;IF(AND($K147&lt;&gt;"Y",OR($L147&lt;&gt;"",$W147="Awaiting ID")),"ID fields used but ID_Check_Needed is not Y; ","")&amp;IF(AND($R147="Y",$S147=""),"extension notice date missing; ","")&amp;IF(AND($R147&lt;&gt;"Y",$S147&lt;&gt;""),"notice date but Extended is not Y; ","")&amp;IF(AND($W147="Closed",$Y147=""),"closed without response date; ","")&amp;IF(AND($Y147&lt;&gt;"",$W147&lt;&gt;"Closed"),"response date but status not Closed; ","")&amp;IF(AND($Y147&lt;&gt;"",$B147&lt;&gt;"",$Y147&lt;$B147),"response before receipt; ","")&amp;IF(AND($AD147="Y",$AE147=""),"exemption needs a reason in Notes; ","")="","OK","Check: "&amp;IF(OR($B147="",$C147="",$D147="",$V147="",$W147=""),"missing required field; ","")&amp;IF(COUNTIF($A$2:$A$201,$A147)&gt;1,"duplicate ID; ","")&amp;IF(AND($B147&lt;&gt;"",$B147&gt;ReportDate),"received after snapshot date; ","")&amp;IF(AND($I147&lt;&gt;"",$B147&lt;&gt;"",$I147&lt;$B147),"acknowledged before receipt; ","")&amp;IF(AND($K147="Y",$L147="",$W147&lt;&gt;"Logged"),"ID requested date missing; ","")&amp;IF(AND($L147&lt;&gt;"",$M147&lt;&gt;"",$M147&lt;$L147),"ID dates out of order; ","")&amp;IF(AND($K147&lt;&gt;"Y",OR($L147&lt;&gt;"",$W147="Awaiting ID")),"ID fields used but ID_Check_Needed is not Y; ","")&amp;IF(AND($R147="Y",$S147=""),"extension notice date missing; ","")&amp;IF(AND($R147&lt;&gt;"Y",$S147&lt;&gt;""),"notice date but Extended is not Y; ","")&amp;IF(AND($W147="Closed",$Y147=""),"closed without response date; ","")&amp;IF(AND($Y147&lt;&gt;"",$W147&lt;&gt;"Closed"),"response date but status not Closed; ","")&amp;IF(AND($Y147&lt;&gt;"",$B147&lt;&gt;"",$Y147&lt;$B147),"response before receipt; ","")&amp;IF(AND($AD147="Y",$AE147=""),"exemption needs a reason in Notes; ","")))</f>
        <v/>
      </c>
    </row>
    <row r="148" spans="1:32" x14ac:dyDescent="0.35">
      <c r="A148" s="22"/>
      <c r="B148" s="23"/>
      <c r="C148" s="22"/>
      <c r="D148" s="22"/>
      <c r="E148" s="20" t="str">
        <f>IF($A148="","",IFERROR(VLOOKUP($D148,ReqTypes,2,FALSE),"?"))</f>
        <v/>
      </c>
      <c r="F148" s="20" t="str">
        <f>IF($A148="","",IFERROR(VLOOKUP($D148,ReqTypes,3,FALSE),"?"))</f>
        <v/>
      </c>
      <c r="G148" s="22"/>
      <c r="H148" s="22"/>
      <c r="I148" s="23"/>
      <c r="J148" s="20" t="str">
        <f>IF(OR($A148="",$I148=""),"",IF(NETWORKDAYS($B148,$I148,Holidays)-1&lt;=AckDays,"Y","N"))</f>
        <v/>
      </c>
      <c r="K148" s="22"/>
      <c r="L148" s="23"/>
      <c r="M148" s="23"/>
      <c r="N148" s="20" t="str">
        <f>IF(OR($A148="",$K148&lt;&gt;"Y"),"",IF($L148="","Pending",IF($L148-$B148&lt;=IDPromptDays,"Y","Check")))</f>
        <v/>
      </c>
      <c r="O148" s="20" t="str">
        <f>IF($A148="","",IF(OR($K148&lt;&gt;"Y",$L148=""),0,IF($M148="",MAX(0,ReportDate-$L148),$M148-$L148)))</f>
        <v/>
      </c>
      <c r="P148" s="21" t="str">
        <f>IF($A148="","",IF($F148&lt;&gt;"Y","n/a",WORKDAY(EDATE($B148,1)+$O148-1,1,Holidays)))</f>
        <v/>
      </c>
      <c r="Q148" s="21" t="str">
        <f>IF($A148="","",$B148+$O148+InternalDays)</f>
        <v/>
      </c>
      <c r="R148" s="22"/>
      <c r="S148" s="23"/>
      <c r="T148" s="20" t="str">
        <f t="shared" si="8"/>
        <v/>
      </c>
      <c r="U148" s="21" t="str">
        <f>IF($A148="","",IF($F148&lt;&gt;"Y",$Q148,IF(AND($R148="Y",$T148="Y"),WORKDAY(EDATE($B148,3)+$O148-1,1,Holidays),$P148)))</f>
        <v/>
      </c>
      <c r="V148" s="22"/>
      <c r="W148" s="22"/>
      <c r="X148" s="22"/>
      <c r="Y148" s="23"/>
      <c r="Z148" s="20" t="str">
        <f>IF($A148="","",IF($Y148&lt;&gt;"",$Y148-$B148,ReportDate-$B148))</f>
        <v/>
      </c>
      <c r="AA148" s="20" t="str">
        <f>IF(OR($A148="",$W148="Closed"),"",$U148-ReportDate)</f>
        <v/>
      </c>
      <c r="AB148" s="20" t="str">
        <f>IF($A148="","",IF($W148="Closed",IF($Y148&lt;=$U148,"Closed on time","Closed late"),IF($W148="Awaiting ID","Paused",IF($AA148&lt;0,"Overdue",IF($AA148&lt;=RedDays,"Red",IF($AA148&lt;=AmberDays,"Amber","Green"))))))</f>
        <v/>
      </c>
      <c r="AC148" s="20" t="str">
        <f t="shared" si="9"/>
        <v/>
      </c>
      <c r="AD148" s="22"/>
      <c r="AE148" s="22"/>
      <c r="AF148" s="20" t="str">
        <f>IF($A148="","",IF(IF(OR($B148="",$C148="",$D148="",$V148="",$W148=""),"missing required field; ","")&amp;IF(COUNTIF($A$2:$A$201,$A148)&gt;1,"duplicate ID; ","")&amp;IF(AND($B148&lt;&gt;"",$B148&gt;ReportDate),"received after snapshot date; ","")&amp;IF(AND($I148&lt;&gt;"",$B148&lt;&gt;"",$I148&lt;$B148),"acknowledged before receipt; ","")&amp;IF(AND($K148="Y",$L148="",$W148&lt;&gt;"Logged"),"ID requested date missing; ","")&amp;IF(AND($L148&lt;&gt;"",$M148&lt;&gt;"",$M148&lt;$L148),"ID dates out of order; ","")&amp;IF(AND($K148&lt;&gt;"Y",OR($L148&lt;&gt;"",$W148="Awaiting ID")),"ID fields used but ID_Check_Needed is not Y; ","")&amp;IF(AND($R148="Y",$S148=""),"extension notice date missing; ","")&amp;IF(AND($R148&lt;&gt;"Y",$S148&lt;&gt;""),"notice date but Extended is not Y; ","")&amp;IF(AND($W148="Closed",$Y148=""),"closed without response date; ","")&amp;IF(AND($Y148&lt;&gt;"",$W148&lt;&gt;"Closed"),"response date but status not Closed; ","")&amp;IF(AND($Y148&lt;&gt;"",$B148&lt;&gt;"",$Y148&lt;$B148),"response before receipt; ","")&amp;IF(AND($AD148="Y",$AE148=""),"exemption needs a reason in Notes; ","")="","OK","Check: "&amp;IF(OR($B148="",$C148="",$D148="",$V148="",$W148=""),"missing required field; ","")&amp;IF(COUNTIF($A$2:$A$201,$A148)&gt;1,"duplicate ID; ","")&amp;IF(AND($B148&lt;&gt;"",$B148&gt;ReportDate),"received after snapshot date; ","")&amp;IF(AND($I148&lt;&gt;"",$B148&lt;&gt;"",$I148&lt;$B148),"acknowledged before receipt; ","")&amp;IF(AND($K148="Y",$L148="",$W148&lt;&gt;"Logged"),"ID requested date missing; ","")&amp;IF(AND($L148&lt;&gt;"",$M148&lt;&gt;"",$M148&lt;$L148),"ID dates out of order; ","")&amp;IF(AND($K148&lt;&gt;"Y",OR($L148&lt;&gt;"",$W148="Awaiting ID")),"ID fields used but ID_Check_Needed is not Y; ","")&amp;IF(AND($R148="Y",$S148=""),"extension notice date missing; ","")&amp;IF(AND($R148&lt;&gt;"Y",$S148&lt;&gt;""),"notice date but Extended is not Y; ","")&amp;IF(AND($W148="Closed",$Y148=""),"closed without response date; ","")&amp;IF(AND($Y148&lt;&gt;"",$W148&lt;&gt;"Closed"),"response date but status not Closed; ","")&amp;IF(AND($Y148&lt;&gt;"",$B148&lt;&gt;"",$Y148&lt;$B148),"response before receipt; ","")&amp;IF(AND($AD148="Y",$AE148=""),"exemption needs a reason in Notes; ","")))</f>
        <v/>
      </c>
    </row>
    <row r="149" spans="1:32" x14ac:dyDescent="0.35">
      <c r="A149" s="22"/>
      <c r="B149" s="23"/>
      <c r="C149" s="22"/>
      <c r="D149" s="22"/>
      <c r="E149" s="20" t="str">
        <f>IF($A149="","",IFERROR(VLOOKUP($D149,ReqTypes,2,FALSE),"?"))</f>
        <v/>
      </c>
      <c r="F149" s="20" t="str">
        <f>IF($A149="","",IFERROR(VLOOKUP($D149,ReqTypes,3,FALSE),"?"))</f>
        <v/>
      </c>
      <c r="G149" s="22"/>
      <c r="H149" s="22"/>
      <c r="I149" s="23"/>
      <c r="J149" s="20" t="str">
        <f>IF(OR($A149="",$I149=""),"",IF(NETWORKDAYS($B149,$I149,Holidays)-1&lt;=AckDays,"Y","N"))</f>
        <v/>
      </c>
      <c r="K149" s="22"/>
      <c r="L149" s="23"/>
      <c r="M149" s="23"/>
      <c r="N149" s="20" t="str">
        <f>IF(OR($A149="",$K149&lt;&gt;"Y"),"",IF($L149="","Pending",IF($L149-$B149&lt;=IDPromptDays,"Y","Check")))</f>
        <v/>
      </c>
      <c r="O149" s="20" t="str">
        <f>IF($A149="","",IF(OR($K149&lt;&gt;"Y",$L149=""),0,IF($M149="",MAX(0,ReportDate-$L149),$M149-$L149)))</f>
        <v/>
      </c>
      <c r="P149" s="21" t="str">
        <f>IF($A149="","",IF($F149&lt;&gt;"Y","n/a",WORKDAY(EDATE($B149,1)+$O149-1,1,Holidays)))</f>
        <v/>
      </c>
      <c r="Q149" s="21" t="str">
        <f>IF($A149="","",$B149+$O149+InternalDays)</f>
        <v/>
      </c>
      <c r="R149" s="22"/>
      <c r="S149" s="23"/>
      <c r="T149" s="20" t="str">
        <f t="shared" si="8"/>
        <v/>
      </c>
      <c r="U149" s="21" t="str">
        <f>IF($A149="","",IF($F149&lt;&gt;"Y",$Q149,IF(AND($R149="Y",$T149="Y"),WORKDAY(EDATE($B149,3)+$O149-1,1,Holidays),$P149)))</f>
        <v/>
      </c>
      <c r="V149" s="22"/>
      <c r="W149" s="22"/>
      <c r="X149" s="22"/>
      <c r="Y149" s="23"/>
      <c r="Z149" s="20" t="str">
        <f>IF($A149="","",IF($Y149&lt;&gt;"",$Y149-$B149,ReportDate-$B149))</f>
        <v/>
      </c>
      <c r="AA149" s="20" t="str">
        <f>IF(OR($A149="",$W149="Closed"),"",$U149-ReportDate)</f>
        <v/>
      </c>
      <c r="AB149" s="20" t="str">
        <f>IF($A149="","",IF($W149="Closed",IF($Y149&lt;=$U149,"Closed on time","Closed late"),IF($W149="Awaiting ID","Paused",IF($AA149&lt;0,"Overdue",IF($AA149&lt;=RedDays,"Red",IF($AA149&lt;=AmberDays,"Amber","Green"))))))</f>
        <v/>
      </c>
      <c r="AC149" s="20" t="str">
        <f t="shared" si="9"/>
        <v/>
      </c>
      <c r="AD149" s="22"/>
      <c r="AE149" s="22"/>
      <c r="AF149" s="20" t="str">
        <f>IF($A149="","",IF(IF(OR($B149="",$C149="",$D149="",$V149="",$W149=""),"missing required field; ","")&amp;IF(COUNTIF($A$2:$A$201,$A149)&gt;1,"duplicate ID; ","")&amp;IF(AND($B149&lt;&gt;"",$B149&gt;ReportDate),"received after snapshot date; ","")&amp;IF(AND($I149&lt;&gt;"",$B149&lt;&gt;"",$I149&lt;$B149),"acknowledged before receipt; ","")&amp;IF(AND($K149="Y",$L149="",$W149&lt;&gt;"Logged"),"ID requested date missing; ","")&amp;IF(AND($L149&lt;&gt;"",$M149&lt;&gt;"",$M149&lt;$L149),"ID dates out of order; ","")&amp;IF(AND($K149&lt;&gt;"Y",OR($L149&lt;&gt;"",$W149="Awaiting ID")),"ID fields used but ID_Check_Needed is not Y; ","")&amp;IF(AND($R149="Y",$S149=""),"extension notice date missing; ","")&amp;IF(AND($R149&lt;&gt;"Y",$S149&lt;&gt;""),"notice date but Extended is not Y; ","")&amp;IF(AND($W149="Closed",$Y149=""),"closed without response date; ","")&amp;IF(AND($Y149&lt;&gt;"",$W149&lt;&gt;"Closed"),"response date but status not Closed; ","")&amp;IF(AND($Y149&lt;&gt;"",$B149&lt;&gt;"",$Y149&lt;$B149),"response before receipt; ","")&amp;IF(AND($AD149="Y",$AE149=""),"exemption needs a reason in Notes; ","")="","OK","Check: "&amp;IF(OR($B149="",$C149="",$D149="",$V149="",$W149=""),"missing required field; ","")&amp;IF(COUNTIF($A$2:$A$201,$A149)&gt;1,"duplicate ID; ","")&amp;IF(AND($B149&lt;&gt;"",$B149&gt;ReportDate),"received after snapshot date; ","")&amp;IF(AND($I149&lt;&gt;"",$B149&lt;&gt;"",$I149&lt;$B149),"acknowledged before receipt; ","")&amp;IF(AND($K149="Y",$L149="",$W149&lt;&gt;"Logged"),"ID requested date missing; ","")&amp;IF(AND($L149&lt;&gt;"",$M149&lt;&gt;"",$M149&lt;$L149),"ID dates out of order; ","")&amp;IF(AND($K149&lt;&gt;"Y",OR($L149&lt;&gt;"",$W149="Awaiting ID")),"ID fields used but ID_Check_Needed is not Y; ","")&amp;IF(AND($R149="Y",$S149=""),"extension notice date missing; ","")&amp;IF(AND($R149&lt;&gt;"Y",$S149&lt;&gt;""),"notice date but Extended is not Y; ","")&amp;IF(AND($W149="Closed",$Y149=""),"closed without response date; ","")&amp;IF(AND($Y149&lt;&gt;"",$W149&lt;&gt;"Closed"),"response date but status not Closed; ","")&amp;IF(AND($Y149&lt;&gt;"",$B149&lt;&gt;"",$Y149&lt;$B149),"response before receipt; ","")&amp;IF(AND($AD149="Y",$AE149=""),"exemption needs a reason in Notes; ","")))</f>
        <v/>
      </c>
    </row>
    <row r="150" spans="1:32" x14ac:dyDescent="0.35">
      <c r="A150" s="22"/>
      <c r="B150" s="23"/>
      <c r="C150" s="22"/>
      <c r="D150" s="22"/>
      <c r="E150" s="20" t="str">
        <f>IF($A150="","",IFERROR(VLOOKUP($D150,ReqTypes,2,FALSE),"?"))</f>
        <v/>
      </c>
      <c r="F150" s="20" t="str">
        <f>IF($A150="","",IFERROR(VLOOKUP($D150,ReqTypes,3,FALSE),"?"))</f>
        <v/>
      </c>
      <c r="G150" s="22"/>
      <c r="H150" s="22"/>
      <c r="I150" s="23"/>
      <c r="J150" s="20" t="str">
        <f>IF(OR($A150="",$I150=""),"",IF(NETWORKDAYS($B150,$I150,Holidays)-1&lt;=AckDays,"Y","N"))</f>
        <v/>
      </c>
      <c r="K150" s="22"/>
      <c r="L150" s="23"/>
      <c r="M150" s="23"/>
      <c r="N150" s="20" t="str">
        <f>IF(OR($A150="",$K150&lt;&gt;"Y"),"",IF($L150="","Pending",IF($L150-$B150&lt;=IDPromptDays,"Y","Check")))</f>
        <v/>
      </c>
      <c r="O150" s="20" t="str">
        <f>IF($A150="","",IF(OR($K150&lt;&gt;"Y",$L150=""),0,IF($M150="",MAX(0,ReportDate-$L150),$M150-$L150)))</f>
        <v/>
      </c>
      <c r="P150" s="21" t="str">
        <f>IF($A150="","",IF($F150&lt;&gt;"Y","n/a",WORKDAY(EDATE($B150,1)+$O150-1,1,Holidays)))</f>
        <v/>
      </c>
      <c r="Q150" s="21" t="str">
        <f>IF($A150="","",$B150+$O150+InternalDays)</f>
        <v/>
      </c>
      <c r="R150" s="22"/>
      <c r="S150" s="23"/>
      <c r="T150" s="20" t="str">
        <f t="shared" si="8"/>
        <v/>
      </c>
      <c r="U150" s="21" t="str">
        <f>IF($A150="","",IF($F150&lt;&gt;"Y",$Q150,IF(AND($R150="Y",$T150="Y"),WORKDAY(EDATE($B150,3)+$O150-1,1,Holidays),$P150)))</f>
        <v/>
      </c>
      <c r="V150" s="22"/>
      <c r="W150" s="22"/>
      <c r="X150" s="22"/>
      <c r="Y150" s="23"/>
      <c r="Z150" s="20" t="str">
        <f>IF($A150="","",IF($Y150&lt;&gt;"",$Y150-$B150,ReportDate-$B150))</f>
        <v/>
      </c>
      <c r="AA150" s="20" t="str">
        <f>IF(OR($A150="",$W150="Closed"),"",$U150-ReportDate)</f>
        <v/>
      </c>
      <c r="AB150" s="20" t="str">
        <f>IF($A150="","",IF($W150="Closed",IF($Y150&lt;=$U150,"Closed on time","Closed late"),IF($W150="Awaiting ID","Paused",IF($AA150&lt;0,"Overdue",IF($AA150&lt;=RedDays,"Red",IF($AA150&lt;=AmberDays,"Amber","Green"))))))</f>
        <v/>
      </c>
      <c r="AC150" s="20" t="str">
        <f t="shared" si="9"/>
        <v/>
      </c>
      <c r="AD150" s="22"/>
      <c r="AE150" s="22"/>
      <c r="AF150" s="20" t="str">
        <f>IF($A150="","",IF(IF(OR($B150="",$C150="",$D150="",$V150="",$W150=""),"missing required field; ","")&amp;IF(COUNTIF($A$2:$A$201,$A150)&gt;1,"duplicate ID; ","")&amp;IF(AND($B150&lt;&gt;"",$B150&gt;ReportDate),"received after snapshot date; ","")&amp;IF(AND($I150&lt;&gt;"",$B150&lt;&gt;"",$I150&lt;$B150),"acknowledged before receipt; ","")&amp;IF(AND($K150="Y",$L150="",$W150&lt;&gt;"Logged"),"ID requested date missing; ","")&amp;IF(AND($L150&lt;&gt;"",$M150&lt;&gt;"",$M150&lt;$L150),"ID dates out of order; ","")&amp;IF(AND($K150&lt;&gt;"Y",OR($L150&lt;&gt;"",$W150="Awaiting ID")),"ID fields used but ID_Check_Needed is not Y; ","")&amp;IF(AND($R150="Y",$S150=""),"extension notice date missing; ","")&amp;IF(AND($R150&lt;&gt;"Y",$S150&lt;&gt;""),"notice date but Extended is not Y; ","")&amp;IF(AND($W150="Closed",$Y150=""),"closed without response date; ","")&amp;IF(AND($Y150&lt;&gt;"",$W150&lt;&gt;"Closed"),"response date but status not Closed; ","")&amp;IF(AND($Y150&lt;&gt;"",$B150&lt;&gt;"",$Y150&lt;$B150),"response before receipt; ","")&amp;IF(AND($AD150="Y",$AE150=""),"exemption needs a reason in Notes; ","")="","OK","Check: "&amp;IF(OR($B150="",$C150="",$D150="",$V150="",$W150=""),"missing required field; ","")&amp;IF(COUNTIF($A$2:$A$201,$A150)&gt;1,"duplicate ID; ","")&amp;IF(AND($B150&lt;&gt;"",$B150&gt;ReportDate),"received after snapshot date; ","")&amp;IF(AND($I150&lt;&gt;"",$B150&lt;&gt;"",$I150&lt;$B150),"acknowledged before receipt; ","")&amp;IF(AND($K150="Y",$L150="",$W150&lt;&gt;"Logged"),"ID requested date missing; ","")&amp;IF(AND($L150&lt;&gt;"",$M150&lt;&gt;"",$M150&lt;$L150),"ID dates out of order; ","")&amp;IF(AND($K150&lt;&gt;"Y",OR($L150&lt;&gt;"",$W150="Awaiting ID")),"ID fields used but ID_Check_Needed is not Y; ","")&amp;IF(AND($R150="Y",$S150=""),"extension notice date missing; ","")&amp;IF(AND($R150&lt;&gt;"Y",$S150&lt;&gt;""),"notice date but Extended is not Y; ","")&amp;IF(AND($W150="Closed",$Y150=""),"closed without response date; ","")&amp;IF(AND($Y150&lt;&gt;"",$W150&lt;&gt;"Closed"),"response date but status not Closed; ","")&amp;IF(AND($Y150&lt;&gt;"",$B150&lt;&gt;"",$Y150&lt;$B150),"response before receipt; ","")&amp;IF(AND($AD150="Y",$AE150=""),"exemption needs a reason in Notes; ","")))</f>
        <v/>
      </c>
    </row>
    <row r="151" spans="1:32" x14ac:dyDescent="0.35">
      <c r="A151" s="22"/>
      <c r="B151" s="23"/>
      <c r="C151" s="22"/>
      <c r="D151" s="22"/>
      <c r="E151" s="20" t="str">
        <f>IF($A151="","",IFERROR(VLOOKUP($D151,ReqTypes,2,FALSE),"?"))</f>
        <v/>
      </c>
      <c r="F151" s="20" t="str">
        <f>IF($A151="","",IFERROR(VLOOKUP($D151,ReqTypes,3,FALSE),"?"))</f>
        <v/>
      </c>
      <c r="G151" s="22"/>
      <c r="H151" s="22"/>
      <c r="I151" s="23"/>
      <c r="J151" s="20" t="str">
        <f>IF(OR($A151="",$I151=""),"",IF(NETWORKDAYS($B151,$I151,Holidays)-1&lt;=AckDays,"Y","N"))</f>
        <v/>
      </c>
      <c r="K151" s="22"/>
      <c r="L151" s="23"/>
      <c r="M151" s="23"/>
      <c r="N151" s="20" t="str">
        <f>IF(OR($A151="",$K151&lt;&gt;"Y"),"",IF($L151="","Pending",IF($L151-$B151&lt;=IDPromptDays,"Y","Check")))</f>
        <v/>
      </c>
      <c r="O151" s="20" t="str">
        <f>IF($A151="","",IF(OR($K151&lt;&gt;"Y",$L151=""),0,IF($M151="",MAX(0,ReportDate-$L151),$M151-$L151)))</f>
        <v/>
      </c>
      <c r="P151" s="21" t="str">
        <f>IF($A151="","",IF($F151&lt;&gt;"Y","n/a",WORKDAY(EDATE($B151,1)+$O151-1,1,Holidays)))</f>
        <v/>
      </c>
      <c r="Q151" s="21" t="str">
        <f>IF($A151="","",$B151+$O151+InternalDays)</f>
        <v/>
      </c>
      <c r="R151" s="22"/>
      <c r="S151" s="23"/>
      <c r="T151" s="20" t="str">
        <f t="shared" si="8"/>
        <v/>
      </c>
      <c r="U151" s="21" t="str">
        <f>IF($A151="","",IF($F151&lt;&gt;"Y",$Q151,IF(AND($R151="Y",$T151="Y"),WORKDAY(EDATE($B151,3)+$O151-1,1,Holidays),$P151)))</f>
        <v/>
      </c>
      <c r="V151" s="22"/>
      <c r="W151" s="22"/>
      <c r="X151" s="22"/>
      <c r="Y151" s="23"/>
      <c r="Z151" s="20" t="str">
        <f>IF($A151="","",IF($Y151&lt;&gt;"",$Y151-$B151,ReportDate-$B151))</f>
        <v/>
      </c>
      <c r="AA151" s="20" t="str">
        <f>IF(OR($A151="",$W151="Closed"),"",$U151-ReportDate)</f>
        <v/>
      </c>
      <c r="AB151" s="20" t="str">
        <f>IF($A151="","",IF($W151="Closed",IF($Y151&lt;=$U151,"Closed on time","Closed late"),IF($W151="Awaiting ID","Paused",IF($AA151&lt;0,"Overdue",IF($AA151&lt;=RedDays,"Red",IF($AA151&lt;=AmberDays,"Amber","Green"))))))</f>
        <v/>
      </c>
      <c r="AC151" s="20" t="str">
        <f t="shared" si="9"/>
        <v/>
      </c>
      <c r="AD151" s="22"/>
      <c r="AE151" s="22"/>
      <c r="AF151" s="20" t="str">
        <f>IF($A151="","",IF(IF(OR($B151="",$C151="",$D151="",$V151="",$W151=""),"missing required field; ","")&amp;IF(COUNTIF($A$2:$A$201,$A151)&gt;1,"duplicate ID; ","")&amp;IF(AND($B151&lt;&gt;"",$B151&gt;ReportDate),"received after snapshot date; ","")&amp;IF(AND($I151&lt;&gt;"",$B151&lt;&gt;"",$I151&lt;$B151),"acknowledged before receipt; ","")&amp;IF(AND($K151="Y",$L151="",$W151&lt;&gt;"Logged"),"ID requested date missing; ","")&amp;IF(AND($L151&lt;&gt;"",$M151&lt;&gt;"",$M151&lt;$L151),"ID dates out of order; ","")&amp;IF(AND($K151&lt;&gt;"Y",OR($L151&lt;&gt;"",$W151="Awaiting ID")),"ID fields used but ID_Check_Needed is not Y; ","")&amp;IF(AND($R151="Y",$S151=""),"extension notice date missing; ","")&amp;IF(AND($R151&lt;&gt;"Y",$S151&lt;&gt;""),"notice date but Extended is not Y; ","")&amp;IF(AND($W151="Closed",$Y151=""),"closed without response date; ","")&amp;IF(AND($Y151&lt;&gt;"",$W151&lt;&gt;"Closed"),"response date but status not Closed; ","")&amp;IF(AND($Y151&lt;&gt;"",$B151&lt;&gt;"",$Y151&lt;$B151),"response before receipt; ","")&amp;IF(AND($AD151="Y",$AE151=""),"exemption needs a reason in Notes; ","")="","OK","Check: "&amp;IF(OR($B151="",$C151="",$D151="",$V151="",$W151=""),"missing required field; ","")&amp;IF(COUNTIF($A$2:$A$201,$A151)&gt;1,"duplicate ID; ","")&amp;IF(AND($B151&lt;&gt;"",$B151&gt;ReportDate),"received after snapshot date; ","")&amp;IF(AND($I151&lt;&gt;"",$B151&lt;&gt;"",$I151&lt;$B151),"acknowledged before receipt; ","")&amp;IF(AND($K151="Y",$L151="",$W151&lt;&gt;"Logged"),"ID requested date missing; ","")&amp;IF(AND($L151&lt;&gt;"",$M151&lt;&gt;"",$M151&lt;$L151),"ID dates out of order; ","")&amp;IF(AND($K151&lt;&gt;"Y",OR($L151&lt;&gt;"",$W151="Awaiting ID")),"ID fields used but ID_Check_Needed is not Y; ","")&amp;IF(AND($R151="Y",$S151=""),"extension notice date missing; ","")&amp;IF(AND($R151&lt;&gt;"Y",$S151&lt;&gt;""),"notice date but Extended is not Y; ","")&amp;IF(AND($W151="Closed",$Y151=""),"closed without response date; ","")&amp;IF(AND($Y151&lt;&gt;"",$W151&lt;&gt;"Closed"),"response date but status not Closed; ","")&amp;IF(AND($Y151&lt;&gt;"",$B151&lt;&gt;"",$Y151&lt;$B151),"response before receipt; ","")&amp;IF(AND($AD151="Y",$AE151=""),"exemption needs a reason in Notes; ","")))</f>
        <v/>
      </c>
    </row>
    <row r="152" spans="1:32" x14ac:dyDescent="0.35">
      <c r="A152" s="22"/>
      <c r="B152" s="23"/>
      <c r="C152" s="22"/>
      <c r="D152" s="22"/>
      <c r="E152" s="20" t="str">
        <f>IF($A152="","",IFERROR(VLOOKUP($D152,ReqTypes,2,FALSE),"?"))</f>
        <v/>
      </c>
      <c r="F152" s="20" t="str">
        <f>IF($A152="","",IFERROR(VLOOKUP($D152,ReqTypes,3,FALSE),"?"))</f>
        <v/>
      </c>
      <c r="G152" s="22"/>
      <c r="H152" s="22"/>
      <c r="I152" s="23"/>
      <c r="J152" s="20" t="str">
        <f>IF(OR($A152="",$I152=""),"",IF(NETWORKDAYS($B152,$I152,Holidays)-1&lt;=AckDays,"Y","N"))</f>
        <v/>
      </c>
      <c r="K152" s="22"/>
      <c r="L152" s="23"/>
      <c r="M152" s="23"/>
      <c r="N152" s="20" t="str">
        <f>IF(OR($A152="",$K152&lt;&gt;"Y"),"",IF($L152="","Pending",IF($L152-$B152&lt;=IDPromptDays,"Y","Check")))</f>
        <v/>
      </c>
      <c r="O152" s="20" t="str">
        <f>IF($A152="","",IF(OR($K152&lt;&gt;"Y",$L152=""),0,IF($M152="",MAX(0,ReportDate-$L152),$M152-$L152)))</f>
        <v/>
      </c>
      <c r="P152" s="21" t="str">
        <f>IF($A152="","",IF($F152&lt;&gt;"Y","n/a",WORKDAY(EDATE($B152,1)+$O152-1,1,Holidays)))</f>
        <v/>
      </c>
      <c r="Q152" s="21" t="str">
        <f>IF($A152="","",$B152+$O152+InternalDays)</f>
        <v/>
      </c>
      <c r="R152" s="22"/>
      <c r="S152" s="23"/>
      <c r="T152" s="20" t="str">
        <f t="shared" si="8"/>
        <v/>
      </c>
      <c r="U152" s="21" t="str">
        <f>IF($A152="","",IF($F152&lt;&gt;"Y",$Q152,IF(AND($R152="Y",$T152="Y"),WORKDAY(EDATE($B152,3)+$O152-1,1,Holidays),$P152)))</f>
        <v/>
      </c>
      <c r="V152" s="22"/>
      <c r="W152" s="22"/>
      <c r="X152" s="22"/>
      <c r="Y152" s="23"/>
      <c r="Z152" s="20" t="str">
        <f>IF($A152="","",IF($Y152&lt;&gt;"",$Y152-$B152,ReportDate-$B152))</f>
        <v/>
      </c>
      <c r="AA152" s="20" t="str">
        <f>IF(OR($A152="",$W152="Closed"),"",$U152-ReportDate)</f>
        <v/>
      </c>
      <c r="AB152" s="20" t="str">
        <f>IF($A152="","",IF($W152="Closed",IF($Y152&lt;=$U152,"Closed on time","Closed late"),IF($W152="Awaiting ID","Paused",IF($AA152&lt;0,"Overdue",IF($AA152&lt;=RedDays,"Red",IF($AA152&lt;=AmberDays,"Amber","Green"))))))</f>
        <v/>
      </c>
      <c r="AC152" s="20" t="str">
        <f t="shared" si="9"/>
        <v/>
      </c>
      <c r="AD152" s="22"/>
      <c r="AE152" s="22"/>
      <c r="AF152" s="20" t="str">
        <f>IF($A152="","",IF(IF(OR($B152="",$C152="",$D152="",$V152="",$W152=""),"missing required field; ","")&amp;IF(COUNTIF($A$2:$A$201,$A152)&gt;1,"duplicate ID; ","")&amp;IF(AND($B152&lt;&gt;"",$B152&gt;ReportDate),"received after snapshot date; ","")&amp;IF(AND($I152&lt;&gt;"",$B152&lt;&gt;"",$I152&lt;$B152),"acknowledged before receipt; ","")&amp;IF(AND($K152="Y",$L152="",$W152&lt;&gt;"Logged"),"ID requested date missing; ","")&amp;IF(AND($L152&lt;&gt;"",$M152&lt;&gt;"",$M152&lt;$L152),"ID dates out of order; ","")&amp;IF(AND($K152&lt;&gt;"Y",OR($L152&lt;&gt;"",$W152="Awaiting ID")),"ID fields used but ID_Check_Needed is not Y; ","")&amp;IF(AND($R152="Y",$S152=""),"extension notice date missing; ","")&amp;IF(AND($R152&lt;&gt;"Y",$S152&lt;&gt;""),"notice date but Extended is not Y; ","")&amp;IF(AND($W152="Closed",$Y152=""),"closed without response date; ","")&amp;IF(AND($Y152&lt;&gt;"",$W152&lt;&gt;"Closed"),"response date but status not Closed; ","")&amp;IF(AND($Y152&lt;&gt;"",$B152&lt;&gt;"",$Y152&lt;$B152),"response before receipt; ","")&amp;IF(AND($AD152="Y",$AE152=""),"exemption needs a reason in Notes; ","")="","OK","Check: "&amp;IF(OR($B152="",$C152="",$D152="",$V152="",$W152=""),"missing required field; ","")&amp;IF(COUNTIF($A$2:$A$201,$A152)&gt;1,"duplicate ID; ","")&amp;IF(AND($B152&lt;&gt;"",$B152&gt;ReportDate),"received after snapshot date; ","")&amp;IF(AND($I152&lt;&gt;"",$B152&lt;&gt;"",$I152&lt;$B152),"acknowledged before receipt; ","")&amp;IF(AND($K152="Y",$L152="",$W152&lt;&gt;"Logged"),"ID requested date missing; ","")&amp;IF(AND($L152&lt;&gt;"",$M152&lt;&gt;"",$M152&lt;$L152),"ID dates out of order; ","")&amp;IF(AND($K152&lt;&gt;"Y",OR($L152&lt;&gt;"",$W152="Awaiting ID")),"ID fields used but ID_Check_Needed is not Y; ","")&amp;IF(AND($R152="Y",$S152=""),"extension notice date missing; ","")&amp;IF(AND($R152&lt;&gt;"Y",$S152&lt;&gt;""),"notice date but Extended is not Y; ","")&amp;IF(AND($W152="Closed",$Y152=""),"closed without response date; ","")&amp;IF(AND($Y152&lt;&gt;"",$W152&lt;&gt;"Closed"),"response date but status not Closed; ","")&amp;IF(AND($Y152&lt;&gt;"",$B152&lt;&gt;"",$Y152&lt;$B152),"response before receipt; ","")&amp;IF(AND($AD152="Y",$AE152=""),"exemption needs a reason in Notes; ","")))</f>
        <v/>
      </c>
    </row>
    <row r="153" spans="1:32" x14ac:dyDescent="0.35">
      <c r="A153" s="22"/>
      <c r="B153" s="23"/>
      <c r="C153" s="22"/>
      <c r="D153" s="22"/>
      <c r="E153" s="20" t="str">
        <f>IF($A153="","",IFERROR(VLOOKUP($D153,ReqTypes,2,FALSE),"?"))</f>
        <v/>
      </c>
      <c r="F153" s="20" t="str">
        <f>IF($A153="","",IFERROR(VLOOKUP($D153,ReqTypes,3,FALSE),"?"))</f>
        <v/>
      </c>
      <c r="G153" s="22"/>
      <c r="H153" s="22"/>
      <c r="I153" s="23"/>
      <c r="J153" s="20" t="str">
        <f>IF(OR($A153="",$I153=""),"",IF(NETWORKDAYS($B153,$I153,Holidays)-1&lt;=AckDays,"Y","N"))</f>
        <v/>
      </c>
      <c r="K153" s="22"/>
      <c r="L153" s="23"/>
      <c r="M153" s="23"/>
      <c r="N153" s="20" t="str">
        <f>IF(OR($A153="",$K153&lt;&gt;"Y"),"",IF($L153="","Pending",IF($L153-$B153&lt;=IDPromptDays,"Y","Check")))</f>
        <v/>
      </c>
      <c r="O153" s="20" t="str">
        <f>IF($A153="","",IF(OR($K153&lt;&gt;"Y",$L153=""),0,IF($M153="",MAX(0,ReportDate-$L153),$M153-$L153)))</f>
        <v/>
      </c>
      <c r="P153" s="21" t="str">
        <f>IF($A153="","",IF($F153&lt;&gt;"Y","n/a",WORKDAY(EDATE($B153,1)+$O153-1,1,Holidays)))</f>
        <v/>
      </c>
      <c r="Q153" s="21" t="str">
        <f>IF($A153="","",$B153+$O153+InternalDays)</f>
        <v/>
      </c>
      <c r="R153" s="22"/>
      <c r="S153" s="23"/>
      <c r="T153" s="20" t="str">
        <f t="shared" si="8"/>
        <v/>
      </c>
      <c r="U153" s="21" t="str">
        <f>IF($A153="","",IF($F153&lt;&gt;"Y",$Q153,IF(AND($R153="Y",$T153="Y"),WORKDAY(EDATE($B153,3)+$O153-1,1,Holidays),$P153)))</f>
        <v/>
      </c>
      <c r="V153" s="22"/>
      <c r="W153" s="22"/>
      <c r="X153" s="22"/>
      <c r="Y153" s="23"/>
      <c r="Z153" s="20" t="str">
        <f>IF($A153="","",IF($Y153&lt;&gt;"",$Y153-$B153,ReportDate-$B153))</f>
        <v/>
      </c>
      <c r="AA153" s="20" t="str">
        <f>IF(OR($A153="",$W153="Closed"),"",$U153-ReportDate)</f>
        <v/>
      </c>
      <c r="AB153" s="20" t="str">
        <f>IF($A153="","",IF($W153="Closed",IF($Y153&lt;=$U153,"Closed on time","Closed late"),IF($W153="Awaiting ID","Paused",IF($AA153&lt;0,"Overdue",IF($AA153&lt;=RedDays,"Red",IF($AA153&lt;=AmberDays,"Amber","Green"))))))</f>
        <v/>
      </c>
      <c r="AC153" s="20" t="str">
        <f t="shared" si="9"/>
        <v/>
      </c>
      <c r="AD153" s="22"/>
      <c r="AE153" s="22"/>
      <c r="AF153" s="20" t="str">
        <f>IF($A153="","",IF(IF(OR($B153="",$C153="",$D153="",$V153="",$W153=""),"missing required field; ","")&amp;IF(COUNTIF($A$2:$A$201,$A153)&gt;1,"duplicate ID; ","")&amp;IF(AND($B153&lt;&gt;"",$B153&gt;ReportDate),"received after snapshot date; ","")&amp;IF(AND($I153&lt;&gt;"",$B153&lt;&gt;"",$I153&lt;$B153),"acknowledged before receipt; ","")&amp;IF(AND($K153="Y",$L153="",$W153&lt;&gt;"Logged"),"ID requested date missing; ","")&amp;IF(AND($L153&lt;&gt;"",$M153&lt;&gt;"",$M153&lt;$L153),"ID dates out of order; ","")&amp;IF(AND($K153&lt;&gt;"Y",OR($L153&lt;&gt;"",$W153="Awaiting ID")),"ID fields used but ID_Check_Needed is not Y; ","")&amp;IF(AND($R153="Y",$S153=""),"extension notice date missing; ","")&amp;IF(AND($R153&lt;&gt;"Y",$S153&lt;&gt;""),"notice date but Extended is not Y; ","")&amp;IF(AND($W153="Closed",$Y153=""),"closed without response date; ","")&amp;IF(AND($Y153&lt;&gt;"",$W153&lt;&gt;"Closed"),"response date but status not Closed; ","")&amp;IF(AND($Y153&lt;&gt;"",$B153&lt;&gt;"",$Y153&lt;$B153),"response before receipt; ","")&amp;IF(AND($AD153="Y",$AE153=""),"exemption needs a reason in Notes; ","")="","OK","Check: "&amp;IF(OR($B153="",$C153="",$D153="",$V153="",$W153=""),"missing required field; ","")&amp;IF(COUNTIF($A$2:$A$201,$A153)&gt;1,"duplicate ID; ","")&amp;IF(AND($B153&lt;&gt;"",$B153&gt;ReportDate),"received after snapshot date; ","")&amp;IF(AND($I153&lt;&gt;"",$B153&lt;&gt;"",$I153&lt;$B153),"acknowledged before receipt; ","")&amp;IF(AND($K153="Y",$L153="",$W153&lt;&gt;"Logged"),"ID requested date missing; ","")&amp;IF(AND($L153&lt;&gt;"",$M153&lt;&gt;"",$M153&lt;$L153),"ID dates out of order; ","")&amp;IF(AND($K153&lt;&gt;"Y",OR($L153&lt;&gt;"",$W153="Awaiting ID")),"ID fields used but ID_Check_Needed is not Y; ","")&amp;IF(AND($R153="Y",$S153=""),"extension notice date missing; ","")&amp;IF(AND($R153&lt;&gt;"Y",$S153&lt;&gt;""),"notice date but Extended is not Y; ","")&amp;IF(AND($W153="Closed",$Y153=""),"closed without response date; ","")&amp;IF(AND($Y153&lt;&gt;"",$W153&lt;&gt;"Closed"),"response date but status not Closed; ","")&amp;IF(AND($Y153&lt;&gt;"",$B153&lt;&gt;"",$Y153&lt;$B153),"response before receipt; ","")&amp;IF(AND($AD153="Y",$AE153=""),"exemption needs a reason in Notes; ","")))</f>
        <v/>
      </c>
    </row>
    <row r="154" spans="1:32" x14ac:dyDescent="0.35">
      <c r="A154" s="22"/>
      <c r="B154" s="23"/>
      <c r="C154" s="22"/>
      <c r="D154" s="22"/>
      <c r="E154" s="20" t="str">
        <f>IF($A154="","",IFERROR(VLOOKUP($D154,ReqTypes,2,FALSE),"?"))</f>
        <v/>
      </c>
      <c r="F154" s="20" t="str">
        <f>IF($A154="","",IFERROR(VLOOKUP($D154,ReqTypes,3,FALSE),"?"))</f>
        <v/>
      </c>
      <c r="G154" s="22"/>
      <c r="H154" s="22"/>
      <c r="I154" s="23"/>
      <c r="J154" s="20" t="str">
        <f>IF(OR($A154="",$I154=""),"",IF(NETWORKDAYS($B154,$I154,Holidays)-1&lt;=AckDays,"Y","N"))</f>
        <v/>
      </c>
      <c r="K154" s="22"/>
      <c r="L154" s="23"/>
      <c r="M154" s="23"/>
      <c r="N154" s="20" t="str">
        <f>IF(OR($A154="",$K154&lt;&gt;"Y"),"",IF($L154="","Pending",IF($L154-$B154&lt;=IDPromptDays,"Y","Check")))</f>
        <v/>
      </c>
      <c r="O154" s="20" t="str">
        <f>IF($A154="","",IF(OR($K154&lt;&gt;"Y",$L154=""),0,IF($M154="",MAX(0,ReportDate-$L154),$M154-$L154)))</f>
        <v/>
      </c>
      <c r="P154" s="21" t="str">
        <f>IF($A154="","",IF($F154&lt;&gt;"Y","n/a",WORKDAY(EDATE($B154,1)+$O154-1,1,Holidays)))</f>
        <v/>
      </c>
      <c r="Q154" s="21" t="str">
        <f>IF($A154="","",$B154+$O154+InternalDays)</f>
        <v/>
      </c>
      <c r="R154" s="22"/>
      <c r="S154" s="23"/>
      <c r="T154" s="20" t="str">
        <f t="shared" si="8"/>
        <v/>
      </c>
      <c r="U154" s="21" t="str">
        <f>IF($A154="","",IF($F154&lt;&gt;"Y",$Q154,IF(AND($R154="Y",$T154="Y"),WORKDAY(EDATE($B154,3)+$O154-1,1,Holidays),$P154)))</f>
        <v/>
      </c>
      <c r="V154" s="22"/>
      <c r="W154" s="22"/>
      <c r="X154" s="22"/>
      <c r="Y154" s="23"/>
      <c r="Z154" s="20" t="str">
        <f>IF($A154="","",IF($Y154&lt;&gt;"",$Y154-$B154,ReportDate-$B154))</f>
        <v/>
      </c>
      <c r="AA154" s="20" t="str">
        <f>IF(OR($A154="",$W154="Closed"),"",$U154-ReportDate)</f>
        <v/>
      </c>
      <c r="AB154" s="20" t="str">
        <f>IF($A154="","",IF($W154="Closed",IF($Y154&lt;=$U154,"Closed on time","Closed late"),IF($W154="Awaiting ID","Paused",IF($AA154&lt;0,"Overdue",IF($AA154&lt;=RedDays,"Red",IF($AA154&lt;=AmberDays,"Amber","Green"))))))</f>
        <v/>
      </c>
      <c r="AC154" s="20" t="str">
        <f t="shared" si="9"/>
        <v/>
      </c>
      <c r="AD154" s="22"/>
      <c r="AE154" s="22"/>
      <c r="AF154" s="20" t="str">
        <f>IF($A154="","",IF(IF(OR($B154="",$C154="",$D154="",$V154="",$W154=""),"missing required field; ","")&amp;IF(COUNTIF($A$2:$A$201,$A154)&gt;1,"duplicate ID; ","")&amp;IF(AND($B154&lt;&gt;"",$B154&gt;ReportDate),"received after snapshot date; ","")&amp;IF(AND($I154&lt;&gt;"",$B154&lt;&gt;"",$I154&lt;$B154),"acknowledged before receipt; ","")&amp;IF(AND($K154="Y",$L154="",$W154&lt;&gt;"Logged"),"ID requested date missing; ","")&amp;IF(AND($L154&lt;&gt;"",$M154&lt;&gt;"",$M154&lt;$L154),"ID dates out of order; ","")&amp;IF(AND($K154&lt;&gt;"Y",OR($L154&lt;&gt;"",$W154="Awaiting ID")),"ID fields used but ID_Check_Needed is not Y; ","")&amp;IF(AND($R154="Y",$S154=""),"extension notice date missing; ","")&amp;IF(AND($R154&lt;&gt;"Y",$S154&lt;&gt;""),"notice date but Extended is not Y; ","")&amp;IF(AND($W154="Closed",$Y154=""),"closed without response date; ","")&amp;IF(AND($Y154&lt;&gt;"",$W154&lt;&gt;"Closed"),"response date but status not Closed; ","")&amp;IF(AND($Y154&lt;&gt;"",$B154&lt;&gt;"",$Y154&lt;$B154),"response before receipt; ","")&amp;IF(AND($AD154="Y",$AE154=""),"exemption needs a reason in Notes; ","")="","OK","Check: "&amp;IF(OR($B154="",$C154="",$D154="",$V154="",$W154=""),"missing required field; ","")&amp;IF(COUNTIF($A$2:$A$201,$A154)&gt;1,"duplicate ID; ","")&amp;IF(AND($B154&lt;&gt;"",$B154&gt;ReportDate),"received after snapshot date; ","")&amp;IF(AND($I154&lt;&gt;"",$B154&lt;&gt;"",$I154&lt;$B154),"acknowledged before receipt; ","")&amp;IF(AND($K154="Y",$L154="",$W154&lt;&gt;"Logged"),"ID requested date missing; ","")&amp;IF(AND($L154&lt;&gt;"",$M154&lt;&gt;"",$M154&lt;$L154),"ID dates out of order; ","")&amp;IF(AND($K154&lt;&gt;"Y",OR($L154&lt;&gt;"",$W154="Awaiting ID")),"ID fields used but ID_Check_Needed is not Y; ","")&amp;IF(AND($R154="Y",$S154=""),"extension notice date missing; ","")&amp;IF(AND($R154&lt;&gt;"Y",$S154&lt;&gt;""),"notice date but Extended is not Y; ","")&amp;IF(AND($W154="Closed",$Y154=""),"closed without response date; ","")&amp;IF(AND($Y154&lt;&gt;"",$W154&lt;&gt;"Closed"),"response date but status not Closed; ","")&amp;IF(AND($Y154&lt;&gt;"",$B154&lt;&gt;"",$Y154&lt;$B154),"response before receipt; ","")&amp;IF(AND($AD154="Y",$AE154=""),"exemption needs a reason in Notes; ","")))</f>
        <v/>
      </c>
    </row>
    <row r="155" spans="1:32" x14ac:dyDescent="0.35">
      <c r="A155" s="22"/>
      <c r="B155" s="23"/>
      <c r="C155" s="22"/>
      <c r="D155" s="22"/>
      <c r="E155" s="20" t="str">
        <f>IF($A155="","",IFERROR(VLOOKUP($D155,ReqTypes,2,FALSE),"?"))</f>
        <v/>
      </c>
      <c r="F155" s="20" t="str">
        <f>IF($A155="","",IFERROR(VLOOKUP($D155,ReqTypes,3,FALSE),"?"))</f>
        <v/>
      </c>
      <c r="G155" s="22"/>
      <c r="H155" s="22"/>
      <c r="I155" s="23"/>
      <c r="J155" s="20" t="str">
        <f>IF(OR($A155="",$I155=""),"",IF(NETWORKDAYS($B155,$I155,Holidays)-1&lt;=AckDays,"Y","N"))</f>
        <v/>
      </c>
      <c r="K155" s="22"/>
      <c r="L155" s="23"/>
      <c r="M155" s="23"/>
      <c r="N155" s="20" t="str">
        <f>IF(OR($A155="",$K155&lt;&gt;"Y"),"",IF($L155="","Pending",IF($L155-$B155&lt;=IDPromptDays,"Y","Check")))</f>
        <v/>
      </c>
      <c r="O155" s="20" t="str">
        <f>IF($A155="","",IF(OR($K155&lt;&gt;"Y",$L155=""),0,IF($M155="",MAX(0,ReportDate-$L155),$M155-$L155)))</f>
        <v/>
      </c>
      <c r="P155" s="21" t="str">
        <f>IF($A155="","",IF($F155&lt;&gt;"Y","n/a",WORKDAY(EDATE($B155,1)+$O155-1,1,Holidays)))</f>
        <v/>
      </c>
      <c r="Q155" s="21" t="str">
        <f>IF($A155="","",$B155+$O155+InternalDays)</f>
        <v/>
      </c>
      <c r="R155" s="22"/>
      <c r="S155" s="23"/>
      <c r="T155" s="20" t="str">
        <f t="shared" si="8"/>
        <v/>
      </c>
      <c r="U155" s="21" t="str">
        <f>IF($A155="","",IF($F155&lt;&gt;"Y",$Q155,IF(AND($R155="Y",$T155="Y"),WORKDAY(EDATE($B155,3)+$O155-1,1,Holidays),$P155)))</f>
        <v/>
      </c>
      <c r="V155" s="22"/>
      <c r="W155" s="22"/>
      <c r="X155" s="22"/>
      <c r="Y155" s="23"/>
      <c r="Z155" s="20" t="str">
        <f>IF($A155="","",IF($Y155&lt;&gt;"",$Y155-$B155,ReportDate-$B155))</f>
        <v/>
      </c>
      <c r="AA155" s="20" t="str">
        <f>IF(OR($A155="",$W155="Closed"),"",$U155-ReportDate)</f>
        <v/>
      </c>
      <c r="AB155" s="20" t="str">
        <f>IF($A155="","",IF($W155="Closed",IF($Y155&lt;=$U155,"Closed on time","Closed late"),IF($W155="Awaiting ID","Paused",IF($AA155&lt;0,"Overdue",IF($AA155&lt;=RedDays,"Red",IF($AA155&lt;=AmberDays,"Amber","Green"))))))</f>
        <v/>
      </c>
      <c r="AC155" s="20" t="str">
        <f t="shared" si="9"/>
        <v/>
      </c>
      <c r="AD155" s="22"/>
      <c r="AE155" s="22"/>
      <c r="AF155" s="20" t="str">
        <f>IF($A155="","",IF(IF(OR($B155="",$C155="",$D155="",$V155="",$W155=""),"missing required field; ","")&amp;IF(COUNTIF($A$2:$A$201,$A155)&gt;1,"duplicate ID; ","")&amp;IF(AND($B155&lt;&gt;"",$B155&gt;ReportDate),"received after snapshot date; ","")&amp;IF(AND($I155&lt;&gt;"",$B155&lt;&gt;"",$I155&lt;$B155),"acknowledged before receipt; ","")&amp;IF(AND($K155="Y",$L155="",$W155&lt;&gt;"Logged"),"ID requested date missing; ","")&amp;IF(AND($L155&lt;&gt;"",$M155&lt;&gt;"",$M155&lt;$L155),"ID dates out of order; ","")&amp;IF(AND($K155&lt;&gt;"Y",OR($L155&lt;&gt;"",$W155="Awaiting ID")),"ID fields used but ID_Check_Needed is not Y; ","")&amp;IF(AND($R155="Y",$S155=""),"extension notice date missing; ","")&amp;IF(AND($R155&lt;&gt;"Y",$S155&lt;&gt;""),"notice date but Extended is not Y; ","")&amp;IF(AND($W155="Closed",$Y155=""),"closed without response date; ","")&amp;IF(AND($Y155&lt;&gt;"",$W155&lt;&gt;"Closed"),"response date but status not Closed; ","")&amp;IF(AND($Y155&lt;&gt;"",$B155&lt;&gt;"",$Y155&lt;$B155),"response before receipt; ","")&amp;IF(AND($AD155="Y",$AE155=""),"exemption needs a reason in Notes; ","")="","OK","Check: "&amp;IF(OR($B155="",$C155="",$D155="",$V155="",$W155=""),"missing required field; ","")&amp;IF(COUNTIF($A$2:$A$201,$A155)&gt;1,"duplicate ID; ","")&amp;IF(AND($B155&lt;&gt;"",$B155&gt;ReportDate),"received after snapshot date; ","")&amp;IF(AND($I155&lt;&gt;"",$B155&lt;&gt;"",$I155&lt;$B155),"acknowledged before receipt; ","")&amp;IF(AND($K155="Y",$L155="",$W155&lt;&gt;"Logged"),"ID requested date missing; ","")&amp;IF(AND($L155&lt;&gt;"",$M155&lt;&gt;"",$M155&lt;$L155),"ID dates out of order; ","")&amp;IF(AND($K155&lt;&gt;"Y",OR($L155&lt;&gt;"",$W155="Awaiting ID")),"ID fields used but ID_Check_Needed is not Y; ","")&amp;IF(AND($R155="Y",$S155=""),"extension notice date missing; ","")&amp;IF(AND($R155&lt;&gt;"Y",$S155&lt;&gt;""),"notice date but Extended is not Y; ","")&amp;IF(AND($W155="Closed",$Y155=""),"closed without response date; ","")&amp;IF(AND($Y155&lt;&gt;"",$W155&lt;&gt;"Closed"),"response date but status not Closed; ","")&amp;IF(AND($Y155&lt;&gt;"",$B155&lt;&gt;"",$Y155&lt;$B155),"response before receipt; ","")&amp;IF(AND($AD155="Y",$AE155=""),"exemption needs a reason in Notes; ","")))</f>
        <v/>
      </c>
    </row>
    <row r="156" spans="1:32" x14ac:dyDescent="0.35">
      <c r="A156" s="22"/>
      <c r="B156" s="23"/>
      <c r="C156" s="22"/>
      <c r="D156" s="22"/>
      <c r="E156" s="20" t="str">
        <f>IF($A156="","",IFERROR(VLOOKUP($D156,ReqTypes,2,FALSE),"?"))</f>
        <v/>
      </c>
      <c r="F156" s="20" t="str">
        <f>IF($A156="","",IFERROR(VLOOKUP($D156,ReqTypes,3,FALSE),"?"))</f>
        <v/>
      </c>
      <c r="G156" s="22"/>
      <c r="H156" s="22"/>
      <c r="I156" s="23"/>
      <c r="J156" s="20" t="str">
        <f>IF(OR($A156="",$I156=""),"",IF(NETWORKDAYS($B156,$I156,Holidays)-1&lt;=AckDays,"Y","N"))</f>
        <v/>
      </c>
      <c r="K156" s="22"/>
      <c r="L156" s="23"/>
      <c r="M156" s="23"/>
      <c r="N156" s="20" t="str">
        <f>IF(OR($A156="",$K156&lt;&gt;"Y"),"",IF($L156="","Pending",IF($L156-$B156&lt;=IDPromptDays,"Y","Check")))</f>
        <v/>
      </c>
      <c r="O156" s="20" t="str">
        <f>IF($A156="","",IF(OR($K156&lt;&gt;"Y",$L156=""),0,IF($M156="",MAX(0,ReportDate-$L156),$M156-$L156)))</f>
        <v/>
      </c>
      <c r="P156" s="21" t="str">
        <f>IF($A156="","",IF($F156&lt;&gt;"Y","n/a",WORKDAY(EDATE($B156,1)+$O156-1,1,Holidays)))</f>
        <v/>
      </c>
      <c r="Q156" s="21" t="str">
        <f>IF($A156="","",$B156+$O156+InternalDays)</f>
        <v/>
      </c>
      <c r="R156" s="22"/>
      <c r="S156" s="23"/>
      <c r="T156" s="20" t="str">
        <f t="shared" si="8"/>
        <v/>
      </c>
      <c r="U156" s="21" t="str">
        <f>IF($A156="","",IF($F156&lt;&gt;"Y",$Q156,IF(AND($R156="Y",$T156="Y"),WORKDAY(EDATE($B156,3)+$O156-1,1,Holidays),$P156)))</f>
        <v/>
      </c>
      <c r="V156" s="22"/>
      <c r="W156" s="22"/>
      <c r="X156" s="22"/>
      <c r="Y156" s="23"/>
      <c r="Z156" s="20" t="str">
        <f>IF($A156="","",IF($Y156&lt;&gt;"",$Y156-$B156,ReportDate-$B156))</f>
        <v/>
      </c>
      <c r="AA156" s="20" t="str">
        <f>IF(OR($A156="",$W156="Closed"),"",$U156-ReportDate)</f>
        <v/>
      </c>
      <c r="AB156" s="20" t="str">
        <f>IF($A156="","",IF($W156="Closed",IF($Y156&lt;=$U156,"Closed on time","Closed late"),IF($W156="Awaiting ID","Paused",IF($AA156&lt;0,"Overdue",IF($AA156&lt;=RedDays,"Red",IF($AA156&lt;=AmberDays,"Amber","Green"))))))</f>
        <v/>
      </c>
      <c r="AC156" s="20" t="str">
        <f t="shared" si="9"/>
        <v/>
      </c>
      <c r="AD156" s="22"/>
      <c r="AE156" s="22"/>
      <c r="AF156" s="20" t="str">
        <f>IF($A156="","",IF(IF(OR($B156="",$C156="",$D156="",$V156="",$W156=""),"missing required field; ","")&amp;IF(COUNTIF($A$2:$A$201,$A156)&gt;1,"duplicate ID; ","")&amp;IF(AND($B156&lt;&gt;"",$B156&gt;ReportDate),"received after snapshot date; ","")&amp;IF(AND($I156&lt;&gt;"",$B156&lt;&gt;"",$I156&lt;$B156),"acknowledged before receipt; ","")&amp;IF(AND($K156="Y",$L156="",$W156&lt;&gt;"Logged"),"ID requested date missing; ","")&amp;IF(AND($L156&lt;&gt;"",$M156&lt;&gt;"",$M156&lt;$L156),"ID dates out of order; ","")&amp;IF(AND($K156&lt;&gt;"Y",OR($L156&lt;&gt;"",$W156="Awaiting ID")),"ID fields used but ID_Check_Needed is not Y; ","")&amp;IF(AND($R156="Y",$S156=""),"extension notice date missing; ","")&amp;IF(AND($R156&lt;&gt;"Y",$S156&lt;&gt;""),"notice date but Extended is not Y; ","")&amp;IF(AND($W156="Closed",$Y156=""),"closed without response date; ","")&amp;IF(AND($Y156&lt;&gt;"",$W156&lt;&gt;"Closed"),"response date but status not Closed; ","")&amp;IF(AND($Y156&lt;&gt;"",$B156&lt;&gt;"",$Y156&lt;$B156),"response before receipt; ","")&amp;IF(AND($AD156="Y",$AE156=""),"exemption needs a reason in Notes; ","")="","OK","Check: "&amp;IF(OR($B156="",$C156="",$D156="",$V156="",$W156=""),"missing required field; ","")&amp;IF(COUNTIF($A$2:$A$201,$A156)&gt;1,"duplicate ID; ","")&amp;IF(AND($B156&lt;&gt;"",$B156&gt;ReportDate),"received after snapshot date; ","")&amp;IF(AND($I156&lt;&gt;"",$B156&lt;&gt;"",$I156&lt;$B156),"acknowledged before receipt; ","")&amp;IF(AND($K156="Y",$L156="",$W156&lt;&gt;"Logged"),"ID requested date missing; ","")&amp;IF(AND($L156&lt;&gt;"",$M156&lt;&gt;"",$M156&lt;$L156),"ID dates out of order; ","")&amp;IF(AND($K156&lt;&gt;"Y",OR($L156&lt;&gt;"",$W156="Awaiting ID")),"ID fields used but ID_Check_Needed is not Y; ","")&amp;IF(AND($R156="Y",$S156=""),"extension notice date missing; ","")&amp;IF(AND($R156&lt;&gt;"Y",$S156&lt;&gt;""),"notice date but Extended is not Y; ","")&amp;IF(AND($W156="Closed",$Y156=""),"closed without response date; ","")&amp;IF(AND($Y156&lt;&gt;"",$W156&lt;&gt;"Closed"),"response date but status not Closed; ","")&amp;IF(AND($Y156&lt;&gt;"",$B156&lt;&gt;"",$Y156&lt;$B156),"response before receipt; ","")&amp;IF(AND($AD156="Y",$AE156=""),"exemption needs a reason in Notes; ","")))</f>
        <v/>
      </c>
    </row>
    <row r="157" spans="1:32" x14ac:dyDescent="0.35">
      <c r="A157" s="22"/>
      <c r="B157" s="23"/>
      <c r="C157" s="22"/>
      <c r="D157" s="22"/>
      <c r="E157" s="20" t="str">
        <f>IF($A157="","",IFERROR(VLOOKUP($D157,ReqTypes,2,FALSE),"?"))</f>
        <v/>
      </c>
      <c r="F157" s="20" t="str">
        <f>IF($A157="","",IFERROR(VLOOKUP($D157,ReqTypes,3,FALSE),"?"))</f>
        <v/>
      </c>
      <c r="G157" s="22"/>
      <c r="H157" s="22"/>
      <c r="I157" s="23"/>
      <c r="J157" s="20" t="str">
        <f>IF(OR($A157="",$I157=""),"",IF(NETWORKDAYS($B157,$I157,Holidays)-1&lt;=AckDays,"Y","N"))</f>
        <v/>
      </c>
      <c r="K157" s="22"/>
      <c r="L157" s="23"/>
      <c r="M157" s="23"/>
      <c r="N157" s="20" t="str">
        <f>IF(OR($A157="",$K157&lt;&gt;"Y"),"",IF($L157="","Pending",IF($L157-$B157&lt;=IDPromptDays,"Y","Check")))</f>
        <v/>
      </c>
      <c r="O157" s="20" t="str">
        <f>IF($A157="","",IF(OR($K157&lt;&gt;"Y",$L157=""),0,IF($M157="",MAX(0,ReportDate-$L157),$M157-$L157)))</f>
        <v/>
      </c>
      <c r="P157" s="21" t="str">
        <f>IF($A157="","",IF($F157&lt;&gt;"Y","n/a",WORKDAY(EDATE($B157,1)+$O157-1,1,Holidays)))</f>
        <v/>
      </c>
      <c r="Q157" s="21" t="str">
        <f>IF($A157="","",$B157+$O157+InternalDays)</f>
        <v/>
      </c>
      <c r="R157" s="22"/>
      <c r="S157" s="23"/>
      <c r="T157" s="20" t="str">
        <f t="shared" si="8"/>
        <v/>
      </c>
      <c r="U157" s="21" t="str">
        <f>IF($A157="","",IF($F157&lt;&gt;"Y",$Q157,IF(AND($R157="Y",$T157="Y"),WORKDAY(EDATE($B157,3)+$O157-1,1,Holidays),$P157)))</f>
        <v/>
      </c>
      <c r="V157" s="22"/>
      <c r="W157" s="22"/>
      <c r="X157" s="22"/>
      <c r="Y157" s="23"/>
      <c r="Z157" s="20" t="str">
        <f>IF($A157="","",IF($Y157&lt;&gt;"",$Y157-$B157,ReportDate-$B157))</f>
        <v/>
      </c>
      <c r="AA157" s="20" t="str">
        <f>IF(OR($A157="",$W157="Closed"),"",$U157-ReportDate)</f>
        <v/>
      </c>
      <c r="AB157" s="20" t="str">
        <f>IF($A157="","",IF($W157="Closed",IF($Y157&lt;=$U157,"Closed on time","Closed late"),IF($W157="Awaiting ID","Paused",IF($AA157&lt;0,"Overdue",IF($AA157&lt;=RedDays,"Red",IF($AA157&lt;=AmberDays,"Amber","Green"))))))</f>
        <v/>
      </c>
      <c r="AC157" s="20" t="str">
        <f t="shared" si="9"/>
        <v/>
      </c>
      <c r="AD157" s="22"/>
      <c r="AE157" s="22"/>
      <c r="AF157" s="20" t="str">
        <f>IF($A157="","",IF(IF(OR($B157="",$C157="",$D157="",$V157="",$W157=""),"missing required field; ","")&amp;IF(COUNTIF($A$2:$A$201,$A157)&gt;1,"duplicate ID; ","")&amp;IF(AND($B157&lt;&gt;"",$B157&gt;ReportDate),"received after snapshot date; ","")&amp;IF(AND($I157&lt;&gt;"",$B157&lt;&gt;"",$I157&lt;$B157),"acknowledged before receipt; ","")&amp;IF(AND($K157="Y",$L157="",$W157&lt;&gt;"Logged"),"ID requested date missing; ","")&amp;IF(AND($L157&lt;&gt;"",$M157&lt;&gt;"",$M157&lt;$L157),"ID dates out of order; ","")&amp;IF(AND($K157&lt;&gt;"Y",OR($L157&lt;&gt;"",$W157="Awaiting ID")),"ID fields used but ID_Check_Needed is not Y; ","")&amp;IF(AND($R157="Y",$S157=""),"extension notice date missing; ","")&amp;IF(AND($R157&lt;&gt;"Y",$S157&lt;&gt;""),"notice date but Extended is not Y; ","")&amp;IF(AND($W157="Closed",$Y157=""),"closed without response date; ","")&amp;IF(AND($Y157&lt;&gt;"",$W157&lt;&gt;"Closed"),"response date but status not Closed; ","")&amp;IF(AND($Y157&lt;&gt;"",$B157&lt;&gt;"",$Y157&lt;$B157),"response before receipt; ","")&amp;IF(AND($AD157="Y",$AE157=""),"exemption needs a reason in Notes; ","")="","OK","Check: "&amp;IF(OR($B157="",$C157="",$D157="",$V157="",$W157=""),"missing required field; ","")&amp;IF(COUNTIF($A$2:$A$201,$A157)&gt;1,"duplicate ID; ","")&amp;IF(AND($B157&lt;&gt;"",$B157&gt;ReportDate),"received after snapshot date; ","")&amp;IF(AND($I157&lt;&gt;"",$B157&lt;&gt;"",$I157&lt;$B157),"acknowledged before receipt; ","")&amp;IF(AND($K157="Y",$L157="",$W157&lt;&gt;"Logged"),"ID requested date missing; ","")&amp;IF(AND($L157&lt;&gt;"",$M157&lt;&gt;"",$M157&lt;$L157),"ID dates out of order; ","")&amp;IF(AND($K157&lt;&gt;"Y",OR($L157&lt;&gt;"",$W157="Awaiting ID")),"ID fields used but ID_Check_Needed is not Y; ","")&amp;IF(AND($R157="Y",$S157=""),"extension notice date missing; ","")&amp;IF(AND($R157&lt;&gt;"Y",$S157&lt;&gt;""),"notice date but Extended is not Y; ","")&amp;IF(AND($W157="Closed",$Y157=""),"closed without response date; ","")&amp;IF(AND($Y157&lt;&gt;"",$W157&lt;&gt;"Closed"),"response date but status not Closed; ","")&amp;IF(AND($Y157&lt;&gt;"",$B157&lt;&gt;"",$Y157&lt;$B157),"response before receipt; ","")&amp;IF(AND($AD157="Y",$AE157=""),"exemption needs a reason in Notes; ","")))</f>
        <v/>
      </c>
    </row>
    <row r="158" spans="1:32" x14ac:dyDescent="0.35">
      <c r="A158" s="22"/>
      <c r="B158" s="23"/>
      <c r="C158" s="22"/>
      <c r="D158" s="22"/>
      <c r="E158" s="20" t="str">
        <f>IF($A158="","",IFERROR(VLOOKUP($D158,ReqTypes,2,FALSE),"?"))</f>
        <v/>
      </c>
      <c r="F158" s="20" t="str">
        <f>IF($A158="","",IFERROR(VLOOKUP($D158,ReqTypes,3,FALSE),"?"))</f>
        <v/>
      </c>
      <c r="G158" s="22"/>
      <c r="H158" s="22"/>
      <c r="I158" s="23"/>
      <c r="J158" s="20" t="str">
        <f>IF(OR($A158="",$I158=""),"",IF(NETWORKDAYS($B158,$I158,Holidays)-1&lt;=AckDays,"Y","N"))</f>
        <v/>
      </c>
      <c r="K158" s="22"/>
      <c r="L158" s="23"/>
      <c r="M158" s="23"/>
      <c r="N158" s="20" t="str">
        <f>IF(OR($A158="",$K158&lt;&gt;"Y"),"",IF($L158="","Pending",IF($L158-$B158&lt;=IDPromptDays,"Y","Check")))</f>
        <v/>
      </c>
      <c r="O158" s="20" t="str">
        <f>IF($A158="","",IF(OR($K158&lt;&gt;"Y",$L158=""),0,IF($M158="",MAX(0,ReportDate-$L158),$M158-$L158)))</f>
        <v/>
      </c>
      <c r="P158" s="21" t="str">
        <f>IF($A158="","",IF($F158&lt;&gt;"Y","n/a",WORKDAY(EDATE($B158,1)+$O158-1,1,Holidays)))</f>
        <v/>
      </c>
      <c r="Q158" s="21" t="str">
        <f>IF($A158="","",$B158+$O158+InternalDays)</f>
        <v/>
      </c>
      <c r="R158" s="22"/>
      <c r="S158" s="23"/>
      <c r="T158" s="20" t="str">
        <f t="shared" si="8"/>
        <v/>
      </c>
      <c r="U158" s="21" t="str">
        <f>IF($A158="","",IF($F158&lt;&gt;"Y",$Q158,IF(AND($R158="Y",$T158="Y"),WORKDAY(EDATE($B158,3)+$O158-1,1,Holidays),$P158)))</f>
        <v/>
      </c>
      <c r="V158" s="22"/>
      <c r="W158" s="22"/>
      <c r="X158" s="22"/>
      <c r="Y158" s="23"/>
      <c r="Z158" s="20" t="str">
        <f>IF($A158="","",IF($Y158&lt;&gt;"",$Y158-$B158,ReportDate-$B158))</f>
        <v/>
      </c>
      <c r="AA158" s="20" t="str">
        <f>IF(OR($A158="",$W158="Closed"),"",$U158-ReportDate)</f>
        <v/>
      </c>
      <c r="AB158" s="20" t="str">
        <f>IF($A158="","",IF($W158="Closed",IF($Y158&lt;=$U158,"Closed on time","Closed late"),IF($W158="Awaiting ID","Paused",IF($AA158&lt;0,"Overdue",IF($AA158&lt;=RedDays,"Red",IF($AA158&lt;=AmberDays,"Amber","Green"))))))</f>
        <v/>
      </c>
      <c r="AC158" s="20" t="str">
        <f t="shared" si="9"/>
        <v/>
      </c>
      <c r="AD158" s="22"/>
      <c r="AE158" s="22"/>
      <c r="AF158" s="20" t="str">
        <f>IF($A158="","",IF(IF(OR($B158="",$C158="",$D158="",$V158="",$W158=""),"missing required field; ","")&amp;IF(COUNTIF($A$2:$A$201,$A158)&gt;1,"duplicate ID; ","")&amp;IF(AND($B158&lt;&gt;"",$B158&gt;ReportDate),"received after snapshot date; ","")&amp;IF(AND($I158&lt;&gt;"",$B158&lt;&gt;"",$I158&lt;$B158),"acknowledged before receipt; ","")&amp;IF(AND($K158="Y",$L158="",$W158&lt;&gt;"Logged"),"ID requested date missing; ","")&amp;IF(AND($L158&lt;&gt;"",$M158&lt;&gt;"",$M158&lt;$L158),"ID dates out of order; ","")&amp;IF(AND($K158&lt;&gt;"Y",OR($L158&lt;&gt;"",$W158="Awaiting ID")),"ID fields used but ID_Check_Needed is not Y; ","")&amp;IF(AND($R158="Y",$S158=""),"extension notice date missing; ","")&amp;IF(AND($R158&lt;&gt;"Y",$S158&lt;&gt;""),"notice date but Extended is not Y; ","")&amp;IF(AND($W158="Closed",$Y158=""),"closed without response date; ","")&amp;IF(AND($Y158&lt;&gt;"",$W158&lt;&gt;"Closed"),"response date but status not Closed; ","")&amp;IF(AND($Y158&lt;&gt;"",$B158&lt;&gt;"",$Y158&lt;$B158),"response before receipt; ","")&amp;IF(AND($AD158="Y",$AE158=""),"exemption needs a reason in Notes; ","")="","OK","Check: "&amp;IF(OR($B158="",$C158="",$D158="",$V158="",$W158=""),"missing required field; ","")&amp;IF(COUNTIF($A$2:$A$201,$A158)&gt;1,"duplicate ID; ","")&amp;IF(AND($B158&lt;&gt;"",$B158&gt;ReportDate),"received after snapshot date; ","")&amp;IF(AND($I158&lt;&gt;"",$B158&lt;&gt;"",$I158&lt;$B158),"acknowledged before receipt; ","")&amp;IF(AND($K158="Y",$L158="",$W158&lt;&gt;"Logged"),"ID requested date missing; ","")&amp;IF(AND($L158&lt;&gt;"",$M158&lt;&gt;"",$M158&lt;$L158),"ID dates out of order; ","")&amp;IF(AND($K158&lt;&gt;"Y",OR($L158&lt;&gt;"",$W158="Awaiting ID")),"ID fields used but ID_Check_Needed is not Y; ","")&amp;IF(AND($R158="Y",$S158=""),"extension notice date missing; ","")&amp;IF(AND($R158&lt;&gt;"Y",$S158&lt;&gt;""),"notice date but Extended is not Y; ","")&amp;IF(AND($W158="Closed",$Y158=""),"closed without response date; ","")&amp;IF(AND($Y158&lt;&gt;"",$W158&lt;&gt;"Closed"),"response date but status not Closed; ","")&amp;IF(AND($Y158&lt;&gt;"",$B158&lt;&gt;"",$Y158&lt;$B158),"response before receipt; ","")&amp;IF(AND($AD158="Y",$AE158=""),"exemption needs a reason in Notes; ","")))</f>
        <v/>
      </c>
    </row>
    <row r="159" spans="1:32" x14ac:dyDescent="0.35">
      <c r="A159" s="22"/>
      <c r="B159" s="23"/>
      <c r="C159" s="22"/>
      <c r="D159" s="22"/>
      <c r="E159" s="20" t="str">
        <f>IF($A159="","",IFERROR(VLOOKUP($D159,ReqTypes,2,FALSE),"?"))</f>
        <v/>
      </c>
      <c r="F159" s="20" t="str">
        <f>IF($A159="","",IFERROR(VLOOKUP($D159,ReqTypes,3,FALSE),"?"))</f>
        <v/>
      </c>
      <c r="G159" s="22"/>
      <c r="H159" s="22"/>
      <c r="I159" s="23"/>
      <c r="J159" s="20" t="str">
        <f>IF(OR($A159="",$I159=""),"",IF(NETWORKDAYS($B159,$I159,Holidays)-1&lt;=AckDays,"Y","N"))</f>
        <v/>
      </c>
      <c r="K159" s="22"/>
      <c r="L159" s="23"/>
      <c r="M159" s="23"/>
      <c r="N159" s="20" t="str">
        <f>IF(OR($A159="",$K159&lt;&gt;"Y"),"",IF($L159="","Pending",IF($L159-$B159&lt;=IDPromptDays,"Y","Check")))</f>
        <v/>
      </c>
      <c r="O159" s="20" t="str">
        <f>IF($A159="","",IF(OR($K159&lt;&gt;"Y",$L159=""),0,IF($M159="",MAX(0,ReportDate-$L159),$M159-$L159)))</f>
        <v/>
      </c>
      <c r="P159" s="21" t="str">
        <f>IF($A159="","",IF($F159&lt;&gt;"Y","n/a",WORKDAY(EDATE($B159,1)+$O159-1,1,Holidays)))</f>
        <v/>
      </c>
      <c r="Q159" s="21" t="str">
        <f>IF($A159="","",$B159+$O159+InternalDays)</f>
        <v/>
      </c>
      <c r="R159" s="22"/>
      <c r="S159" s="23"/>
      <c r="T159" s="20" t="str">
        <f t="shared" si="8"/>
        <v/>
      </c>
      <c r="U159" s="21" t="str">
        <f>IF($A159="","",IF($F159&lt;&gt;"Y",$Q159,IF(AND($R159="Y",$T159="Y"),WORKDAY(EDATE($B159,3)+$O159-1,1,Holidays),$P159)))</f>
        <v/>
      </c>
      <c r="V159" s="22"/>
      <c r="W159" s="22"/>
      <c r="X159" s="22"/>
      <c r="Y159" s="23"/>
      <c r="Z159" s="20" t="str">
        <f>IF($A159="","",IF($Y159&lt;&gt;"",$Y159-$B159,ReportDate-$B159))</f>
        <v/>
      </c>
      <c r="AA159" s="20" t="str">
        <f>IF(OR($A159="",$W159="Closed"),"",$U159-ReportDate)</f>
        <v/>
      </c>
      <c r="AB159" s="20" t="str">
        <f>IF($A159="","",IF($W159="Closed",IF($Y159&lt;=$U159,"Closed on time","Closed late"),IF($W159="Awaiting ID","Paused",IF($AA159&lt;0,"Overdue",IF($AA159&lt;=RedDays,"Red",IF($AA159&lt;=AmberDays,"Amber","Green"))))))</f>
        <v/>
      </c>
      <c r="AC159" s="20" t="str">
        <f t="shared" si="9"/>
        <v/>
      </c>
      <c r="AD159" s="22"/>
      <c r="AE159" s="22"/>
      <c r="AF159" s="20" t="str">
        <f>IF($A159="","",IF(IF(OR($B159="",$C159="",$D159="",$V159="",$W159=""),"missing required field; ","")&amp;IF(COUNTIF($A$2:$A$201,$A159)&gt;1,"duplicate ID; ","")&amp;IF(AND($B159&lt;&gt;"",$B159&gt;ReportDate),"received after snapshot date; ","")&amp;IF(AND($I159&lt;&gt;"",$B159&lt;&gt;"",$I159&lt;$B159),"acknowledged before receipt; ","")&amp;IF(AND($K159="Y",$L159="",$W159&lt;&gt;"Logged"),"ID requested date missing; ","")&amp;IF(AND($L159&lt;&gt;"",$M159&lt;&gt;"",$M159&lt;$L159),"ID dates out of order; ","")&amp;IF(AND($K159&lt;&gt;"Y",OR($L159&lt;&gt;"",$W159="Awaiting ID")),"ID fields used but ID_Check_Needed is not Y; ","")&amp;IF(AND($R159="Y",$S159=""),"extension notice date missing; ","")&amp;IF(AND($R159&lt;&gt;"Y",$S159&lt;&gt;""),"notice date but Extended is not Y; ","")&amp;IF(AND($W159="Closed",$Y159=""),"closed without response date; ","")&amp;IF(AND($Y159&lt;&gt;"",$W159&lt;&gt;"Closed"),"response date but status not Closed; ","")&amp;IF(AND($Y159&lt;&gt;"",$B159&lt;&gt;"",$Y159&lt;$B159),"response before receipt; ","")&amp;IF(AND($AD159="Y",$AE159=""),"exemption needs a reason in Notes; ","")="","OK","Check: "&amp;IF(OR($B159="",$C159="",$D159="",$V159="",$W159=""),"missing required field; ","")&amp;IF(COUNTIF($A$2:$A$201,$A159)&gt;1,"duplicate ID; ","")&amp;IF(AND($B159&lt;&gt;"",$B159&gt;ReportDate),"received after snapshot date; ","")&amp;IF(AND($I159&lt;&gt;"",$B159&lt;&gt;"",$I159&lt;$B159),"acknowledged before receipt; ","")&amp;IF(AND($K159="Y",$L159="",$W159&lt;&gt;"Logged"),"ID requested date missing; ","")&amp;IF(AND($L159&lt;&gt;"",$M159&lt;&gt;"",$M159&lt;$L159),"ID dates out of order; ","")&amp;IF(AND($K159&lt;&gt;"Y",OR($L159&lt;&gt;"",$W159="Awaiting ID")),"ID fields used but ID_Check_Needed is not Y; ","")&amp;IF(AND($R159="Y",$S159=""),"extension notice date missing; ","")&amp;IF(AND($R159&lt;&gt;"Y",$S159&lt;&gt;""),"notice date but Extended is not Y; ","")&amp;IF(AND($W159="Closed",$Y159=""),"closed without response date; ","")&amp;IF(AND($Y159&lt;&gt;"",$W159&lt;&gt;"Closed"),"response date but status not Closed; ","")&amp;IF(AND($Y159&lt;&gt;"",$B159&lt;&gt;"",$Y159&lt;$B159),"response before receipt; ","")&amp;IF(AND($AD159="Y",$AE159=""),"exemption needs a reason in Notes; ","")))</f>
        <v/>
      </c>
    </row>
    <row r="160" spans="1:32" x14ac:dyDescent="0.35">
      <c r="A160" s="22"/>
      <c r="B160" s="23"/>
      <c r="C160" s="22"/>
      <c r="D160" s="22"/>
      <c r="E160" s="20" t="str">
        <f>IF($A160="","",IFERROR(VLOOKUP($D160,ReqTypes,2,FALSE),"?"))</f>
        <v/>
      </c>
      <c r="F160" s="20" t="str">
        <f>IF($A160="","",IFERROR(VLOOKUP($D160,ReqTypes,3,FALSE),"?"))</f>
        <v/>
      </c>
      <c r="G160" s="22"/>
      <c r="H160" s="22"/>
      <c r="I160" s="23"/>
      <c r="J160" s="20" t="str">
        <f>IF(OR($A160="",$I160=""),"",IF(NETWORKDAYS($B160,$I160,Holidays)-1&lt;=AckDays,"Y","N"))</f>
        <v/>
      </c>
      <c r="K160" s="22"/>
      <c r="L160" s="23"/>
      <c r="M160" s="23"/>
      <c r="N160" s="20" t="str">
        <f>IF(OR($A160="",$K160&lt;&gt;"Y"),"",IF($L160="","Pending",IF($L160-$B160&lt;=IDPromptDays,"Y","Check")))</f>
        <v/>
      </c>
      <c r="O160" s="20" t="str">
        <f>IF($A160="","",IF(OR($K160&lt;&gt;"Y",$L160=""),0,IF($M160="",MAX(0,ReportDate-$L160),$M160-$L160)))</f>
        <v/>
      </c>
      <c r="P160" s="21" t="str">
        <f>IF($A160="","",IF($F160&lt;&gt;"Y","n/a",WORKDAY(EDATE($B160,1)+$O160-1,1,Holidays)))</f>
        <v/>
      </c>
      <c r="Q160" s="21" t="str">
        <f>IF($A160="","",$B160+$O160+InternalDays)</f>
        <v/>
      </c>
      <c r="R160" s="22"/>
      <c r="S160" s="23"/>
      <c r="T160" s="20" t="str">
        <f t="shared" si="8"/>
        <v/>
      </c>
      <c r="U160" s="21" t="str">
        <f>IF($A160="","",IF($F160&lt;&gt;"Y",$Q160,IF(AND($R160="Y",$T160="Y"),WORKDAY(EDATE($B160,3)+$O160-1,1,Holidays),$P160)))</f>
        <v/>
      </c>
      <c r="V160" s="22"/>
      <c r="W160" s="22"/>
      <c r="X160" s="22"/>
      <c r="Y160" s="23"/>
      <c r="Z160" s="20" t="str">
        <f>IF($A160="","",IF($Y160&lt;&gt;"",$Y160-$B160,ReportDate-$B160))</f>
        <v/>
      </c>
      <c r="AA160" s="20" t="str">
        <f>IF(OR($A160="",$W160="Closed"),"",$U160-ReportDate)</f>
        <v/>
      </c>
      <c r="AB160" s="20" t="str">
        <f>IF($A160="","",IF($W160="Closed",IF($Y160&lt;=$U160,"Closed on time","Closed late"),IF($W160="Awaiting ID","Paused",IF($AA160&lt;0,"Overdue",IF($AA160&lt;=RedDays,"Red",IF($AA160&lt;=AmberDays,"Amber","Green"))))))</f>
        <v/>
      </c>
      <c r="AC160" s="20" t="str">
        <f t="shared" si="9"/>
        <v/>
      </c>
      <c r="AD160" s="22"/>
      <c r="AE160" s="22"/>
      <c r="AF160" s="20" t="str">
        <f>IF($A160="","",IF(IF(OR($B160="",$C160="",$D160="",$V160="",$W160=""),"missing required field; ","")&amp;IF(COUNTIF($A$2:$A$201,$A160)&gt;1,"duplicate ID; ","")&amp;IF(AND($B160&lt;&gt;"",$B160&gt;ReportDate),"received after snapshot date; ","")&amp;IF(AND($I160&lt;&gt;"",$B160&lt;&gt;"",$I160&lt;$B160),"acknowledged before receipt; ","")&amp;IF(AND($K160="Y",$L160="",$W160&lt;&gt;"Logged"),"ID requested date missing; ","")&amp;IF(AND($L160&lt;&gt;"",$M160&lt;&gt;"",$M160&lt;$L160),"ID dates out of order; ","")&amp;IF(AND($K160&lt;&gt;"Y",OR($L160&lt;&gt;"",$W160="Awaiting ID")),"ID fields used but ID_Check_Needed is not Y; ","")&amp;IF(AND($R160="Y",$S160=""),"extension notice date missing; ","")&amp;IF(AND($R160&lt;&gt;"Y",$S160&lt;&gt;""),"notice date but Extended is not Y; ","")&amp;IF(AND($W160="Closed",$Y160=""),"closed without response date; ","")&amp;IF(AND($Y160&lt;&gt;"",$W160&lt;&gt;"Closed"),"response date but status not Closed; ","")&amp;IF(AND($Y160&lt;&gt;"",$B160&lt;&gt;"",$Y160&lt;$B160),"response before receipt; ","")&amp;IF(AND($AD160="Y",$AE160=""),"exemption needs a reason in Notes; ","")="","OK","Check: "&amp;IF(OR($B160="",$C160="",$D160="",$V160="",$W160=""),"missing required field; ","")&amp;IF(COUNTIF($A$2:$A$201,$A160)&gt;1,"duplicate ID; ","")&amp;IF(AND($B160&lt;&gt;"",$B160&gt;ReportDate),"received after snapshot date; ","")&amp;IF(AND($I160&lt;&gt;"",$B160&lt;&gt;"",$I160&lt;$B160),"acknowledged before receipt; ","")&amp;IF(AND($K160="Y",$L160="",$W160&lt;&gt;"Logged"),"ID requested date missing; ","")&amp;IF(AND($L160&lt;&gt;"",$M160&lt;&gt;"",$M160&lt;$L160),"ID dates out of order; ","")&amp;IF(AND($K160&lt;&gt;"Y",OR($L160&lt;&gt;"",$W160="Awaiting ID")),"ID fields used but ID_Check_Needed is not Y; ","")&amp;IF(AND($R160="Y",$S160=""),"extension notice date missing; ","")&amp;IF(AND($R160&lt;&gt;"Y",$S160&lt;&gt;""),"notice date but Extended is not Y; ","")&amp;IF(AND($W160="Closed",$Y160=""),"closed without response date; ","")&amp;IF(AND($Y160&lt;&gt;"",$W160&lt;&gt;"Closed"),"response date but status not Closed; ","")&amp;IF(AND($Y160&lt;&gt;"",$B160&lt;&gt;"",$Y160&lt;$B160),"response before receipt; ","")&amp;IF(AND($AD160="Y",$AE160=""),"exemption needs a reason in Notes; ","")))</f>
        <v/>
      </c>
    </row>
    <row r="161" spans="1:32" x14ac:dyDescent="0.35">
      <c r="A161" s="22"/>
      <c r="B161" s="23"/>
      <c r="C161" s="22"/>
      <c r="D161" s="22"/>
      <c r="E161" s="20" t="str">
        <f>IF($A161="","",IFERROR(VLOOKUP($D161,ReqTypes,2,FALSE),"?"))</f>
        <v/>
      </c>
      <c r="F161" s="20" t="str">
        <f>IF($A161="","",IFERROR(VLOOKUP($D161,ReqTypes,3,FALSE),"?"))</f>
        <v/>
      </c>
      <c r="G161" s="22"/>
      <c r="H161" s="22"/>
      <c r="I161" s="23"/>
      <c r="J161" s="20" t="str">
        <f>IF(OR($A161="",$I161=""),"",IF(NETWORKDAYS($B161,$I161,Holidays)-1&lt;=AckDays,"Y","N"))</f>
        <v/>
      </c>
      <c r="K161" s="22"/>
      <c r="L161" s="23"/>
      <c r="M161" s="23"/>
      <c r="N161" s="20" t="str">
        <f>IF(OR($A161="",$K161&lt;&gt;"Y"),"",IF($L161="","Pending",IF($L161-$B161&lt;=IDPromptDays,"Y","Check")))</f>
        <v/>
      </c>
      <c r="O161" s="20" t="str">
        <f>IF($A161="","",IF(OR($K161&lt;&gt;"Y",$L161=""),0,IF($M161="",MAX(0,ReportDate-$L161),$M161-$L161)))</f>
        <v/>
      </c>
      <c r="P161" s="21" t="str">
        <f>IF($A161="","",IF($F161&lt;&gt;"Y","n/a",WORKDAY(EDATE($B161,1)+$O161-1,1,Holidays)))</f>
        <v/>
      </c>
      <c r="Q161" s="21" t="str">
        <f>IF($A161="","",$B161+$O161+InternalDays)</f>
        <v/>
      </c>
      <c r="R161" s="22"/>
      <c r="S161" s="23"/>
      <c r="T161" s="20" t="str">
        <f t="shared" si="8"/>
        <v/>
      </c>
      <c r="U161" s="21" t="str">
        <f>IF($A161="","",IF($F161&lt;&gt;"Y",$Q161,IF(AND($R161="Y",$T161="Y"),WORKDAY(EDATE($B161,3)+$O161-1,1,Holidays),$P161)))</f>
        <v/>
      </c>
      <c r="V161" s="22"/>
      <c r="W161" s="22"/>
      <c r="X161" s="22"/>
      <c r="Y161" s="23"/>
      <c r="Z161" s="20" t="str">
        <f>IF($A161="","",IF($Y161&lt;&gt;"",$Y161-$B161,ReportDate-$B161))</f>
        <v/>
      </c>
      <c r="AA161" s="20" t="str">
        <f>IF(OR($A161="",$W161="Closed"),"",$U161-ReportDate)</f>
        <v/>
      </c>
      <c r="AB161" s="20" t="str">
        <f>IF($A161="","",IF($W161="Closed",IF($Y161&lt;=$U161,"Closed on time","Closed late"),IF($W161="Awaiting ID","Paused",IF($AA161&lt;0,"Overdue",IF($AA161&lt;=RedDays,"Red",IF($AA161&lt;=AmberDays,"Amber","Green"))))))</f>
        <v/>
      </c>
      <c r="AC161" s="20" t="str">
        <f t="shared" si="9"/>
        <v/>
      </c>
      <c r="AD161" s="22"/>
      <c r="AE161" s="22"/>
      <c r="AF161" s="20" t="str">
        <f>IF($A161="","",IF(IF(OR($B161="",$C161="",$D161="",$V161="",$W161=""),"missing required field; ","")&amp;IF(COUNTIF($A$2:$A$201,$A161)&gt;1,"duplicate ID; ","")&amp;IF(AND($B161&lt;&gt;"",$B161&gt;ReportDate),"received after snapshot date; ","")&amp;IF(AND($I161&lt;&gt;"",$B161&lt;&gt;"",$I161&lt;$B161),"acknowledged before receipt; ","")&amp;IF(AND($K161="Y",$L161="",$W161&lt;&gt;"Logged"),"ID requested date missing; ","")&amp;IF(AND($L161&lt;&gt;"",$M161&lt;&gt;"",$M161&lt;$L161),"ID dates out of order; ","")&amp;IF(AND($K161&lt;&gt;"Y",OR($L161&lt;&gt;"",$W161="Awaiting ID")),"ID fields used but ID_Check_Needed is not Y; ","")&amp;IF(AND($R161="Y",$S161=""),"extension notice date missing; ","")&amp;IF(AND($R161&lt;&gt;"Y",$S161&lt;&gt;""),"notice date but Extended is not Y; ","")&amp;IF(AND($W161="Closed",$Y161=""),"closed without response date; ","")&amp;IF(AND($Y161&lt;&gt;"",$W161&lt;&gt;"Closed"),"response date but status not Closed; ","")&amp;IF(AND($Y161&lt;&gt;"",$B161&lt;&gt;"",$Y161&lt;$B161),"response before receipt; ","")&amp;IF(AND($AD161="Y",$AE161=""),"exemption needs a reason in Notes; ","")="","OK","Check: "&amp;IF(OR($B161="",$C161="",$D161="",$V161="",$W161=""),"missing required field; ","")&amp;IF(COUNTIF($A$2:$A$201,$A161)&gt;1,"duplicate ID; ","")&amp;IF(AND($B161&lt;&gt;"",$B161&gt;ReportDate),"received after snapshot date; ","")&amp;IF(AND($I161&lt;&gt;"",$B161&lt;&gt;"",$I161&lt;$B161),"acknowledged before receipt; ","")&amp;IF(AND($K161="Y",$L161="",$W161&lt;&gt;"Logged"),"ID requested date missing; ","")&amp;IF(AND($L161&lt;&gt;"",$M161&lt;&gt;"",$M161&lt;$L161),"ID dates out of order; ","")&amp;IF(AND($K161&lt;&gt;"Y",OR($L161&lt;&gt;"",$W161="Awaiting ID")),"ID fields used but ID_Check_Needed is not Y; ","")&amp;IF(AND($R161="Y",$S161=""),"extension notice date missing; ","")&amp;IF(AND($R161&lt;&gt;"Y",$S161&lt;&gt;""),"notice date but Extended is not Y; ","")&amp;IF(AND($W161="Closed",$Y161=""),"closed without response date; ","")&amp;IF(AND($Y161&lt;&gt;"",$W161&lt;&gt;"Closed"),"response date but status not Closed; ","")&amp;IF(AND($Y161&lt;&gt;"",$B161&lt;&gt;"",$Y161&lt;$B161),"response before receipt; ","")&amp;IF(AND($AD161="Y",$AE161=""),"exemption needs a reason in Notes; ","")))</f>
        <v/>
      </c>
    </row>
    <row r="162" spans="1:32" x14ac:dyDescent="0.35">
      <c r="A162" s="22"/>
      <c r="B162" s="23"/>
      <c r="C162" s="22"/>
      <c r="D162" s="22"/>
      <c r="E162" s="20" t="str">
        <f>IF($A162="","",IFERROR(VLOOKUP($D162,ReqTypes,2,FALSE),"?"))</f>
        <v/>
      </c>
      <c r="F162" s="20" t="str">
        <f>IF($A162="","",IFERROR(VLOOKUP($D162,ReqTypes,3,FALSE),"?"))</f>
        <v/>
      </c>
      <c r="G162" s="22"/>
      <c r="H162" s="22"/>
      <c r="I162" s="23"/>
      <c r="J162" s="20" t="str">
        <f>IF(OR($A162="",$I162=""),"",IF(NETWORKDAYS($B162,$I162,Holidays)-1&lt;=AckDays,"Y","N"))</f>
        <v/>
      </c>
      <c r="K162" s="22"/>
      <c r="L162" s="23"/>
      <c r="M162" s="23"/>
      <c r="N162" s="20" t="str">
        <f>IF(OR($A162="",$K162&lt;&gt;"Y"),"",IF($L162="","Pending",IF($L162-$B162&lt;=IDPromptDays,"Y","Check")))</f>
        <v/>
      </c>
      <c r="O162" s="20" t="str">
        <f>IF($A162="","",IF(OR($K162&lt;&gt;"Y",$L162=""),0,IF($M162="",MAX(0,ReportDate-$L162),$M162-$L162)))</f>
        <v/>
      </c>
      <c r="P162" s="21" t="str">
        <f>IF($A162="","",IF($F162&lt;&gt;"Y","n/a",WORKDAY(EDATE($B162,1)+$O162-1,1,Holidays)))</f>
        <v/>
      </c>
      <c r="Q162" s="21" t="str">
        <f>IF($A162="","",$B162+$O162+InternalDays)</f>
        <v/>
      </c>
      <c r="R162" s="22"/>
      <c r="S162" s="23"/>
      <c r="T162" s="20" t="str">
        <f t="shared" ref="T162:T193" si="10">IF(OR($A162="",$R162&lt;&gt;"Y"),"",IF($S162="","Missing",IF(AND($F162="Y",$S162&lt;=$P162),"Y","Late")))</f>
        <v/>
      </c>
      <c r="U162" s="21" t="str">
        <f>IF($A162="","",IF($F162&lt;&gt;"Y",$Q162,IF(AND($R162="Y",$T162="Y"),WORKDAY(EDATE($B162,3)+$O162-1,1,Holidays),$P162)))</f>
        <v/>
      </c>
      <c r="V162" s="22"/>
      <c r="W162" s="22"/>
      <c r="X162" s="22"/>
      <c r="Y162" s="23"/>
      <c r="Z162" s="20" t="str">
        <f>IF($A162="","",IF($Y162&lt;&gt;"",$Y162-$B162,ReportDate-$B162))</f>
        <v/>
      </c>
      <c r="AA162" s="20" t="str">
        <f>IF(OR($A162="",$W162="Closed"),"",$U162-ReportDate)</f>
        <v/>
      </c>
      <c r="AB162" s="20" t="str">
        <f>IF($A162="","",IF($W162="Closed",IF($Y162&lt;=$U162,"Closed on time","Closed late"),IF($W162="Awaiting ID","Paused",IF($AA162&lt;0,"Overdue",IF($AA162&lt;=RedDays,"Red",IF($AA162&lt;=AmberDays,"Amber","Green"))))))</f>
        <v/>
      </c>
      <c r="AC162" s="20" t="str">
        <f t="shared" ref="AC162:AC193" si="11">IF(OR($A162="",$Y162=""),"",IF($Y162&lt;=$U162,"Y","N"))</f>
        <v/>
      </c>
      <c r="AD162" s="22"/>
      <c r="AE162" s="22"/>
      <c r="AF162" s="20" t="str">
        <f>IF($A162="","",IF(IF(OR($B162="",$C162="",$D162="",$V162="",$W162=""),"missing required field; ","")&amp;IF(COUNTIF($A$2:$A$201,$A162)&gt;1,"duplicate ID; ","")&amp;IF(AND($B162&lt;&gt;"",$B162&gt;ReportDate),"received after snapshot date; ","")&amp;IF(AND($I162&lt;&gt;"",$B162&lt;&gt;"",$I162&lt;$B162),"acknowledged before receipt; ","")&amp;IF(AND($K162="Y",$L162="",$W162&lt;&gt;"Logged"),"ID requested date missing; ","")&amp;IF(AND($L162&lt;&gt;"",$M162&lt;&gt;"",$M162&lt;$L162),"ID dates out of order; ","")&amp;IF(AND($K162&lt;&gt;"Y",OR($L162&lt;&gt;"",$W162="Awaiting ID")),"ID fields used but ID_Check_Needed is not Y; ","")&amp;IF(AND($R162="Y",$S162=""),"extension notice date missing; ","")&amp;IF(AND($R162&lt;&gt;"Y",$S162&lt;&gt;""),"notice date but Extended is not Y; ","")&amp;IF(AND($W162="Closed",$Y162=""),"closed without response date; ","")&amp;IF(AND($Y162&lt;&gt;"",$W162&lt;&gt;"Closed"),"response date but status not Closed; ","")&amp;IF(AND($Y162&lt;&gt;"",$B162&lt;&gt;"",$Y162&lt;$B162),"response before receipt; ","")&amp;IF(AND($AD162="Y",$AE162=""),"exemption needs a reason in Notes; ","")="","OK","Check: "&amp;IF(OR($B162="",$C162="",$D162="",$V162="",$W162=""),"missing required field; ","")&amp;IF(COUNTIF($A$2:$A$201,$A162)&gt;1,"duplicate ID; ","")&amp;IF(AND($B162&lt;&gt;"",$B162&gt;ReportDate),"received after snapshot date; ","")&amp;IF(AND($I162&lt;&gt;"",$B162&lt;&gt;"",$I162&lt;$B162),"acknowledged before receipt; ","")&amp;IF(AND($K162="Y",$L162="",$W162&lt;&gt;"Logged"),"ID requested date missing; ","")&amp;IF(AND($L162&lt;&gt;"",$M162&lt;&gt;"",$M162&lt;$L162),"ID dates out of order; ","")&amp;IF(AND($K162&lt;&gt;"Y",OR($L162&lt;&gt;"",$W162="Awaiting ID")),"ID fields used but ID_Check_Needed is not Y; ","")&amp;IF(AND($R162="Y",$S162=""),"extension notice date missing; ","")&amp;IF(AND($R162&lt;&gt;"Y",$S162&lt;&gt;""),"notice date but Extended is not Y; ","")&amp;IF(AND($W162="Closed",$Y162=""),"closed without response date; ","")&amp;IF(AND($Y162&lt;&gt;"",$W162&lt;&gt;"Closed"),"response date but status not Closed; ","")&amp;IF(AND($Y162&lt;&gt;"",$B162&lt;&gt;"",$Y162&lt;$B162),"response before receipt; ","")&amp;IF(AND($AD162="Y",$AE162=""),"exemption needs a reason in Notes; ","")))</f>
        <v/>
      </c>
    </row>
    <row r="163" spans="1:32" x14ac:dyDescent="0.35">
      <c r="A163" s="22"/>
      <c r="B163" s="23"/>
      <c r="C163" s="22"/>
      <c r="D163" s="22"/>
      <c r="E163" s="20" t="str">
        <f>IF($A163="","",IFERROR(VLOOKUP($D163,ReqTypes,2,FALSE),"?"))</f>
        <v/>
      </c>
      <c r="F163" s="20" t="str">
        <f>IF($A163="","",IFERROR(VLOOKUP($D163,ReqTypes,3,FALSE),"?"))</f>
        <v/>
      </c>
      <c r="G163" s="22"/>
      <c r="H163" s="22"/>
      <c r="I163" s="23"/>
      <c r="J163" s="20" t="str">
        <f>IF(OR($A163="",$I163=""),"",IF(NETWORKDAYS($B163,$I163,Holidays)-1&lt;=AckDays,"Y","N"))</f>
        <v/>
      </c>
      <c r="K163" s="22"/>
      <c r="L163" s="23"/>
      <c r="M163" s="23"/>
      <c r="N163" s="20" t="str">
        <f>IF(OR($A163="",$K163&lt;&gt;"Y"),"",IF($L163="","Pending",IF($L163-$B163&lt;=IDPromptDays,"Y","Check")))</f>
        <v/>
      </c>
      <c r="O163" s="20" t="str">
        <f>IF($A163="","",IF(OR($K163&lt;&gt;"Y",$L163=""),0,IF($M163="",MAX(0,ReportDate-$L163),$M163-$L163)))</f>
        <v/>
      </c>
      <c r="P163" s="21" t="str">
        <f>IF($A163="","",IF($F163&lt;&gt;"Y","n/a",WORKDAY(EDATE($B163,1)+$O163-1,1,Holidays)))</f>
        <v/>
      </c>
      <c r="Q163" s="21" t="str">
        <f>IF($A163="","",$B163+$O163+InternalDays)</f>
        <v/>
      </c>
      <c r="R163" s="22"/>
      <c r="S163" s="23"/>
      <c r="T163" s="20" t="str">
        <f t="shared" si="10"/>
        <v/>
      </c>
      <c r="U163" s="21" t="str">
        <f>IF($A163="","",IF($F163&lt;&gt;"Y",$Q163,IF(AND($R163="Y",$T163="Y"),WORKDAY(EDATE($B163,3)+$O163-1,1,Holidays),$P163)))</f>
        <v/>
      </c>
      <c r="V163" s="22"/>
      <c r="W163" s="22"/>
      <c r="X163" s="22"/>
      <c r="Y163" s="23"/>
      <c r="Z163" s="20" t="str">
        <f>IF($A163="","",IF($Y163&lt;&gt;"",$Y163-$B163,ReportDate-$B163))</f>
        <v/>
      </c>
      <c r="AA163" s="20" t="str">
        <f>IF(OR($A163="",$W163="Closed"),"",$U163-ReportDate)</f>
        <v/>
      </c>
      <c r="AB163" s="20" t="str">
        <f>IF($A163="","",IF($W163="Closed",IF($Y163&lt;=$U163,"Closed on time","Closed late"),IF($W163="Awaiting ID","Paused",IF($AA163&lt;0,"Overdue",IF($AA163&lt;=RedDays,"Red",IF($AA163&lt;=AmberDays,"Amber","Green"))))))</f>
        <v/>
      </c>
      <c r="AC163" s="20" t="str">
        <f t="shared" si="11"/>
        <v/>
      </c>
      <c r="AD163" s="22"/>
      <c r="AE163" s="22"/>
      <c r="AF163" s="20" t="str">
        <f>IF($A163="","",IF(IF(OR($B163="",$C163="",$D163="",$V163="",$W163=""),"missing required field; ","")&amp;IF(COUNTIF($A$2:$A$201,$A163)&gt;1,"duplicate ID; ","")&amp;IF(AND($B163&lt;&gt;"",$B163&gt;ReportDate),"received after snapshot date; ","")&amp;IF(AND($I163&lt;&gt;"",$B163&lt;&gt;"",$I163&lt;$B163),"acknowledged before receipt; ","")&amp;IF(AND($K163="Y",$L163="",$W163&lt;&gt;"Logged"),"ID requested date missing; ","")&amp;IF(AND($L163&lt;&gt;"",$M163&lt;&gt;"",$M163&lt;$L163),"ID dates out of order; ","")&amp;IF(AND($K163&lt;&gt;"Y",OR($L163&lt;&gt;"",$W163="Awaiting ID")),"ID fields used but ID_Check_Needed is not Y; ","")&amp;IF(AND($R163="Y",$S163=""),"extension notice date missing; ","")&amp;IF(AND($R163&lt;&gt;"Y",$S163&lt;&gt;""),"notice date but Extended is not Y; ","")&amp;IF(AND($W163="Closed",$Y163=""),"closed without response date; ","")&amp;IF(AND($Y163&lt;&gt;"",$W163&lt;&gt;"Closed"),"response date but status not Closed; ","")&amp;IF(AND($Y163&lt;&gt;"",$B163&lt;&gt;"",$Y163&lt;$B163),"response before receipt; ","")&amp;IF(AND($AD163="Y",$AE163=""),"exemption needs a reason in Notes; ","")="","OK","Check: "&amp;IF(OR($B163="",$C163="",$D163="",$V163="",$W163=""),"missing required field; ","")&amp;IF(COUNTIF($A$2:$A$201,$A163)&gt;1,"duplicate ID; ","")&amp;IF(AND($B163&lt;&gt;"",$B163&gt;ReportDate),"received after snapshot date; ","")&amp;IF(AND($I163&lt;&gt;"",$B163&lt;&gt;"",$I163&lt;$B163),"acknowledged before receipt; ","")&amp;IF(AND($K163="Y",$L163="",$W163&lt;&gt;"Logged"),"ID requested date missing; ","")&amp;IF(AND($L163&lt;&gt;"",$M163&lt;&gt;"",$M163&lt;$L163),"ID dates out of order; ","")&amp;IF(AND($K163&lt;&gt;"Y",OR($L163&lt;&gt;"",$W163="Awaiting ID")),"ID fields used but ID_Check_Needed is not Y; ","")&amp;IF(AND($R163="Y",$S163=""),"extension notice date missing; ","")&amp;IF(AND($R163&lt;&gt;"Y",$S163&lt;&gt;""),"notice date but Extended is not Y; ","")&amp;IF(AND($W163="Closed",$Y163=""),"closed without response date; ","")&amp;IF(AND($Y163&lt;&gt;"",$W163&lt;&gt;"Closed"),"response date but status not Closed; ","")&amp;IF(AND($Y163&lt;&gt;"",$B163&lt;&gt;"",$Y163&lt;$B163),"response before receipt; ","")&amp;IF(AND($AD163="Y",$AE163=""),"exemption needs a reason in Notes; ","")))</f>
        <v/>
      </c>
    </row>
    <row r="164" spans="1:32" x14ac:dyDescent="0.35">
      <c r="A164" s="22"/>
      <c r="B164" s="23"/>
      <c r="C164" s="22"/>
      <c r="D164" s="22"/>
      <c r="E164" s="20" t="str">
        <f>IF($A164="","",IFERROR(VLOOKUP($D164,ReqTypes,2,FALSE),"?"))</f>
        <v/>
      </c>
      <c r="F164" s="20" t="str">
        <f>IF($A164="","",IFERROR(VLOOKUP($D164,ReqTypes,3,FALSE),"?"))</f>
        <v/>
      </c>
      <c r="G164" s="22"/>
      <c r="H164" s="22"/>
      <c r="I164" s="23"/>
      <c r="J164" s="20" t="str">
        <f>IF(OR($A164="",$I164=""),"",IF(NETWORKDAYS($B164,$I164,Holidays)-1&lt;=AckDays,"Y","N"))</f>
        <v/>
      </c>
      <c r="K164" s="22"/>
      <c r="L164" s="23"/>
      <c r="M164" s="23"/>
      <c r="N164" s="20" t="str">
        <f>IF(OR($A164="",$K164&lt;&gt;"Y"),"",IF($L164="","Pending",IF($L164-$B164&lt;=IDPromptDays,"Y","Check")))</f>
        <v/>
      </c>
      <c r="O164" s="20" t="str">
        <f>IF($A164="","",IF(OR($K164&lt;&gt;"Y",$L164=""),0,IF($M164="",MAX(0,ReportDate-$L164),$M164-$L164)))</f>
        <v/>
      </c>
      <c r="P164" s="21" t="str">
        <f>IF($A164="","",IF($F164&lt;&gt;"Y","n/a",WORKDAY(EDATE($B164,1)+$O164-1,1,Holidays)))</f>
        <v/>
      </c>
      <c r="Q164" s="21" t="str">
        <f>IF($A164="","",$B164+$O164+InternalDays)</f>
        <v/>
      </c>
      <c r="R164" s="22"/>
      <c r="S164" s="23"/>
      <c r="T164" s="20" t="str">
        <f t="shared" si="10"/>
        <v/>
      </c>
      <c r="U164" s="21" t="str">
        <f>IF($A164="","",IF($F164&lt;&gt;"Y",$Q164,IF(AND($R164="Y",$T164="Y"),WORKDAY(EDATE($B164,3)+$O164-1,1,Holidays),$P164)))</f>
        <v/>
      </c>
      <c r="V164" s="22"/>
      <c r="W164" s="22"/>
      <c r="X164" s="22"/>
      <c r="Y164" s="23"/>
      <c r="Z164" s="20" t="str">
        <f>IF($A164="","",IF($Y164&lt;&gt;"",$Y164-$B164,ReportDate-$B164))</f>
        <v/>
      </c>
      <c r="AA164" s="20" t="str">
        <f>IF(OR($A164="",$W164="Closed"),"",$U164-ReportDate)</f>
        <v/>
      </c>
      <c r="AB164" s="20" t="str">
        <f>IF($A164="","",IF($W164="Closed",IF($Y164&lt;=$U164,"Closed on time","Closed late"),IF($W164="Awaiting ID","Paused",IF($AA164&lt;0,"Overdue",IF($AA164&lt;=RedDays,"Red",IF($AA164&lt;=AmberDays,"Amber","Green"))))))</f>
        <v/>
      </c>
      <c r="AC164" s="20" t="str">
        <f t="shared" si="11"/>
        <v/>
      </c>
      <c r="AD164" s="22"/>
      <c r="AE164" s="22"/>
      <c r="AF164" s="20" t="str">
        <f>IF($A164="","",IF(IF(OR($B164="",$C164="",$D164="",$V164="",$W164=""),"missing required field; ","")&amp;IF(COUNTIF($A$2:$A$201,$A164)&gt;1,"duplicate ID; ","")&amp;IF(AND($B164&lt;&gt;"",$B164&gt;ReportDate),"received after snapshot date; ","")&amp;IF(AND($I164&lt;&gt;"",$B164&lt;&gt;"",$I164&lt;$B164),"acknowledged before receipt; ","")&amp;IF(AND($K164="Y",$L164="",$W164&lt;&gt;"Logged"),"ID requested date missing; ","")&amp;IF(AND($L164&lt;&gt;"",$M164&lt;&gt;"",$M164&lt;$L164),"ID dates out of order; ","")&amp;IF(AND($K164&lt;&gt;"Y",OR($L164&lt;&gt;"",$W164="Awaiting ID")),"ID fields used but ID_Check_Needed is not Y; ","")&amp;IF(AND($R164="Y",$S164=""),"extension notice date missing; ","")&amp;IF(AND($R164&lt;&gt;"Y",$S164&lt;&gt;""),"notice date but Extended is not Y; ","")&amp;IF(AND($W164="Closed",$Y164=""),"closed without response date; ","")&amp;IF(AND($Y164&lt;&gt;"",$W164&lt;&gt;"Closed"),"response date but status not Closed; ","")&amp;IF(AND($Y164&lt;&gt;"",$B164&lt;&gt;"",$Y164&lt;$B164),"response before receipt; ","")&amp;IF(AND($AD164="Y",$AE164=""),"exemption needs a reason in Notes; ","")="","OK","Check: "&amp;IF(OR($B164="",$C164="",$D164="",$V164="",$W164=""),"missing required field; ","")&amp;IF(COUNTIF($A$2:$A$201,$A164)&gt;1,"duplicate ID; ","")&amp;IF(AND($B164&lt;&gt;"",$B164&gt;ReportDate),"received after snapshot date; ","")&amp;IF(AND($I164&lt;&gt;"",$B164&lt;&gt;"",$I164&lt;$B164),"acknowledged before receipt; ","")&amp;IF(AND($K164="Y",$L164="",$W164&lt;&gt;"Logged"),"ID requested date missing; ","")&amp;IF(AND($L164&lt;&gt;"",$M164&lt;&gt;"",$M164&lt;$L164),"ID dates out of order; ","")&amp;IF(AND($K164&lt;&gt;"Y",OR($L164&lt;&gt;"",$W164="Awaiting ID")),"ID fields used but ID_Check_Needed is not Y; ","")&amp;IF(AND($R164="Y",$S164=""),"extension notice date missing; ","")&amp;IF(AND($R164&lt;&gt;"Y",$S164&lt;&gt;""),"notice date but Extended is not Y; ","")&amp;IF(AND($W164="Closed",$Y164=""),"closed without response date; ","")&amp;IF(AND($Y164&lt;&gt;"",$W164&lt;&gt;"Closed"),"response date but status not Closed; ","")&amp;IF(AND($Y164&lt;&gt;"",$B164&lt;&gt;"",$Y164&lt;$B164),"response before receipt; ","")&amp;IF(AND($AD164="Y",$AE164=""),"exemption needs a reason in Notes; ","")))</f>
        <v/>
      </c>
    </row>
    <row r="165" spans="1:32" x14ac:dyDescent="0.35">
      <c r="A165" s="22"/>
      <c r="B165" s="23"/>
      <c r="C165" s="22"/>
      <c r="D165" s="22"/>
      <c r="E165" s="20" t="str">
        <f>IF($A165="","",IFERROR(VLOOKUP($D165,ReqTypes,2,FALSE),"?"))</f>
        <v/>
      </c>
      <c r="F165" s="20" t="str">
        <f>IF($A165="","",IFERROR(VLOOKUP($D165,ReqTypes,3,FALSE),"?"))</f>
        <v/>
      </c>
      <c r="G165" s="22"/>
      <c r="H165" s="22"/>
      <c r="I165" s="23"/>
      <c r="J165" s="20" t="str">
        <f>IF(OR($A165="",$I165=""),"",IF(NETWORKDAYS($B165,$I165,Holidays)-1&lt;=AckDays,"Y","N"))</f>
        <v/>
      </c>
      <c r="K165" s="22"/>
      <c r="L165" s="23"/>
      <c r="M165" s="23"/>
      <c r="N165" s="20" t="str">
        <f>IF(OR($A165="",$K165&lt;&gt;"Y"),"",IF($L165="","Pending",IF($L165-$B165&lt;=IDPromptDays,"Y","Check")))</f>
        <v/>
      </c>
      <c r="O165" s="20" t="str">
        <f>IF($A165="","",IF(OR($K165&lt;&gt;"Y",$L165=""),0,IF($M165="",MAX(0,ReportDate-$L165),$M165-$L165)))</f>
        <v/>
      </c>
      <c r="P165" s="21" t="str">
        <f>IF($A165="","",IF($F165&lt;&gt;"Y","n/a",WORKDAY(EDATE($B165,1)+$O165-1,1,Holidays)))</f>
        <v/>
      </c>
      <c r="Q165" s="21" t="str">
        <f>IF($A165="","",$B165+$O165+InternalDays)</f>
        <v/>
      </c>
      <c r="R165" s="22"/>
      <c r="S165" s="23"/>
      <c r="T165" s="20" t="str">
        <f t="shared" si="10"/>
        <v/>
      </c>
      <c r="U165" s="21" t="str">
        <f>IF($A165="","",IF($F165&lt;&gt;"Y",$Q165,IF(AND($R165="Y",$T165="Y"),WORKDAY(EDATE($B165,3)+$O165-1,1,Holidays),$P165)))</f>
        <v/>
      </c>
      <c r="V165" s="22"/>
      <c r="W165" s="22"/>
      <c r="X165" s="22"/>
      <c r="Y165" s="23"/>
      <c r="Z165" s="20" t="str">
        <f>IF($A165="","",IF($Y165&lt;&gt;"",$Y165-$B165,ReportDate-$B165))</f>
        <v/>
      </c>
      <c r="AA165" s="20" t="str">
        <f>IF(OR($A165="",$W165="Closed"),"",$U165-ReportDate)</f>
        <v/>
      </c>
      <c r="AB165" s="20" t="str">
        <f>IF($A165="","",IF($W165="Closed",IF($Y165&lt;=$U165,"Closed on time","Closed late"),IF($W165="Awaiting ID","Paused",IF($AA165&lt;0,"Overdue",IF($AA165&lt;=RedDays,"Red",IF($AA165&lt;=AmberDays,"Amber","Green"))))))</f>
        <v/>
      </c>
      <c r="AC165" s="20" t="str">
        <f t="shared" si="11"/>
        <v/>
      </c>
      <c r="AD165" s="22"/>
      <c r="AE165" s="22"/>
      <c r="AF165" s="20" t="str">
        <f>IF($A165="","",IF(IF(OR($B165="",$C165="",$D165="",$V165="",$W165=""),"missing required field; ","")&amp;IF(COUNTIF($A$2:$A$201,$A165)&gt;1,"duplicate ID; ","")&amp;IF(AND($B165&lt;&gt;"",$B165&gt;ReportDate),"received after snapshot date; ","")&amp;IF(AND($I165&lt;&gt;"",$B165&lt;&gt;"",$I165&lt;$B165),"acknowledged before receipt; ","")&amp;IF(AND($K165="Y",$L165="",$W165&lt;&gt;"Logged"),"ID requested date missing; ","")&amp;IF(AND($L165&lt;&gt;"",$M165&lt;&gt;"",$M165&lt;$L165),"ID dates out of order; ","")&amp;IF(AND($K165&lt;&gt;"Y",OR($L165&lt;&gt;"",$W165="Awaiting ID")),"ID fields used but ID_Check_Needed is not Y; ","")&amp;IF(AND($R165="Y",$S165=""),"extension notice date missing; ","")&amp;IF(AND($R165&lt;&gt;"Y",$S165&lt;&gt;""),"notice date but Extended is not Y; ","")&amp;IF(AND($W165="Closed",$Y165=""),"closed without response date; ","")&amp;IF(AND($Y165&lt;&gt;"",$W165&lt;&gt;"Closed"),"response date but status not Closed; ","")&amp;IF(AND($Y165&lt;&gt;"",$B165&lt;&gt;"",$Y165&lt;$B165),"response before receipt; ","")&amp;IF(AND($AD165="Y",$AE165=""),"exemption needs a reason in Notes; ","")="","OK","Check: "&amp;IF(OR($B165="",$C165="",$D165="",$V165="",$W165=""),"missing required field; ","")&amp;IF(COUNTIF($A$2:$A$201,$A165)&gt;1,"duplicate ID; ","")&amp;IF(AND($B165&lt;&gt;"",$B165&gt;ReportDate),"received after snapshot date; ","")&amp;IF(AND($I165&lt;&gt;"",$B165&lt;&gt;"",$I165&lt;$B165),"acknowledged before receipt; ","")&amp;IF(AND($K165="Y",$L165="",$W165&lt;&gt;"Logged"),"ID requested date missing; ","")&amp;IF(AND($L165&lt;&gt;"",$M165&lt;&gt;"",$M165&lt;$L165),"ID dates out of order; ","")&amp;IF(AND($K165&lt;&gt;"Y",OR($L165&lt;&gt;"",$W165="Awaiting ID")),"ID fields used but ID_Check_Needed is not Y; ","")&amp;IF(AND($R165="Y",$S165=""),"extension notice date missing; ","")&amp;IF(AND($R165&lt;&gt;"Y",$S165&lt;&gt;""),"notice date but Extended is not Y; ","")&amp;IF(AND($W165="Closed",$Y165=""),"closed without response date; ","")&amp;IF(AND($Y165&lt;&gt;"",$W165&lt;&gt;"Closed"),"response date but status not Closed; ","")&amp;IF(AND($Y165&lt;&gt;"",$B165&lt;&gt;"",$Y165&lt;$B165),"response before receipt; ","")&amp;IF(AND($AD165="Y",$AE165=""),"exemption needs a reason in Notes; ","")))</f>
        <v/>
      </c>
    </row>
    <row r="166" spans="1:32" x14ac:dyDescent="0.35">
      <c r="A166" s="22"/>
      <c r="B166" s="23"/>
      <c r="C166" s="22"/>
      <c r="D166" s="22"/>
      <c r="E166" s="20" t="str">
        <f>IF($A166="","",IFERROR(VLOOKUP($D166,ReqTypes,2,FALSE),"?"))</f>
        <v/>
      </c>
      <c r="F166" s="20" t="str">
        <f>IF($A166="","",IFERROR(VLOOKUP($D166,ReqTypes,3,FALSE),"?"))</f>
        <v/>
      </c>
      <c r="G166" s="22"/>
      <c r="H166" s="22"/>
      <c r="I166" s="23"/>
      <c r="J166" s="20" t="str">
        <f>IF(OR($A166="",$I166=""),"",IF(NETWORKDAYS($B166,$I166,Holidays)-1&lt;=AckDays,"Y","N"))</f>
        <v/>
      </c>
      <c r="K166" s="22"/>
      <c r="L166" s="23"/>
      <c r="M166" s="23"/>
      <c r="N166" s="20" t="str">
        <f>IF(OR($A166="",$K166&lt;&gt;"Y"),"",IF($L166="","Pending",IF($L166-$B166&lt;=IDPromptDays,"Y","Check")))</f>
        <v/>
      </c>
      <c r="O166" s="20" t="str">
        <f>IF($A166="","",IF(OR($K166&lt;&gt;"Y",$L166=""),0,IF($M166="",MAX(0,ReportDate-$L166),$M166-$L166)))</f>
        <v/>
      </c>
      <c r="P166" s="21" t="str">
        <f>IF($A166="","",IF($F166&lt;&gt;"Y","n/a",WORKDAY(EDATE($B166,1)+$O166-1,1,Holidays)))</f>
        <v/>
      </c>
      <c r="Q166" s="21" t="str">
        <f>IF($A166="","",$B166+$O166+InternalDays)</f>
        <v/>
      </c>
      <c r="R166" s="22"/>
      <c r="S166" s="23"/>
      <c r="T166" s="20" t="str">
        <f t="shared" si="10"/>
        <v/>
      </c>
      <c r="U166" s="21" t="str">
        <f>IF($A166="","",IF($F166&lt;&gt;"Y",$Q166,IF(AND($R166="Y",$T166="Y"),WORKDAY(EDATE($B166,3)+$O166-1,1,Holidays),$P166)))</f>
        <v/>
      </c>
      <c r="V166" s="22"/>
      <c r="W166" s="22"/>
      <c r="X166" s="22"/>
      <c r="Y166" s="23"/>
      <c r="Z166" s="20" t="str">
        <f>IF($A166="","",IF($Y166&lt;&gt;"",$Y166-$B166,ReportDate-$B166))</f>
        <v/>
      </c>
      <c r="AA166" s="20" t="str">
        <f>IF(OR($A166="",$W166="Closed"),"",$U166-ReportDate)</f>
        <v/>
      </c>
      <c r="AB166" s="20" t="str">
        <f>IF($A166="","",IF($W166="Closed",IF($Y166&lt;=$U166,"Closed on time","Closed late"),IF($W166="Awaiting ID","Paused",IF($AA166&lt;0,"Overdue",IF($AA166&lt;=RedDays,"Red",IF($AA166&lt;=AmberDays,"Amber","Green"))))))</f>
        <v/>
      </c>
      <c r="AC166" s="20" t="str">
        <f t="shared" si="11"/>
        <v/>
      </c>
      <c r="AD166" s="22"/>
      <c r="AE166" s="22"/>
      <c r="AF166" s="20" t="str">
        <f>IF($A166="","",IF(IF(OR($B166="",$C166="",$D166="",$V166="",$W166=""),"missing required field; ","")&amp;IF(COUNTIF($A$2:$A$201,$A166)&gt;1,"duplicate ID; ","")&amp;IF(AND($B166&lt;&gt;"",$B166&gt;ReportDate),"received after snapshot date; ","")&amp;IF(AND($I166&lt;&gt;"",$B166&lt;&gt;"",$I166&lt;$B166),"acknowledged before receipt; ","")&amp;IF(AND($K166="Y",$L166="",$W166&lt;&gt;"Logged"),"ID requested date missing; ","")&amp;IF(AND($L166&lt;&gt;"",$M166&lt;&gt;"",$M166&lt;$L166),"ID dates out of order; ","")&amp;IF(AND($K166&lt;&gt;"Y",OR($L166&lt;&gt;"",$W166="Awaiting ID")),"ID fields used but ID_Check_Needed is not Y; ","")&amp;IF(AND($R166="Y",$S166=""),"extension notice date missing; ","")&amp;IF(AND($R166&lt;&gt;"Y",$S166&lt;&gt;""),"notice date but Extended is not Y; ","")&amp;IF(AND($W166="Closed",$Y166=""),"closed without response date; ","")&amp;IF(AND($Y166&lt;&gt;"",$W166&lt;&gt;"Closed"),"response date but status not Closed; ","")&amp;IF(AND($Y166&lt;&gt;"",$B166&lt;&gt;"",$Y166&lt;$B166),"response before receipt; ","")&amp;IF(AND($AD166="Y",$AE166=""),"exemption needs a reason in Notes; ","")="","OK","Check: "&amp;IF(OR($B166="",$C166="",$D166="",$V166="",$W166=""),"missing required field; ","")&amp;IF(COUNTIF($A$2:$A$201,$A166)&gt;1,"duplicate ID; ","")&amp;IF(AND($B166&lt;&gt;"",$B166&gt;ReportDate),"received after snapshot date; ","")&amp;IF(AND($I166&lt;&gt;"",$B166&lt;&gt;"",$I166&lt;$B166),"acknowledged before receipt; ","")&amp;IF(AND($K166="Y",$L166="",$W166&lt;&gt;"Logged"),"ID requested date missing; ","")&amp;IF(AND($L166&lt;&gt;"",$M166&lt;&gt;"",$M166&lt;$L166),"ID dates out of order; ","")&amp;IF(AND($K166&lt;&gt;"Y",OR($L166&lt;&gt;"",$W166="Awaiting ID")),"ID fields used but ID_Check_Needed is not Y; ","")&amp;IF(AND($R166="Y",$S166=""),"extension notice date missing; ","")&amp;IF(AND($R166&lt;&gt;"Y",$S166&lt;&gt;""),"notice date but Extended is not Y; ","")&amp;IF(AND($W166="Closed",$Y166=""),"closed without response date; ","")&amp;IF(AND($Y166&lt;&gt;"",$W166&lt;&gt;"Closed"),"response date but status not Closed; ","")&amp;IF(AND($Y166&lt;&gt;"",$B166&lt;&gt;"",$Y166&lt;$B166),"response before receipt; ","")&amp;IF(AND($AD166="Y",$AE166=""),"exemption needs a reason in Notes; ","")))</f>
        <v/>
      </c>
    </row>
    <row r="167" spans="1:32" x14ac:dyDescent="0.35">
      <c r="A167" s="22"/>
      <c r="B167" s="23"/>
      <c r="C167" s="22"/>
      <c r="D167" s="22"/>
      <c r="E167" s="20" t="str">
        <f>IF($A167="","",IFERROR(VLOOKUP($D167,ReqTypes,2,FALSE),"?"))</f>
        <v/>
      </c>
      <c r="F167" s="20" t="str">
        <f>IF($A167="","",IFERROR(VLOOKUP($D167,ReqTypes,3,FALSE),"?"))</f>
        <v/>
      </c>
      <c r="G167" s="22"/>
      <c r="H167" s="22"/>
      <c r="I167" s="23"/>
      <c r="J167" s="20" t="str">
        <f>IF(OR($A167="",$I167=""),"",IF(NETWORKDAYS($B167,$I167,Holidays)-1&lt;=AckDays,"Y","N"))</f>
        <v/>
      </c>
      <c r="K167" s="22"/>
      <c r="L167" s="23"/>
      <c r="M167" s="23"/>
      <c r="N167" s="20" t="str">
        <f>IF(OR($A167="",$K167&lt;&gt;"Y"),"",IF($L167="","Pending",IF($L167-$B167&lt;=IDPromptDays,"Y","Check")))</f>
        <v/>
      </c>
      <c r="O167" s="20" t="str">
        <f>IF($A167="","",IF(OR($K167&lt;&gt;"Y",$L167=""),0,IF($M167="",MAX(0,ReportDate-$L167),$M167-$L167)))</f>
        <v/>
      </c>
      <c r="P167" s="21" t="str">
        <f>IF($A167="","",IF($F167&lt;&gt;"Y","n/a",WORKDAY(EDATE($B167,1)+$O167-1,1,Holidays)))</f>
        <v/>
      </c>
      <c r="Q167" s="21" t="str">
        <f>IF($A167="","",$B167+$O167+InternalDays)</f>
        <v/>
      </c>
      <c r="R167" s="22"/>
      <c r="S167" s="23"/>
      <c r="T167" s="20" t="str">
        <f t="shared" si="10"/>
        <v/>
      </c>
      <c r="U167" s="21" t="str">
        <f>IF($A167="","",IF($F167&lt;&gt;"Y",$Q167,IF(AND($R167="Y",$T167="Y"),WORKDAY(EDATE($B167,3)+$O167-1,1,Holidays),$P167)))</f>
        <v/>
      </c>
      <c r="V167" s="22"/>
      <c r="W167" s="22"/>
      <c r="X167" s="22"/>
      <c r="Y167" s="23"/>
      <c r="Z167" s="20" t="str">
        <f>IF($A167="","",IF($Y167&lt;&gt;"",$Y167-$B167,ReportDate-$B167))</f>
        <v/>
      </c>
      <c r="AA167" s="20" t="str">
        <f>IF(OR($A167="",$W167="Closed"),"",$U167-ReportDate)</f>
        <v/>
      </c>
      <c r="AB167" s="20" t="str">
        <f>IF($A167="","",IF($W167="Closed",IF($Y167&lt;=$U167,"Closed on time","Closed late"),IF($W167="Awaiting ID","Paused",IF($AA167&lt;0,"Overdue",IF($AA167&lt;=RedDays,"Red",IF($AA167&lt;=AmberDays,"Amber","Green"))))))</f>
        <v/>
      </c>
      <c r="AC167" s="20" t="str">
        <f t="shared" si="11"/>
        <v/>
      </c>
      <c r="AD167" s="22"/>
      <c r="AE167" s="22"/>
      <c r="AF167" s="20" t="str">
        <f>IF($A167="","",IF(IF(OR($B167="",$C167="",$D167="",$V167="",$W167=""),"missing required field; ","")&amp;IF(COUNTIF($A$2:$A$201,$A167)&gt;1,"duplicate ID; ","")&amp;IF(AND($B167&lt;&gt;"",$B167&gt;ReportDate),"received after snapshot date; ","")&amp;IF(AND($I167&lt;&gt;"",$B167&lt;&gt;"",$I167&lt;$B167),"acknowledged before receipt; ","")&amp;IF(AND($K167="Y",$L167="",$W167&lt;&gt;"Logged"),"ID requested date missing; ","")&amp;IF(AND($L167&lt;&gt;"",$M167&lt;&gt;"",$M167&lt;$L167),"ID dates out of order; ","")&amp;IF(AND($K167&lt;&gt;"Y",OR($L167&lt;&gt;"",$W167="Awaiting ID")),"ID fields used but ID_Check_Needed is not Y; ","")&amp;IF(AND($R167="Y",$S167=""),"extension notice date missing; ","")&amp;IF(AND($R167&lt;&gt;"Y",$S167&lt;&gt;""),"notice date but Extended is not Y; ","")&amp;IF(AND($W167="Closed",$Y167=""),"closed without response date; ","")&amp;IF(AND($Y167&lt;&gt;"",$W167&lt;&gt;"Closed"),"response date but status not Closed; ","")&amp;IF(AND($Y167&lt;&gt;"",$B167&lt;&gt;"",$Y167&lt;$B167),"response before receipt; ","")&amp;IF(AND($AD167="Y",$AE167=""),"exemption needs a reason in Notes; ","")="","OK","Check: "&amp;IF(OR($B167="",$C167="",$D167="",$V167="",$W167=""),"missing required field; ","")&amp;IF(COUNTIF($A$2:$A$201,$A167)&gt;1,"duplicate ID; ","")&amp;IF(AND($B167&lt;&gt;"",$B167&gt;ReportDate),"received after snapshot date; ","")&amp;IF(AND($I167&lt;&gt;"",$B167&lt;&gt;"",$I167&lt;$B167),"acknowledged before receipt; ","")&amp;IF(AND($K167="Y",$L167="",$W167&lt;&gt;"Logged"),"ID requested date missing; ","")&amp;IF(AND($L167&lt;&gt;"",$M167&lt;&gt;"",$M167&lt;$L167),"ID dates out of order; ","")&amp;IF(AND($K167&lt;&gt;"Y",OR($L167&lt;&gt;"",$W167="Awaiting ID")),"ID fields used but ID_Check_Needed is not Y; ","")&amp;IF(AND($R167="Y",$S167=""),"extension notice date missing; ","")&amp;IF(AND($R167&lt;&gt;"Y",$S167&lt;&gt;""),"notice date but Extended is not Y; ","")&amp;IF(AND($W167="Closed",$Y167=""),"closed without response date; ","")&amp;IF(AND($Y167&lt;&gt;"",$W167&lt;&gt;"Closed"),"response date but status not Closed; ","")&amp;IF(AND($Y167&lt;&gt;"",$B167&lt;&gt;"",$Y167&lt;$B167),"response before receipt; ","")&amp;IF(AND($AD167="Y",$AE167=""),"exemption needs a reason in Notes; ","")))</f>
        <v/>
      </c>
    </row>
    <row r="168" spans="1:32" x14ac:dyDescent="0.35">
      <c r="A168" s="22"/>
      <c r="B168" s="23"/>
      <c r="C168" s="22"/>
      <c r="D168" s="22"/>
      <c r="E168" s="20" t="str">
        <f>IF($A168="","",IFERROR(VLOOKUP($D168,ReqTypes,2,FALSE),"?"))</f>
        <v/>
      </c>
      <c r="F168" s="20" t="str">
        <f>IF($A168="","",IFERROR(VLOOKUP($D168,ReqTypes,3,FALSE),"?"))</f>
        <v/>
      </c>
      <c r="G168" s="22"/>
      <c r="H168" s="22"/>
      <c r="I168" s="23"/>
      <c r="J168" s="20" t="str">
        <f>IF(OR($A168="",$I168=""),"",IF(NETWORKDAYS($B168,$I168,Holidays)-1&lt;=AckDays,"Y","N"))</f>
        <v/>
      </c>
      <c r="K168" s="22"/>
      <c r="L168" s="23"/>
      <c r="M168" s="23"/>
      <c r="N168" s="20" t="str">
        <f>IF(OR($A168="",$K168&lt;&gt;"Y"),"",IF($L168="","Pending",IF($L168-$B168&lt;=IDPromptDays,"Y","Check")))</f>
        <v/>
      </c>
      <c r="O168" s="20" t="str">
        <f>IF($A168="","",IF(OR($K168&lt;&gt;"Y",$L168=""),0,IF($M168="",MAX(0,ReportDate-$L168),$M168-$L168)))</f>
        <v/>
      </c>
      <c r="P168" s="21" t="str">
        <f>IF($A168="","",IF($F168&lt;&gt;"Y","n/a",WORKDAY(EDATE($B168,1)+$O168-1,1,Holidays)))</f>
        <v/>
      </c>
      <c r="Q168" s="21" t="str">
        <f>IF($A168="","",$B168+$O168+InternalDays)</f>
        <v/>
      </c>
      <c r="R168" s="22"/>
      <c r="S168" s="23"/>
      <c r="T168" s="20" t="str">
        <f t="shared" si="10"/>
        <v/>
      </c>
      <c r="U168" s="21" t="str">
        <f>IF($A168="","",IF($F168&lt;&gt;"Y",$Q168,IF(AND($R168="Y",$T168="Y"),WORKDAY(EDATE($B168,3)+$O168-1,1,Holidays),$P168)))</f>
        <v/>
      </c>
      <c r="V168" s="22"/>
      <c r="W168" s="22"/>
      <c r="X168" s="22"/>
      <c r="Y168" s="23"/>
      <c r="Z168" s="20" t="str">
        <f>IF($A168="","",IF($Y168&lt;&gt;"",$Y168-$B168,ReportDate-$B168))</f>
        <v/>
      </c>
      <c r="AA168" s="20" t="str">
        <f>IF(OR($A168="",$W168="Closed"),"",$U168-ReportDate)</f>
        <v/>
      </c>
      <c r="AB168" s="20" t="str">
        <f>IF($A168="","",IF($W168="Closed",IF($Y168&lt;=$U168,"Closed on time","Closed late"),IF($W168="Awaiting ID","Paused",IF($AA168&lt;0,"Overdue",IF($AA168&lt;=RedDays,"Red",IF($AA168&lt;=AmberDays,"Amber","Green"))))))</f>
        <v/>
      </c>
      <c r="AC168" s="20" t="str">
        <f t="shared" si="11"/>
        <v/>
      </c>
      <c r="AD168" s="22"/>
      <c r="AE168" s="22"/>
      <c r="AF168" s="20" t="str">
        <f>IF($A168="","",IF(IF(OR($B168="",$C168="",$D168="",$V168="",$W168=""),"missing required field; ","")&amp;IF(COUNTIF($A$2:$A$201,$A168)&gt;1,"duplicate ID; ","")&amp;IF(AND($B168&lt;&gt;"",$B168&gt;ReportDate),"received after snapshot date; ","")&amp;IF(AND($I168&lt;&gt;"",$B168&lt;&gt;"",$I168&lt;$B168),"acknowledged before receipt; ","")&amp;IF(AND($K168="Y",$L168="",$W168&lt;&gt;"Logged"),"ID requested date missing; ","")&amp;IF(AND($L168&lt;&gt;"",$M168&lt;&gt;"",$M168&lt;$L168),"ID dates out of order; ","")&amp;IF(AND($K168&lt;&gt;"Y",OR($L168&lt;&gt;"",$W168="Awaiting ID")),"ID fields used but ID_Check_Needed is not Y; ","")&amp;IF(AND($R168="Y",$S168=""),"extension notice date missing; ","")&amp;IF(AND($R168&lt;&gt;"Y",$S168&lt;&gt;""),"notice date but Extended is not Y; ","")&amp;IF(AND($W168="Closed",$Y168=""),"closed without response date; ","")&amp;IF(AND($Y168&lt;&gt;"",$W168&lt;&gt;"Closed"),"response date but status not Closed; ","")&amp;IF(AND($Y168&lt;&gt;"",$B168&lt;&gt;"",$Y168&lt;$B168),"response before receipt; ","")&amp;IF(AND($AD168="Y",$AE168=""),"exemption needs a reason in Notes; ","")="","OK","Check: "&amp;IF(OR($B168="",$C168="",$D168="",$V168="",$W168=""),"missing required field; ","")&amp;IF(COUNTIF($A$2:$A$201,$A168)&gt;1,"duplicate ID; ","")&amp;IF(AND($B168&lt;&gt;"",$B168&gt;ReportDate),"received after snapshot date; ","")&amp;IF(AND($I168&lt;&gt;"",$B168&lt;&gt;"",$I168&lt;$B168),"acknowledged before receipt; ","")&amp;IF(AND($K168="Y",$L168="",$W168&lt;&gt;"Logged"),"ID requested date missing; ","")&amp;IF(AND($L168&lt;&gt;"",$M168&lt;&gt;"",$M168&lt;$L168),"ID dates out of order; ","")&amp;IF(AND($K168&lt;&gt;"Y",OR($L168&lt;&gt;"",$W168="Awaiting ID")),"ID fields used but ID_Check_Needed is not Y; ","")&amp;IF(AND($R168="Y",$S168=""),"extension notice date missing; ","")&amp;IF(AND($R168&lt;&gt;"Y",$S168&lt;&gt;""),"notice date but Extended is not Y; ","")&amp;IF(AND($W168="Closed",$Y168=""),"closed without response date; ","")&amp;IF(AND($Y168&lt;&gt;"",$W168&lt;&gt;"Closed"),"response date but status not Closed; ","")&amp;IF(AND($Y168&lt;&gt;"",$B168&lt;&gt;"",$Y168&lt;$B168),"response before receipt; ","")&amp;IF(AND($AD168="Y",$AE168=""),"exemption needs a reason in Notes; ","")))</f>
        <v/>
      </c>
    </row>
    <row r="169" spans="1:32" x14ac:dyDescent="0.35">
      <c r="A169" s="22"/>
      <c r="B169" s="23"/>
      <c r="C169" s="22"/>
      <c r="D169" s="22"/>
      <c r="E169" s="20" t="str">
        <f>IF($A169="","",IFERROR(VLOOKUP($D169,ReqTypes,2,FALSE),"?"))</f>
        <v/>
      </c>
      <c r="F169" s="20" t="str">
        <f>IF($A169="","",IFERROR(VLOOKUP($D169,ReqTypes,3,FALSE),"?"))</f>
        <v/>
      </c>
      <c r="G169" s="22"/>
      <c r="H169" s="22"/>
      <c r="I169" s="23"/>
      <c r="J169" s="20" t="str">
        <f>IF(OR($A169="",$I169=""),"",IF(NETWORKDAYS($B169,$I169,Holidays)-1&lt;=AckDays,"Y","N"))</f>
        <v/>
      </c>
      <c r="K169" s="22"/>
      <c r="L169" s="23"/>
      <c r="M169" s="23"/>
      <c r="N169" s="20" t="str">
        <f>IF(OR($A169="",$K169&lt;&gt;"Y"),"",IF($L169="","Pending",IF($L169-$B169&lt;=IDPromptDays,"Y","Check")))</f>
        <v/>
      </c>
      <c r="O169" s="20" t="str">
        <f>IF($A169="","",IF(OR($K169&lt;&gt;"Y",$L169=""),0,IF($M169="",MAX(0,ReportDate-$L169),$M169-$L169)))</f>
        <v/>
      </c>
      <c r="P169" s="21" t="str">
        <f>IF($A169="","",IF($F169&lt;&gt;"Y","n/a",WORKDAY(EDATE($B169,1)+$O169-1,1,Holidays)))</f>
        <v/>
      </c>
      <c r="Q169" s="21" t="str">
        <f>IF($A169="","",$B169+$O169+InternalDays)</f>
        <v/>
      </c>
      <c r="R169" s="22"/>
      <c r="S169" s="23"/>
      <c r="T169" s="20" t="str">
        <f t="shared" si="10"/>
        <v/>
      </c>
      <c r="U169" s="21" t="str">
        <f>IF($A169="","",IF($F169&lt;&gt;"Y",$Q169,IF(AND($R169="Y",$T169="Y"),WORKDAY(EDATE($B169,3)+$O169-1,1,Holidays),$P169)))</f>
        <v/>
      </c>
      <c r="V169" s="22"/>
      <c r="W169" s="22"/>
      <c r="X169" s="22"/>
      <c r="Y169" s="23"/>
      <c r="Z169" s="20" t="str">
        <f>IF($A169="","",IF($Y169&lt;&gt;"",$Y169-$B169,ReportDate-$B169))</f>
        <v/>
      </c>
      <c r="AA169" s="20" t="str">
        <f>IF(OR($A169="",$W169="Closed"),"",$U169-ReportDate)</f>
        <v/>
      </c>
      <c r="AB169" s="20" t="str">
        <f>IF($A169="","",IF($W169="Closed",IF($Y169&lt;=$U169,"Closed on time","Closed late"),IF($W169="Awaiting ID","Paused",IF($AA169&lt;0,"Overdue",IF($AA169&lt;=RedDays,"Red",IF($AA169&lt;=AmberDays,"Amber","Green"))))))</f>
        <v/>
      </c>
      <c r="AC169" s="20" t="str">
        <f t="shared" si="11"/>
        <v/>
      </c>
      <c r="AD169" s="22"/>
      <c r="AE169" s="22"/>
      <c r="AF169" s="20" t="str">
        <f>IF($A169="","",IF(IF(OR($B169="",$C169="",$D169="",$V169="",$W169=""),"missing required field; ","")&amp;IF(COUNTIF($A$2:$A$201,$A169)&gt;1,"duplicate ID; ","")&amp;IF(AND($B169&lt;&gt;"",$B169&gt;ReportDate),"received after snapshot date; ","")&amp;IF(AND($I169&lt;&gt;"",$B169&lt;&gt;"",$I169&lt;$B169),"acknowledged before receipt; ","")&amp;IF(AND($K169="Y",$L169="",$W169&lt;&gt;"Logged"),"ID requested date missing; ","")&amp;IF(AND($L169&lt;&gt;"",$M169&lt;&gt;"",$M169&lt;$L169),"ID dates out of order; ","")&amp;IF(AND($K169&lt;&gt;"Y",OR($L169&lt;&gt;"",$W169="Awaiting ID")),"ID fields used but ID_Check_Needed is not Y; ","")&amp;IF(AND($R169="Y",$S169=""),"extension notice date missing; ","")&amp;IF(AND($R169&lt;&gt;"Y",$S169&lt;&gt;""),"notice date but Extended is not Y; ","")&amp;IF(AND($W169="Closed",$Y169=""),"closed without response date; ","")&amp;IF(AND($Y169&lt;&gt;"",$W169&lt;&gt;"Closed"),"response date but status not Closed; ","")&amp;IF(AND($Y169&lt;&gt;"",$B169&lt;&gt;"",$Y169&lt;$B169),"response before receipt; ","")&amp;IF(AND($AD169="Y",$AE169=""),"exemption needs a reason in Notes; ","")="","OK","Check: "&amp;IF(OR($B169="",$C169="",$D169="",$V169="",$W169=""),"missing required field; ","")&amp;IF(COUNTIF($A$2:$A$201,$A169)&gt;1,"duplicate ID; ","")&amp;IF(AND($B169&lt;&gt;"",$B169&gt;ReportDate),"received after snapshot date; ","")&amp;IF(AND($I169&lt;&gt;"",$B169&lt;&gt;"",$I169&lt;$B169),"acknowledged before receipt; ","")&amp;IF(AND($K169="Y",$L169="",$W169&lt;&gt;"Logged"),"ID requested date missing; ","")&amp;IF(AND($L169&lt;&gt;"",$M169&lt;&gt;"",$M169&lt;$L169),"ID dates out of order; ","")&amp;IF(AND($K169&lt;&gt;"Y",OR($L169&lt;&gt;"",$W169="Awaiting ID")),"ID fields used but ID_Check_Needed is not Y; ","")&amp;IF(AND($R169="Y",$S169=""),"extension notice date missing; ","")&amp;IF(AND($R169&lt;&gt;"Y",$S169&lt;&gt;""),"notice date but Extended is not Y; ","")&amp;IF(AND($W169="Closed",$Y169=""),"closed without response date; ","")&amp;IF(AND($Y169&lt;&gt;"",$W169&lt;&gt;"Closed"),"response date but status not Closed; ","")&amp;IF(AND($Y169&lt;&gt;"",$B169&lt;&gt;"",$Y169&lt;$B169),"response before receipt; ","")&amp;IF(AND($AD169="Y",$AE169=""),"exemption needs a reason in Notes; ","")))</f>
        <v/>
      </c>
    </row>
    <row r="170" spans="1:32" x14ac:dyDescent="0.35">
      <c r="A170" s="22"/>
      <c r="B170" s="23"/>
      <c r="C170" s="22"/>
      <c r="D170" s="22"/>
      <c r="E170" s="20" t="str">
        <f>IF($A170="","",IFERROR(VLOOKUP($D170,ReqTypes,2,FALSE),"?"))</f>
        <v/>
      </c>
      <c r="F170" s="20" t="str">
        <f>IF($A170="","",IFERROR(VLOOKUP($D170,ReqTypes,3,FALSE),"?"))</f>
        <v/>
      </c>
      <c r="G170" s="22"/>
      <c r="H170" s="22"/>
      <c r="I170" s="23"/>
      <c r="J170" s="20" t="str">
        <f>IF(OR($A170="",$I170=""),"",IF(NETWORKDAYS($B170,$I170,Holidays)-1&lt;=AckDays,"Y","N"))</f>
        <v/>
      </c>
      <c r="K170" s="22"/>
      <c r="L170" s="23"/>
      <c r="M170" s="23"/>
      <c r="N170" s="20" t="str">
        <f>IF(OR($A170="",$K170&lt;&gt;"Y"),"",IF($L170="","Pending",IF($L170-$B170&lt;=IDPromptDays,"Y","Check")))</f>
        <v/>
      </c>
      <c r="O170" s="20" t="str">
        <f>IF($A170="","",IF(OR($K170&lt;&gt;"Y",$L170=""),0,IF($M170="",MAX(0,ReportDate-$L170),$M170-$L170)))</f>
        <v/>
      </c>
      <c r="P170" s="21" t="str">
        <f>IF($A170="","",IF($F170&lt;&gt;"Y","n/a",WORKDAY(EDATE($B170,1)+$O170-1,1,Holidays)))</f>
        <v/>
      </c>
      <c r="Q170" s="21" t="str">
        <f>IF($A170="","",$B170+$O170+InternalDays)</f>
        <v/>
      </c>
      <c r="R170" s="22"/>
      <c r="S170" s="23"/>
      <c r="T170" s="20" t="str">
        <f t="shared" si="10"/>
        <v/>
      </c>
      <c r="U170" s="21" t="str">
        <f>IF($A170="","",IF($F170&lt;&gt;"Y",$Q170,IF(AND($R170="Y",$T170="Y"),WORKDAY(EDATE($B170,3)+$O170-1,1,Holidays),$P170)))</f>
        <v/>
      </c>
      <c r="V170" s="22"/>
      <c r="W170" s="22"/>
      <c r="X170" s="22"/>
      <c r="Y170" s="23"/>
      <c r="Z170" s="20" t="str">
        <f>IF($A170="","",IF($Y170&lt;&gt;"",$Y170-$B170,ReportDate-$B170))</f>
        <v/>
      </c>
      <c r="AA170" s="20" t="str">
        <f>IF(OR($A170="",$W170="Closed"),"",$U170-ReportDate)</f>
        <v/>
      </c>
      <c r="AB170" s="20" t="str">
        <f>IF($A170="","",IF($W170="Closed",IF($Y170&lt;=$U170,"Closed on time","Closed late"),IF($W170="Awaiting ID","Paused",IF($AA170&lt;0,"Overdue",IF($AA170&lt;=RedDays,"Red",IF($AA170&lt;=AmberDays,"Amber","Green"))))))</f>
        <v/>
      </c>
      <c r="AC170" s="20" t="str">
        <f t="shared" si="11"/>
        <v/>
      </c>
      <c r="AD170" s="22"/>
      <c r="AE170" s="22"/>
      <c r="AF170" s="20" t="str">
        <f>IF($A170="","",IF(IF(OR($B170="",$C170="",$D170="",$V170="",$W170=""),"missing required field; ","")&amp;IF(COUNTIF($A$2:$A$201,$A170)&gt;1,"duplicate ID; ","")&amp;IF(AND($B170&lt;&gt;"",$B170&gt;ReportDate),"received after snapshot date; ","")&amp;IF(AND($I170&lt;&gt;"",$B170&lt;&gt;"",$I170&lt;$B170),"acknowledged before receipt; ","")&amp;IF(AND($K170="Y",$L170="",$W170&lt;&gt;"Logged"),"ID requested date missing; ","")&amp;IF(AND($L170&lt;&gt;"",$M170&lt;&gt;"",$M170&lt;$L170),"ID dates out of order; ","")&amp;IF(AND($K170&lt;&gt;"Y",OR($L170&lt;&gt;"",$W170="Awaiting ID")),"ID fields used but ID_Check_Needed is not Y; ","")&amp;IF(AND($R170="Y",$S170=""),"extension notice date missing; ","")&amp;IF(AND($R170&lt;&gt;"Y",$S170&lt;&gt;""),"notice date but Extended is not Y; ","")&amp;IF(AND($W170="Closed",$Y170=""),"closed without response date; ","")&amp;IF(AND($Y170&lt;&gt;"",$W170&lt;&gt;"Closed"),"response date but status not Closed; ","")&amp;IF(AND($Y170&lt;&gt;"",$B170&lt;&gt;"",$Y170&lt;$B170),"response before receipt; ","")&amp;IF(AND($AD170="Y",$AE170=""),"exemption needs a reason in Notes; ","")="","OK","Check: "&amp;IF(OR($B170="",$C170="",$D170="",$V170="",$W170=""),"missing required field; ","")&amp;IF(COUNTIF($A$2:$A$201,$A170)&gt;1,"duplicate ID; ","")&amp;IF(AND($B170&lt;&gt;"",$B170&gt;ReportDate),"received after snapshot date; ","")&amp;IF(AND($I170&lt;&gt;"",$B170&lt;&gt;"",$I170&lt;$B170),"acknowledged before receipt; ","")&amp;IF(AND($K170="Y",$L170="",$W170&lt;&gt;"Logged"),"ID requested date missing; ","")&amp;IF(AND($L170&lt;&gt;"",$M170&lt;&gt;"",$M170&lt;$L170),"ID dates out of order; ","")&amp;IF(AND($K170&lt;&gt;"Y",OR($L170&lt;&gt;"",$W170="Awaiting ID")),"ID fields used but ID_Check_Needed is not Y; ","")&amp;IF(AND($R170="Y",$S170=""),"extension notice date missing; ","")&amp;IF(AND($R170&lt;&gt;"Y",$S170&lt;&gt;""),"notice date but Extended is not Y; ","")&amp;IF(AND($W170="Closed",$Y170=""),"closed without response date; ","")&amp;IF(AND($Y170&lt;&gt;"",$W170&lt;&gt;"Closed"),"response date but status not Closed; ","")&amp;IF(AND($Y170&lt;&gt;"",$B170&lt;&gt;"",$Y170&lt;$B170),"response before receipt; ","")&amp;IF(AND($AD170="Y",$AE170=""),"exemption needs a reason in Notes; ","")))</f>
        <v/>
      </c>
    </row>
    <row r="171" spans="1:32" x14ac:dyDescent="0.35">
      <c r="A171" s="22"/>
      <c r="B171" s="23"/>
      <c r="C171" s="22"/>
      <c r="D171" s="22"/>
      <c r="E171" s="20" t="str">
        <f>IF($A171="","",IFERROR(VLOOKUP($D171,ReqTypes,2,FALSE),"?"))</f>
        <v/>
      </c>
      <c r="F171" s="20" t="str">
        <f>IF($A171="","",IFERROR(VLOOKUP($D171,ReqTypes,3,FALSE),"?"))</f>
        <v/>
      </c>
      <c r="G171" s="22"/>
      <c r="H171" s="22"/>
      <c r="I171" s="23"/>
      <c r="J171" s="20" t="str">
        <f>IF(OR($A171="",$I171=""),"",IF(NETWORKDAYS($B171,$I171,Holidays)-1&lt;=AckDays,"Y","N"))</f>
        <v/>
      </c>
      <c r="K171" s="22"/>
      <c r="L171" s="23"/>
      <c r="M171" s="23"/>
      <c r="N171" s="20" t="str">
        <f>IF(OR($A171="",$K171&lt;&gt;"Y"),"",IF($L171="","Pending",IF($L171-$B171&lt;=IDPromptDays,"Y","Check")))</f>
        <v/>
      </c>
      <c r="O171" s="20" t="str">
        <f>IF($A171="","",IF(OR($K171&lt;&gt;"Y",$L171=""),0,IF($M171="",MAX(0,ReportDate-$L171),$M171-$L171)))</f>
        <v/>
      </c>
      <c r="P171" s="21" t="str">
        <f>IF($A171="","",IF($F171&lt;&gt;"Y","n/a",WORKDAY(EDATE($B171,1)+$O171-1,1,Holidays)))</f>
        <v/>
      </c>
      <c r="Q171" s="21" t="str">
        <f>IF($A171="","",$B171+$O171+InternalDays)</f>
        <v/>
      </c>
      <c r="R171" s="22"/>
      <c r="S171" s="23"/>
      <c r="T171" s="20" t="str">
        <f t="shared" si="10"/>
        <v/>
      </c>
      <c r="U171" s="21" t="str">
        <f>IF($A171="","",IF($F171&lt;&gt;"Y",$Q171,IF(AND($R171="Y",$T171="Y"),WORKDAY(EDATE($B171,3)+$O171-1,1,Holidays),$P171)))</f>
        <v/>
      </c>
      <c r="V171" s="22"/>
      <c r="W171" s="22"/>
      <c r="X171" s="22"/>
      <c r="Y171" s="23"/>
      <c r="Z171" s="20" t="str">
        <f>IF($A171="","",IF($Y171&lt;&gt;"",$Y171-$B171,ReportDate-$B171))</f>
        <v/>
      </c>
      <c r="AA171" s="20" t="str">
        <f>IF(OR($A171="",$W171="Closed"),"",$U171-ReportDate)</f>
        <v/>
      </c>
      <c r="AB171" s="20" t="str">
        <f>IF($A171="","",IF($W171="Closed",IF($Y171&lt;=$U171,"Closed on time","Closed late"),IF($W171="Awaiting ID","Paused",IF($AA171&lt;0,"Overdue",IF($AA171&lt;=RedDays,"Red",IF($AA171&lt;=AmberDays,"Amber","Green"))))))</f>
        <v/>
      </c>
      <c r="AC171" s="20" t="str">
        <f t="shared" si="11"/>
        <v/>
      </c>
      <c r="AD171" s="22"/>
      <c r="AE171" s="22"/>
      <c r="AF171" s="20" t="str">
        <f>IF($A171="","",IF(IF(OR($B171="",$C171="",$D171="",$V171="",$W171=""),"missing required field; ","")&amp;IF(COUNTIF($A$2:$A$201,$A171)&gt;1,"duplicate ID; ","")&amp;IF(AND($B171&lt;&gt;"",$B171&gt;ReportDate),"received after snapshot date; ","")&amp;IF(AND($I171&lt;&gt;"",$B171&lt;&gt;"",$I171&lt;$B171),"acknowledged before receipt; ","")&amp;IF(AND($K171="Y",$L171="",$W171&lt;&gt;"Logged"),"ID requested date missing; ","")&amp;IF(AND($L171&lt;&gt;"",$M171&lt;&gt;"",$M171&lt;$L171),"ID dates out of order; ","")&amp;IF(AND($K171&lt;&gt;"Y",OR($L171&lt;&gt;"",$W171="Awaiting ID")),"ID fields used but ID_Check_Needed is not Y; ","")&amp;IF(AND($R171="Y",$S171=""),"extension notice date missing; ","")&amp;IF(AND($R171&lt;&gt;"Y",$S171&lt;&gt;""),"notice date but Extended is not Y; ","")&amp;IF(AND($W171="Closed",$Y171=""),"closed without response date; ","")&amp;IF(AND($Y171&lt;&gt;"",$W171&lt;&gt;"Closed"),"response date but status not Closed; ","")&amp;IF(AND($Y171&lt;&gt;"",$B171&lt;&gt;"",$Y171&lt;$B171),"response before receipt; ","")&amp;IF(AND($AD171="Y",$AE171=""),"exemption needs a reason in Notes; ","")="","OK","Check: "&amp;IF(OR($B171="",$C171="",$D171="",$V171="",$W171=""),"missing required field; ","")&amp;IF(COUNTIF($A$2:$A$201,$A171)&gt;1,"duplicate ID; ","")&amp;IF(AND($B171&lt;&gt;"",$B171&gt;ReportDate),"received after snapshot date; ","")&amp;IF(AND($I171&lt;&gt;"",$B171&lt;&gt;"",$I171&lt;$B171),"acknowledged before receipt; ","")&amp;IF(AND($K171="Y",$L171="",$W171&lt;&gt;"Logged"),"ID requested date missing; ","")&amp;IF(AND($L171&lt;&gt;"",$M171&lt;&gt;"",$M171&lt;$L171),"ID dates out of order; ","")&amp;IF(AND($K171&lt;&gt;"Y",OR($L171&lt;&gt;"",$W171="Awaiting ID")),"ID fields used but ID_Check_Needed is not Y; ","")&amp;IF(AND($R171="Y",$S171=""),"extension notice date missing; ","")&amp;IF(AND($R171&lt;&gt;"Y",$S171&lt;&gt;""),"notice date but Extended is not Y; ","")&amp;IF(AND($W171="Closed",$Y171=""),"closed without response date; ","")&amp;IF(AND($Y171&lt;&gt;"",$W171&lt;&gt;"Closed"),"response date but status not Closed; ","")&amp;IF(AND($Y171&lt;&gt;"",$B171&lt;&gt;"",$Y171&lt;$B171),"response before receipt; ","")&amp;IF(AND($AD171="Y",$AE171=""),"exemption needs a reason in Notes; ","")))</f>
        <v/>
      </c>
    </row>
    <row r="172" spans="1:32" x14ac:dyDescent="0.35">
      <c r="A172" s="22"/>
      <c r="B172" s="23"/>
      <c r="C172" s="22"/>
      <c r="D172" s="22"/>
      <c r="E172" s="20" t="str">
        <f>IF($A172="","",IFERROR(VLOOKUP($D172,ReqTypes,2,FALSE),"?"))</f>
        <v/>
      </c>
      <c r="F172" s="20" t="str">
        <f>IF($A172="","",IFERROR(VLOOKUP($D172,ReqTypes,3,FALSE),"?"))</f>
        <v/>
      </c>
      <c r="G172" s="22"/>
      <c r="H172" s="22"/>
      <c r="I172" s="23"/>
      <c r="J172" s="20" t="str">
        <f>IF(OR($A172="",$I172=""),"",IF(NETWORKDAYS($B172,$I172,Holidays)-1&lt;=AckDays,"Y","N"))</f>
        <v/>
      </c>
      <c r="K172" s="22"/>
      <c r="L172" s="23"/>
      <c r="M172" s="23"/>
      <c r="N172" s="20" t="str">
        <f>IF(OR($A172="",$K172&lt;&gt;"Y"),"",IF($L172="","Pending",IF($L172-$B172&lt;=IDPromptDays,"Y","Check")))</f>
        <v/>
      </c>
      <c r="O172" s="20" t="str">
        <f>IF($A172="","",IF(OR($K172&lt;&gt;"Y",$L172=""),0,IF($M172="",MAX(0,ReportDate-$L172),$M172-$L172)))</f>
        <v/>
      </c>
      <c r="P172" s="21" t="str">
        <f>IF($A172="","",IF($F172&lt;&gt;"Y","n/a",WORKDAY(EDATE($B172,1)+$O172-1,1,Holidays)))</f>
        <v/>
      </c>
      <c r="Q172" s="21" t="str">
        <f>IF($A172="","",$B172+$O172+InternalDays)</f>
        <v/>
      </c>
      <c r="R172" s="22"/>
      <c r="S172" s="23"/>
      <c r="T172" s="20" t="str">
        <f t="shared" si="10"/>
        <v/>
      </c>
      <c r="U172" s="21" t="str">
        <f>IF($A172="","",IF($F172&lt;&gt;"Y",$Q172,IF(AND($R172="Y",$T172="Y"),WORKDAY(EDATE($B172,3)+$O172-1,1,Holidays),$P172)))</f>
        <v/>
      </c>
      <c r="V172" s="22"/>
      <c r="W172" s="22"/>
      <c r="X172" s="22"/>
      <c r="Y172" s="23"/>
      <c r="Z172" s="20" t="str">
        <f>IF($A172="","",IF($Y172&lt;&gt;"",$Y172-$B172,ReportDate-$B172))</f>
        <v/>
      </c>
      <c r="AA172" s="20" t="str">
        <f>IF(OR($A172="",$W172="Closed"),"",$U172-ReportDate)</f>
        <v/>
      </c>
      <c r="AB172" s="20" t="str">
        <f>IF($A172="","",IF($W172="Closed",IF($Y172&lt;=$U172,"Closed on time","Closed late"),IF($W172="Awaiting ID","Paused",IF($AA172&lt;0,"Overdue",IF($AA172&lt;=RedDays,"Red",IF($AA172&lt;=AmberDays,"Amber","Green"))))))</f>
        <v/>
      </c>
      <c r="AC172" s="20" t="str">
        <f t="shared" si="11"/>
        <v/>
      </c>
      <c r="AD172" s="22"/>
      <c r="AE172" s="22"/>
      <c r="AF172" s="20" t="str">
        <f>IF($A172="","",IF(IF(OR($B172="",$C172="",$D172="",$V172="",$W172=""),"missing required field; ","")&amp;IF(COUNTIF($A$2:$A$201,$A172)&gt;1,"duplicate ID; ","")&amp;IF(AND($B172&lt;&gt;"",$B172&gt;ReportDate),"received after snapshot date; ","")&amp;IF(AND($I172&lt;&gt;"",$B172&lt;&gt;"",$I172&lt;$B172),"acknowledged before receipt; ","")&amp;IF(AND($K172="Y",$L172="",$W172&lt;&gt;"Logged"),"ID requested date missing; ","")&amp;IF(AND($L172&lt;&gt;"",$M172&lt;&gt;"",$M172&lt;$L172),"ID dates out of order; ","")&amp;IF(AND($K172&lt;&gt;"Y",OR($L172&lt;&gt;"",$W172="Awaiting ID")),"ID fields used but ID_Check_Needed is not Y; ","")&amp;IF(AND($R172="Y",$S172=""),"extension notice date missing; ","")&amp;IF(AND($R172&lt;&gt;"Y",$S172&lt;&gt;""),"notice date but Extended is not Y; ","")&amp;IF(AND($W172="Closed",$Y172=""),"closed without response date; ","")&amp;IF(AND($Y172&lt;&gt;"",$W172&lt;&gt;"Closed"),"response date but status not Closed; ","")&amp;IF(AND($Y172&lt;&gt;"",$B172&lt;&gt;"",$Y172&lt;$B172),"response before receipt; ","")&amp;IF(AND($AD172="Y",$AE172=""),"exemption needs a reason in Notes; ","")="","OK","Check: "&amp;IF(OR($B172="",$C172="",$D172="",$V172="",$W172=""),"missing required field; ","")&amp;IF(COUNTIF($A$2:$A$201,$A172)&gt;1,"duplicate ID; ","")&amp;IF(AND($B172&lt;&gt;"",$B172&gt;ReportDate),"received after snapshot date; ","")&amp;IF(AND($I172&lt;&gt;"",$B172&lt;&gt;"",$I172&lt;$B172),"acknowledged before receipt; ","")&amp;IF(AND($K172="Y",$L172="",$W172&lt;&gt;"Logged"),"ID requested date missing; ","")&amp;IF(AND($L172&lt;&gt;"",$M172&lt;&gt;"",$M172&lt;$L172),"ID dates out of order; ","")&amp;IF(AND($K172&lt;&gt;"Y",OR($L172&lt;&gt;"",$W172="Awaiting ID")),"ID fields used but ID_Check_Needed is not Y; ","")&amp;IF(AND($R172="Y",$S172=""),"extension notice date missing; ","")&amp;IF(AND($R172&lt;&gt;"Y",$S172&lt;&gt;""),"notice date but Extended is not Y; ","")&amp;IF(AND($W172="Closed",$Y172=""),"closed without response date; ","")&amp;IF(AND($Y172&lt;&gt;"",$W172&lt;&gt;"Closed"),"response date but status not Closed; ","")&amp;IF(AND($Y172&lt;&gt;"",$B172&lt;&gt;"",$Y172&lt;$B172),"response before receipt; ","")&amp;IF(AND($AD172="Y",$AE172=""),"exemption needs a reason in Notes; ","")))</f>
        <v/>
      </c>
    </row>
    <row r="173" spans="1:32" x14ac:dyDescent="0.35">
      <c r="A173" s="22"/>
      <c r="B173" s="23"/>
      <c r="C173" s="22"/>
      <c r="D173" s="22"/>
      <c r="E173" s="20" t="str">
        <f>IF($A173="","",IFERROR(VLOOKUP($D173,ReqTypes,2,FALSE),"?"))</f>
        <v/>
      </c>
      <c r="F173" s="20" t="str">
        <f>IF($A173="","",IFERROR(VLOOKUP($D173,ReqTypes,3,FALSE),"?"))</f>
        <v/>
      </c>
      <c r="G173" s="22"/>
      <c r="H173" s="22"/>
      <c r="I173" s="23"/>
      <c r="J173" s="20" t="str">
        <f>IF(OR($A173="",$I173=""),"",IF(NETWORKDAYS($B173,$I173,Holidays)-1&lt;=AckDays,"Y","N"))</f>
        <v/>
      </c>
      <c r="K173" s="22"/>
      <c r="L173" s="23"/>
      <c r="M173" s="23"/>
      <c r="N173" s="20" t="str">
        <f>IF(OR($A173="",$K173&lt;&gt;"Y"),"",IF($L173="","Pending",IF($L173-$B173&lt;=IDPromptDays,"Y","Check")))</f>
        <v/>
      </c>
      <c r="O173" s="20" t="str">
        <f>IF($A173="","",IF(OR($K173&lt;&gt;"Y",$L173=""),0,IF($M173="",MAX(0,ReportDate-$L173),$M173-$L173)))</f>
        <v/>
      </c>
      <c r="P173" s="21" t="str">
        <f>IF($A173="","",IF($F173&lt;&gt;"Y","n/a",WORKDAY(EDATE($B173,1)+$O173-1,1,Holidays)))</f>
        <v/>
      </c>
      <c r="Q173" s="21" t="str">
        <f>IF($A173="","",$B173+$O173+InternalDays)</f>
        <v/>
      </c>
      <c r="R173" s="22"/>
      <c r="S173" s="23"/>
      <c r="T173" s="20" t="str">
        <f t="shared" si="10"/>
        <v/>
      </c>
      <c r="U173" s="21" t="str">
        <f>IF($A173="","",IF($F173&lt;&gt;"Y",$Q173,IF(AND($R173="Y",$T173="Y"),WORKDAY(EDATE($B173,3)+$O173-1,1,Holidays),$P173)))</f>
        <v/>
      </c>
      <c r="V173" s="22"/>
      <c r="W173" s="22"/>
      <c r="X173" s="22"/>
      <c r="Y173" s="23"/>
      <c r="Z173" s="20" t="str">
        <f>IF($A173="","",IF($Y173&lt;&gt;"",$Y173-$B173,ReportDate-$B173))</f>
        <v/>
      </c>
      <c r="AA173" s="20" t="str">
        <f>IF(OR($A173="",$W173="Closed"),"",$U173-ReportDate)</f>
        <v/>
      </c>
      <c r="AB173" s="20" t="str">
        <f>IF($A173="","",IF($W173="Closed",IF($Y173&lt;=$U173,"Closed on time","Closed late"),IF($W173="Awaiting ID","Paused",IF($AA173&lt;0,"Overdue",IF($AA173&lt;=RedDays,"Red",IF($AA173&lt;=AmberDays,"Amber","Green"))))))</f>
        <v/>
      </c>
      <c r="AC173" s="20" t="str">
        <f t="shared" si="11"/>
        <v/>
      </c>
      <c r="AD173" s="22"/>
      <c r="AE173" s="22"/>
      <c r="AF173" s="20" t="str">
        <f>IF($A173="","",IF(IF(OR($B173="",$C173="",$D173="",$V173="",$W173=""),"missing required field; ","")&amp;IF(COUNTIF($A$2:$A$201,$A173)&gt;1,"duplicate ID; ","")&amp;IF(AND($B173&lt;&gt;"",$B173&gt;ReportDate),"received after snapshot date; ","")&amp;IF(AND($I173&lt;&gt;"",$B173&lt;&gt;"",$I173&lt;$B173),"acknowledged before receipt; ","")&amp;IF(AND($K173="Y",$L173="",$W173&lt;&gt;"Logged"),"ID requested date missing; ","")&amp;IF(AND($L173&lt;&gt;"",$M173&lt;&gt;"",$M173&lt;$L173),"ID dates out of order; ","")&amp;IF(AND($K173&lt;&gt;"Y",OR($L173&lt;&gt;"",$W173="Awaiting ID")),"ID fields used but ID_Check_Needed is not Y; ","")&amp;IF(AND($R173="Y",$S173=""),"extension notice date missing; ","")&amp;IF(AND($R173&lt;&gt;"Y",$S173&lt;&gt;""),"notice date but Extended is not Y; ","")&amp;IF(AND($W173="Closed",$Y173=""),"closed without response date; ","")&amp;IF(AND($Y173&lt;&gt;"",$W173&lt;&gt;"Closed"),"response date but status not Closed; ","")&amp;IF(AND($Y173&lt;&gt;"",$B173&lt;&gt;"",$Y173&lt;$B173),"response before receipt; ","")&amp;IF(AND($AD173="Y",$AE173=""),"exemption needs a reason in Notes; ","")="","OK","Check: "&amp;IF(OR($B173="",$C173="",$D173="",$V173="",$W173=""),"missing required field; ","")&amp;IF(COUNTIF($A$2:$A$201,$A173)&gt;1,"duplicate ID; ","")&amp;IF(AND($B173&lt;&gt;"",$B173&gt;ReportDate),"received after snapshot date; ","")&amp;IF(AND($I173&lt;&gt;"",$B173&lt;&gt;"",$I173&lt;$B173),"acknowledged before receipt; ","")&amp;IF(AND($K173="Y",$L173="",$W173&lt;&gt;"Logged"),"ID requested date missing; ","")&amp;IF(AND($L173&lt;&gt;"",$M173&lt;&gt;"",$M173&lt;$L173),"ID dates out of order; ","")&amp;IF(AND($K173&lt;&gt;"Y",OR($L173&lt;&gt;"",$W173="Awaiting ID")),"ID fields used but ID_Check_Needed is not Y; ","")&amp;IF(AND($R173="Y",$S173=""),"extension notice date missing; ","")&amp;IF(AND($R173&lt;&gt;"Y",$S173&lt;&gt;""),"notice date but Extended is not Y; ","")&amp;IF(AND($W173="Closed",$Y173=""),"closed without response date; ","")&amp;IF(AND($Y173&lt;&gt;"",$W173&lt;&gt;"Closed"),"response date but status not Closed; ","")&amp;IF(AND($Y173&lt;&gt;"",$B173&lt;&gt;"",$Y173&lt;$B173),"response before receipt; ","")&amp;IF(AND($AD173="Y",$AE173=""),"exemption needs a reason in Notes; ","")))</f>
        <v/>
      </c>
    </row>
    <row r="174" spans="1:32" x14ac:dyDescent="0.35">
      <c r="A174" s="22"/>
      <c r="B174" s="23"/>
      <c r="C174" s="22"/>
      <c r="D174" s="22"/>
      <c r="E174" s="20" t="str">
        <f>IF($A174="","",IFERROR(VLOOKUP($D174,ReqTypes,2,FALSE),"?"))</f>
        <v/>
      </c>
      <c r="F174" s="20" t="str">
        <f>IF($A174="","",IFERROR(VLOOKUP($D174,ReqTypes,3,FALSE),"?"))</f>
        <v/>
      </c>
      <c r="G174" s="22"/>
      <c r="H174" s="22"/>
      <c r="I174" s="23"/>
      <c r="J174" s="20" t="str">
        <f>IF(OR($A174="",$I174=""),"",IF(NETWORKDAYS($B174,$I174,Holidays)-1&lt;=AckDays,"Y","N"))</f>
        <v/>
      </c>
      <c r="K174" s="22"/>
      <c r="L174" s="23"/>
      <c r="M174" s="23"/>
      <c r="N174" s="20" t="str">
        <f>IF(OR($A174="",$K174&lt;&gt;"Y"),"",IF($L174="","Pending",IF($L174-$B174&lt;=IDPromptDays,"Y","Check")))</f>
        <v/>
      </c>
      <c r="O174" s="20" t="str">
        <f>IF($A174="","",IF(OR($K174&lt;&gt;"Y",$L174=""),0,IF($M174="",MAX(0,ReportDate-$L174),$M174-$L174)))</f>
        <v/>
      </c>
      <c r="P174" s="21" t="str">
        <f>IF($A174="","",IF($F174&lt;&gt;"Y","n/a",WORKDAY(EDATE($B174,1)+$O174-1,1,Holidays)))</f>
        <v/>
      </c>
      <c r="Q174" s="21" t="str">
        <f>IF($A174="","",$B174+$O174+InternalDays)</f>
        <v/>
      </c>
      <c r="R174" s="22"/>
      <c r="S174" s="23"/>
      <c r="T174" s="20" t="str">
        <f t="shared" si="10"/>
        <v/>
      </c>
      <c r="U174" s="21" t="str">
        <f>IF($A174="","",IF($F174&lt;&gt;"Y",$Q174,IF(AND($R174="Y",$T174="Y"),WORKDAY(EDATE($B174,3)+$O174-1,1,Holidays),$P174)))</f>
        <v/>
      </c>
      <c r="V174" s="22"/>
      <c r="W174" s="22"/>
      <c r="X174" s="22"/>
      <c r="Y174" s="23"/>
      <c r="Z174" s="20" t="str">
        <f>IF($A174="","",IF($Y174&lt;&gt;"",$Y174-$B174,ReportDate-$B174))</f>
        <v/>
      </c>
      <c r="AA174" s="20" t="str">
        <f>IF(OR($A174="",$W174="Closed"),"",$U174-ReportDate)</f>
        <v/>
      </c>
      <c r="AB174" s="20" t="str">
        <f>IF($A174="","",IF($W174="Closed",IF($Y174&lt;=$U174,"Closed on time","Closed late"),IF($W174="Awaiting ID","Paused",IF($AA174&lt;0,"Overdue",IF($AA174&lt;=RedDays,"Red",IF($AA174&lt;=AmberDays,"Amber","Green"))))))</f>
        <v/>
      </c>
      <c r="AC174" s="20" t="str">
        <f t="shared" si="11"/>
        <v/>
      </c>
      <c r="AD174" s="22"/>
      <c r="AE174" s="22"/>
      <c r="AF174" s="20" t="str">
        <f>IF($A174="","",IF(IF(OR($B174="",$C174="",$D174="",$V174="",$W174=""),"missing required field; ","")&amp;IF(COUNTIF($A$2:$A$201,$A174)&gt;1,"duplicate ID; ","")&amp;IF(AND($B174&lt;&gt;"",$B174&gt;ReportDate),"received after snapshot date; ","")&amp;IF(AND($I174&lt;&gt;"",$B174&lt;&gt;"",$I174&lt;$B174),"acknowledged before receipt; ","")&amp;IF(AND($K174="Y",$L174="",$W174&lt;&gt;"Logged"),"ID requested date missing; ","")&amp;IF(AND($L174&lt;&gt;"",$M174&lt;&gt;"",$M174&lt;$L174),"ID dates out of order; ","")&amp;IF(AND($K174&lt;&gt;"Y",OR($L174&lt;&gt;"",$W174="Awaiting ID")),"ID fields used but ID_Check_Needed is not Y; ","")&amp;IF(AND($R174="Y",$S174=""),"extension notice date missing; ","")&amp;IF(AND($R174&lt;&gt;"Y",$S174&lt;&gt;""),"notice date but Extended is not Y; ","")&amp;IF(AND($W174="Closed",$Y174=""),"closed without response date; ","")&amp;IF(AND($Y174&lt;&gt;"",$W174&lt;&gt;"Closed"),"response date but status not Closed; ","")&amp;IF(AND($Y174&lt;&gt;"",$B174&lt;&gt;"",$Y174&lt;$B174),"response before receipt; ","")&amp;IF(AND($AD174="Y",$AE174=""),"exemption needs a reason in Notes; ","")="","OK","Check: "&amp;IF(OR($B174="",$C174="",$D174="",$V174="",$W174=""),"missing required field; ","")&amp;IF(COUNTIF($A$2:$A$201,$A174)&gt;1,"duplicate ID; ","")&amp;IF(AND($B174&lt;&gt;"",$B174&gt;ReportDate),"received after snapshot date; ","")&amp;IF(AND($I174&lt;&gt;"",$B174&lt;&gt;"",$I174&lt;$B174),"acknowledged before receipt; ","")&amp;IF(AND($K174="Y",$L174="",$W174&lt;&gt;"Logged"),"ID requested date missing; ","")&amp;IF(AND($L174&lt;&gt;"",$M174&lt;&gt;"",$M174&lt;$L174),"ID dates out of order; ","")&amp;IF(AND($K174&lt;&gt;"Y",OR($L174&lt;&gt;"",$W174="Awaiting ID")),"ID fields used but ID_Check_Needed is not Y; ","")&amp;IF(AND($R174="Y",$S174=""),"extension notice date missing; ","")&amp;IF(AND($R174&lt;&gt;"Y",$S174&lt;&gt;""),"notice date but Extended is not Y; ","")&amp;IF(AND($W174="Closed",$Y174=""),"closed without response date; ","")&amp;IF(AND($Y174&lt;&gt;"",$W174&lt;&gt;"Closed"),"response date but status not Closed; ","")&amp;IF(AND($Y174&lt;&gt;"",$B174&lt;&gt;"",$Y174&lt;$B174),"response before receipt; ","")&amp;IF(AND($AD174="Y",$AE174=""),"exemption needs a reason in Notes; ","")))</f>
        <v/>
      </c>
    </row>
    <row r="175" spans="1:32" x14ac:dyDescent="0.35">
      <c r="A175" s="22"/>
      <c r="B175" s="23"/>
      <c r="C175" s="22"/>
      <c r="D175" s="22"/>
      <c r="E175" s="20" t="str">
        <f>IF($A175="","",IFERROR(VLOOKUP($D175,ReqTypes,2,FALSE),"?"))</f>
        <v/>
      </c>
      <c r="F175" s="20" t="str">
        <f>IF($A175="","",IFERROR(VLOOKUP($D175,ReqTypes,3,FALSE),"?"))</f>
        <v/>
      </c>
      <c r="G175" s="22"/>
      <c r="H175" s="22"/>
      <c r="I175" s="23"/>
      <c r="J175" s="20" t="str">
        <f>IF(OR($A175="",$I175=""),"",IF(NETWORKDAYS($B175,$I175,Holidays)-1&lt;=AckDays,"Y","N"))</f>
        <v/>
      </c>
      <c r="K175" s="22"/>
      <c r="L175" s="23"/>
      <c r="M175" s="23"/>
      <c r="N175" s="20" t="str">
        <f>IF(OR($A175="",$K175&lt;&gt;"Y"),"",IF($L175="","Pending",IF($L175-$B175&lt;=IDPromptDays,"Y","Check")))</f>
        <v/>
      </c>
      <c r="O175" s="20" t="str">
        <f>IF($A175="","",IF(OR($K175&lt;&gt;"Y",$L175=""),0,IF($M175="",MAX(0,ReportDate-$L175),$M175-$L175)))</f>
        <v/>
      </c>
      <c r="P175" s="21" t="str">
        <f>IF($A175="","",IF($F175&lt;&gt;"Y","n/a",WORKDAY(EDATE($B175,1)+$O175-1,1,Holidays)))</f>
        <v/>
      </c>
      <c r="Q175" s="21" t="str">
        <f>IF($A175="","",$B175+$O175+InternalDays)</f>
        <v/>
      </c>
      <c r="R175" s="22"/>
      <c r="S175" s="23"/>
      <c r="T175" s="20" t="str">
        <f t="shared" si="10"/>
        <v/>
      </c>
      <c r="U175" s="21" t="str">
        <f>IF($A175="","",IF($F175&lt;&gt;"Y",$Q175,IF(AND($R175="Y",$T175="Y"),WORKDAY(EDATE($B175,3)+$O175-1,1,Holidays),$P175)))</f>
        <v/>
      </c>
      <c r="V175" s="22"/>
      <c r="W175" s="22"/>
      <c r="X175" s="22"/>
      <c r="Y175" s="23"/>
      <c r="Z175" s="20" t="str">
        <f>IF($A175="","",IF($Y175&lt;&gt;"",$Y175-$B175,ReportDate-$B175))</f>
        <v/>
      </c>
      <c r="AA175" s="20" t="str">
        <f>IF(OR($A175="",$W175="Closed"),"",$U175-ReportDate)</f>
        <v/>
      </c>
      <c r="AB175" s="20" t="str">
        <f>IF($A175="","",IF($W175="Closed",IF($Y175&lt;=$U175,"Closed on time","Closed late"),IF($W175="Awaiting ID","Paused",IF($AA175&lt;0,"Overdue",IF($AA175&lt;=RedDays,"Red",IF($AA175&lt;=AmberDays,"Amber","Green"))))))</f>
        <v/>
      </c>
      <c r="AC175" s="20" t="str">
        <f t="shared" si="11"/>
        <v/>
      </c>
      <c r="AD175" s="22"/>
      <c r="AE175" s="22"/>
      <c r="AF175" s="20" t="str">
        <f>IF($A175="","",IF(IF(OR($B175="",$C175="",$D175="",$V175="",$W175=""),"missing required field; ","")&amp;IF(COUNTIF($A$2:$A$201,$A175)&gt;1,"duplicate ID; ","")&amp;IF(AND($B175&lt;&gt;"",$B175&gt;ReportDate),"received after snapshot date; ","")&amp;IF(AND($I175&lt;&gt;"",$B175&lt;&gt;"",$I175&lt;$B175),"acknowledged before receipt; ","")&amp;IF(AND($K175="Y",$L175="",$W175&lt;&gt;"Logged"),"ID requested date missing; ","")&amp;IF(AND($L175&lt;&gt;"",$M175&lt;&gt;"",$M175&lt;$L175),"ID dates out of order; ","")&amp;IF(AND($K175&lt;&gt;"Y",OR($L175&lt;&gt;"",$W175="Awaiting ID")),"ID fields used but ID_Check_Needed is not Y; ","")&amp;IF(AND($R175="Y",$S175=""),"extension notice date missing; ","")&amp;IF(AND($R175&lt;&gt;"Y",$S175&lt;&gt;""),"notice date but Extended is not Y; ","")&amp;IF(AND($W175="Closed",$Y175=""),"closed without response date; ","")&amp;IF(AND($Y175&lt;&gt;"",$W175&lt;&gt;"Closed"),"response date but status not Closed; ","")&amp;IF(AND($Y175&lt;&gt;"",$B175&lt;&gt;"",$Y175&lt;$B175),"response before receipt; ","")&amp;IF(AND($AD175="Y",$AE175=""),"exemption needs a reason in Notes; ","")="","OK","Check: "&amp;IF(OR($B175="",$C175="",$D175="",$V175="",$W175=""),"missing required field; ","")&amp;IF(COUNTIF($A$2:$A$201,$A175)&gt;1,"duplicate ID; ","")&amp;IF(AND($B175&lt;&gt;"",$B175&gt;ReportDate),"received after snapshot date; ","")&amp;IF(AND($I175&lt;&gt;"",$B175&lt;&gt;"",$I175&lt;$B175),"acknowledged before receipt; ","")&amp;IF(AND($K175="Y",$L175="",$W175&lt;&gt;"Logged"),"ID requested date missing; ","")&amp;IF(AND($L175&lt;&gt;"",$M175&lt;&gt;"",$M175&lt;$L175),"ID dates out of order; ","")&amp;IF(AND($K175&lt;&gt;"Y",OR($L175&lt;&gt;"",$W175="Awaiting ID")),"ID fields used but ID_Check_Needed is not Y; ","")&amp;IF(AND($R175="Y",$S175=""),"extension notice date missing; ","")&amp;IF(AND($R175&lt;&gt;"Y",$S175&lt;&gt;""),"notice date but Extended is not Y; ","")&amp;IF(AND($W175="Closed",$Y175=""),"closed without response date; ","")&amp;IF(AND($Y175&lt;&gt;"",$W175&lt;&gt;"Closed"),"response date but status not Closed; ","")&amp;IF(AND($Y175&lt;&gt;"",$B175&lt;&gt;"",$Y175&lt;$B175),"response before receipt; ","")&amp;IF(AND($AD175="Y",$AE175=""),"exemption needs a reason in Notes; ","")))</f>
        <v/>
      </c>
    </row>
    <row r="176" spans="1:32" x14ac:dyDescent="0.35">
      <c r="A176" s="22"/>
      <c r="B176" s="23"/>
      <c r="C176" s="22"/>
      <c r="D176" s="22"/>
      <c r="E176" s="20" t="str">
        <f>IF($A176="","",IFERROR(VLOOKUP($D176,ReqTypes,2,FALSE),"?"))</f>
        <v/>
      </c>
      <c r="F176" s="20" t="str">
        <f>IF($A176="","",IFERROR(VLOOKUP($D176,ReqTypes,3,FALSE),"?"))</f>
        <v/>
      </c>
      <c r="G176" s="22"/>
      <c r="H176" s="22"/>
      <c r="I176" s="23"/>
      <c r="J176" s="20" t="str">
        <f>IF(OR($A176="",$I176=""),"",IF(NETWORKDAYS($B176,$I176,Holidays)-1&lt;=AckDays,"Y","N"))</f>
        <v/>
      </c>
      <c r="K176" s="22"/>
      <c r="L176" s="23"/>
      <c r="M176" s="23"/>
      <c r="N176" s="20" t="str">
        <f>IF(OR($A176="",$K176&lt;&gt;"Y"),"",IF($L176="","Pending",IF($L176-$B176&lt;=IDPromptDays,"Y","Check")))</f>
        <v/>
      </c>
      <c r="O176" s="20" t="str">
        <f>IF($A176="","",IF(OR($K176&lt;&gt;"Y",$L176=""),0,IF($M176="",MAX(0,ReportDate-$L176),$M176-$L176)))</f>
        <v/>
      </c>
      <c r="P176" s="21" t="str">
        <f>IF($A176="","",IF($F176&lt;&gt;"Y","n/a",WORKDAY(EDATE($B176,1)+$O176-1,1,Holidays)))</f>
        <v/>
      </c>
      <c r="Q176" s="21" t="str">
        <f>IF($A176="","",$B176+$O176+InternalDays)</f>
        <v/>
      </c>
      <c r="R176" s="22"/>
      <c r="S176" s="23"/>
      <c r="T176" s="20" t="str">
        <f t="shared" si="10"/>
        <v/>
      </c>
      <c r="U176" s="21" t="str">
        <f>IF($A176="","",IF($F176&lt;&gt;"Y",$Q176,IF(AND($R176="Y",$T176="Y"),WORKDAY(EDATE($B176,3)+$O176-1,1,Holidays),$P176)))</f>
        <v/>
      </c>
      <c r="V176" s="22"/>
      <c r="W176" s="22"/>
      <c r="X176" s="22"/>
      <c r="Y176" s="23"/>
      <c r="Z176" s="20" t="str">
        <f>IF($A176="","",IF($Y176&lt;&gt;"",$Y176-$B176,ReportDate-$B176))</f>
        <v/>
      </c>
      <c r="AA176" s="20" t="str">
        <f>IF(OR($A176="",$W176="Closed"),"",$U176-ReportDate)</f>
        <v/>
      </c>
      <c r="AB176" s="20" t="str">
        <f>IF($A176="","",IF($W176="Closed",IF($Y176&lt;=$U176,"Closed on time","Closed late"),IF($W176="Awaiting ID","Paused",IF($AA176&lt;0,"Overdue",IF($AA176&lt;=RedDays,"Red",IF($AA176&lt;=AmberDays,"Amber","Green"))))))</f>
        <v/>
      </c>
      <c r="AC176" s="20" t="str">
        <f t="shared" si="11"/>
        <v/>
      </c>
      <c r="AD176" s="22"/>
      <c r="AE176" s="22"/>
      <c r="AF176" s="20" t="str">
        <f>IF($A176="","",IF(IF(OR($B176="",$C176="",$D176="",$V176="",$W176=""),"missing required field; ","")&amp;IF(COUNTIF($A$2:$A$201,$A176)&gt;1,"duplicate ID; ","")&amp;IF(AND($B176&lt;&gt;"",$B176&gt;ReportDate),"received after snapshot date; ","")&amp;IF(AND($I176&lt;&gt;"",$B176&lt;&gt;"",$I176&lt;$B176),"acknowledged before receipt; ","")&amp;IF(AND($K176="Y",$L176="",$W176&lt;&gt;"Logged"),"ID requested date missing; ","")&amp;IF(AND($L176&lt;&gt;"",$M176&lt;&gt;"",$M176&lt;$L176),"ID dates out of order; ","")&amp;IF(AND($K176&lt;&gt;"Y",OR($L176&lt;&gt;"",$W176="Awaiting ID")),"ID fields used but ID_Check_Needed is not Y; ","")&amp;IF(AND($R176="Y",$S176=""),"extension notice date missing; ","")&amp;IF(AND($R176&lt;&gt;"Y",$S176&lt;&gt;""),"notice date but Extended is not Y; ","")&amp;IF(AND($W176="Closed",$Y176=""),"closed without response date; ","")&amp;IF(AND($Y176&lt;&gt;"",$W176&lt;&gt;"Closed"),"response date but status not Closed; ","")&amp;IF(AND($Y176&lt;&gt;"",$B176&lt;&gt;"",$Y176&lt;$B176),"response before receipt; ","")&amp;IF(AND($AD176="Y",$AE176=""),"exemption needs a reason in Notes; ","")="","OK","Check: "&amp;IF(OR($B176="",$C176="",$D176="",$V176="",$W176=""),"missing required field; ","")&amp;IF(COUNTIF($A$2:$A$201,$A176)&gt;1,"duplicate ID; ","")&amp;IF(AND($B176&lt;&gt;"",$B176&gt;ReportDate),"received after snapshot date; ","")&amp;IF(AND($I176&lt;&gt;"",$B176&lt;&gt;"",$I176&lt;$B176),"acknowledged before receipt; ","")&amp;IF(AND($K176="Y",$L176="",$W176&lt;&gt;"Logged"),"ID requested date missing; ","")&amp;IF(AND($L176&lt;&gt;"",$M176&lt;&gt;"",$M176&lt;$L176),"ID dates out of order; ","")&amp;IF(AND($K176&lt;&gt;"Y",OR($L176&lt;&gt;"",$W176="Awaiting ID")),"ID fields used but ID_Check_Needed is not Y; ","")&amp;IF(AND($R176="Y",$S176=""),"extension notice date missing; ","")&amp;IF(AND($R176&lt;&gt;"Y",$S176&lt;&gt;""),"notice date but Extended is not Y; ","")&amp;IF(AND($W176="Closed",$Y176=""),"closed without response date; ","")&amp;IF(AND($Y176&lt;&gt;"",$W176&lt;&gt;"Closed"),"response date but status not Closed; ","")&amp;IF(AND($Y176&lt;&gt;"",$B176&lt;&gt;"",$Y176&lt;$B176),"response before receipt; ","")&amp;IF(AND($AD176="Y",$AE176=""),"exemption needs a reason in Notes; ","")))</f>
        <v/>
      </c>
    </row>
    <row r="177" spans="1:32" x14ac:dyDescent="0.35">
      <c r="A177" s="22"/>
      <c r="B177" s="23"/>
      <c r="C177" s="22"/>
      <c r="D177" s="22"/>
      <c r="E177" s="20" t="str">
        <f>IF($A177="","",IFERROR(VLOOKUP($D177,ReqTypes,2,FALSE),"?"))</f>
        <v/>
      </c>
      <c r="F177" s="20" t="str">
        <f>IF($A177="","",IFERROR(VLOOKUP($D177,ReqTypes,3,FALSE),"?"))</f>
        <v/>
      </c>
      <c r="G177" s="22"/>
      <c r="H177" s="22"/>
      <c r="I177" s="23"/>
      <c r="J177" s="20" t="str">
        <f>IF(OR($A177="",$I177=""),"",IF(NETWORKDAYS($B177,$I177,Holidays)-1&lt;=AckDays,"Y","N"))</f>
        <v/>
      </c>
      <c r="K177" s="22"/>
      <c r="L177" s="23"/>
      <c r="M177" s="23"/>
      <c r="N177" s="20" t="str">
        <f>IF(OR($A177="",$K177&lt;&gt;"Y"),"",IF($L177="","Pending",IF($L177-$B177&lt;=IDPromptDays,"Y","Check")))</f>
        <v/>
      </c>
      <c r="O177" s="20" t="str">
        <f>IF($A177="","",IF(OR($K177&lt;&gt;"Y",$L177=""),0,IF($M177="",MAX(0,ReportDate-$L177),$M177-$L177)))</f>
        <v/>
      </c>
      <c r="P177" s="21" t="str">
        <f>IF($A177="","",IF($F177&lt;&gt;"Y","n/a",WORKDAY(EDATE($B177,1)+$O177-1,1,Holidays)))</f>
        <v/>
      </c>
      <c r="Q177" s="21" t="str">
        <f>IF($A177="","",$B177+$O177+InternalDays)</f>
        <v/>
      </c>
      <c r="R177" s="22"/>
      <c r="S177" s="23"/>
      <c r="T177" s="20" t="str">
        <f t="shared" si="10"/>
        <v/>
      </c>
      <c r="U177" s="21" t="str">
        <f>IF($A177="","",IF($F177&lt;&gt;"Y",$Q177,IF(AND($R177="Y",$T177="Y"),WORKDAY(EDATE($B177,3)+$O177-1,1,Holidays),$P177)))</f>
        <v/>
      </c>
      <c r="V177" s="22"/>
      <c r="W177" s="22"/>
      <c r="X177" s="22"/>
      <c r="Y177" s="23"/>
      <c r="Z177" s="20" t="str">
        <f>IF($A177="","",IF($Y177&lt;&gt;"",$Y177-$B177,ReportDate-$B177))</f>
        <v/>
      </c>
      <c r="AA177" s="20" t="str">
        <f>IF(OR($A177="",$W177="Closed"),"",$U177-ReportDate)</f>
        <v/>
      </c>
      <c r="AB177" s="20" t="str">
        <f>IF($A177="","",IF($W177="Closed",IF($Y177&lt;=$U177,"Closed on time","Closed late"),IF($W177="Awaiting ID","Paused",IF($AA177&lt;0,"Overdue",IF($AA177&lt;=RedDays,"Red",IF($AA177&lt;=AmberDays,"Amber","Green"))))))</f>
        <v/>
      </c>
      <c r="AC177" s="20" t="str">
        <f t="shared" si="11"/>
        <v/>
      </c>
      <c r="AD177" s="22"/>
      <c r="AE177" s="22"/>
      <c r="AF177" s="20" t="str">
        <f>IF($A177="","",IF(IF(OR($B177="",$C177="",$D177="",$V177="",$W177=""),"missing required field; ","")&amp;IF(COUNTIF($A$2:$A$201,$A177)&gt;1,"duplicate ID; ","")&amp;IF(AND($B177&lt;&gt;"",$B177&gt;ReportDate),"received after snapshot date; ","")&amp;IF(AND($I177&lt;&gt;"",$B177&lt;&gt;"",$I177&lt;$B177),"acknowledged before receipt; ","")&amp;IF(AND($K177="Y",$L177="",$W177&lt;&gt;"Logged"),"ID requested date missing; ","")&amp;IF(AND($L177&lt;&gt;"",$M177&lt;&gt;"",$M177&lt;$L177),"ID dates out of order; ","")&amp;IF(AND($K177&lt;&gt;"Y",OR($L177&lt;&gt;"",$W177="Awaiting ID")),"ID fields used but ID_Check_Needed is not Y; ","")&amp;IF(AND($R177="Y",$S177=""),"extension notice date missing; ","")&amp;IF(AND($R177&lt;&gt;"Y",$S177&lt;&gt;""),"notice date but Extended is not Y; ","")&amp;IF(AND($W177="Closed",$Y177=""),"closed without response date; ","")&amp;IF(AND($Y177&lt;&gt;"",$W177&lt;&gt;"Closed"),"response date but status not Closed; ","")&amp;IF(AND($Y177&lt;&gt;"",$B177&lt;&gt;"",$Y177&lt;$B177),"response before receipt; ","")&amp;IF(AND($AD177="Y",$AE177=""),"exemption needs a reason in Notes; ","")="","OK","Check: "&amp;IF(OR($B177="",$C177="",$D177="",$V177="",$W177=""),"missing required field; ","")&amp;IF(COUNTIF($A$2:$A$201,$A177)&gt;1,"duplicate ID; ","")&amp;IF(AND($B177&lt;&gt;"",$B177&gt;ReportDate),"received after snapshot date; ","")&amp;IF(AND($I177&lt;&gt;"",$B177&lt;&gt;"",$I177&lt;$B177),"acknowledged before receipt; ","")&amp;IF(AND($K177="Y",$L177="",$W177&lt;&gt;"Logged"),"ID requested date missing; ","")&amp;IF(AND($L177&lt;&gt;"",$M177&lt;&gt;"",$M177&lt;$L177),"ID dates out of order; ","")&amp;IF(AND($K177&lt;&gt;"Y",OR($L177&lt;&gt;"",$W177="Awaiting ID")),"ID fields used but ID_Check_Needed is not Y; ","")&amp;IF(AND($R177="Y",$S177=""),"extension notice date missing; ","")&amp;IF(AND($R177&lt;&gt;"Y",$S177&lt;&gt;""),"notice date but Extended is not Y; ","")&amp;IF(AND($W177="Closed",$Y177=""),"closed without response date; ","")&amp;IF(AND($Y177&lt;&gt;"",$W177&lt;&gt;"Closed"),"response date but status not Closed; ","")&amp;IF(AND($Y177&lt;&gt;"",$B177&lt;&gt;"",$Y177&lt;$B177),"response before receipt; ","")&amp;IF(AND($AD177="Y",$AE177=""),"exemption needs a reason in Notes; ","")))</f>
        <v/>
      </c>
    </row>
    <row r="178" spans="1:32" x14ac:dyDescent="0.35">
      <c r="A178" s="22"/>
      <c r="B178" s="23"/>
      <c r="C178" s="22"/>
      <c r="D178" s="22"/>
      <c r="E178" s="20" t="str">
        <f>IF($A178="","",IFERROR(VLOOKUP($D178,ReqTypes,2,FALSE),"?"))</f>
        <v/>
      </c>
      <c r="F178" s="20" t="str">
        <f>IF($A178="","",IFERROR(VLOOKUP($D178,ReqTypes,3,FALSE),"?"))</f>
        <v/>
      </c>
      <c r="G178" s="22"/>
      <c r="H178" s="22"/>
      <c r="I178" s="23"/>
      <c r="J178" s="20" t="str">
        <f>IF(OR($A178="",$I178=""),"",IF(NETWORKDAYS($B178,$I178,Holidays)-1&lt;=AckDays,"Y","N"))</f>
        <v/>
      </c>
      <c r="K178" s="22"/>
      <c r="L178" s="23"/>
      <c r="M178" s="23"/>
      <c r="N178" s="20" t="str">
        <f>IF(OR($A178="",$K178&lt;&gt;"Y"),"",IF($L178="","Pending",IF($L178-$B178&lt;=IDPromptDays,"Y","Check")))</f>
        <v/>
      </c>
      <c r="O178" s="20" t="str">
        <f>IF($A178="","",IF(OR($K178&lt;&gt;"Y",$L178=""),0,IF($M178="",MAX(0,ReportDate-$L178),$M178-$L178)))</f>
        <v/>
      </c>
      <c r="P178" s="21" t="str">
        <f>IF($A178="","",IF($F178&lt;&gt;"Y","n/a",WORKDAY(EDATE($B178,1)+$O178-1,1,Holidays)))</f>
        <v/>
      </c>
      <c r="Q178" s="21" t="str">
        <f>IF($A178="","",$B178+$O178+InternalDays)</f>
        <v/>
      </c>
      <c r="R178" s="22"/>
      <c r="S178" s="23"/>
      <c r="T178" s="20" t="str">
        <f t="shared" si="10"/>
        <v/>
      </c>
      <c r="U178" s="21" t="str">
        <f>IF($A178="","",IF($F178&lt;&gt;"Y",$Q178,IF(AND($R178="Y",$T178="Y"),WORKDAY(EDATE($B178,3)+$O178-1,1,Holidays),$P178)))</f>
        <v/>
      </c>
      <c r="V178" s="22"/>
      <c r="W178" s="22"/>
      <c r="X178" s="22"/>
      <c r="Y178" s="23"/>
      <c r="Z178" s="20" t="str">
        <f>IF($A178="","",IF($Y178&lt;&gt;"",$Y178-$B178,ReportDate-$B178))</f>
        <v/>
      </c>
      <c r="AA178" s="20" t="str">
        <f>IF(OR($A178="",$W178="Closed"),"",$U178-ReportDate)</f>
        <v/>
      </c>
      <c r="AB178" s="20" t="str">
        <f>IF($A178="","",IF($W178="Closed",IF($Y178&lt;=$U178,"Closed on time","Closed late"),IF($W178="Awaiting ID","Paused",IF($AA178&lt;0,"Overdue",IF($AA178&lt;=RedDays,"Red",IF($AA178&lt;=AmberDays,"Amber","Green"))))))</f>
        <v/>
      </c>
      <c r="AC178" s="20" t="str">
        <f t="shared" si="11"/>
        <v/>
      </c>
      <c r="AD178" s="22"/>
      <c r="AE178" s="22"/>
      <c r="AF178" s="20" t="str">
        <f>IF($A178="","",IF(IF(OR($B178="",$C178="",$D178="",$V178="",$W178=""),"missing required field; ","")&amp;IF(COUNTIF($A$2:$A$201,$A178)&gt;1,"duplicate ID; ","")&amp;IF(AND($B178&lt;&gt;"",$B178&gt;ReportDate),"received after snapshot date; ","")&amp;IF(AND($I178&lt;&gt;"",$B178&lt;&gt;"",$I178&lt;$B178),"acknowledged before receipt; ","")&amp;IF(AND($K178="Y",$L178="",$W178&lt;&gt;"Logged"),"ID requested date missing; ","")&amp;IF(AND($L178&lt;&gt;"",$M178&lt;&gt;"",$M178&lt;$L178),"ID dates out of order; ","")&amp;IF(AND($K178&lt;&gt;"Y",OR($L178&lt;&gt;"",$W178="Awaiting ID")),"ID fields used but ID_Check_Needed is not Y; ","")&amp;IF(AND($R178="Y",$S178=""),"extension notice date missing; ","")&amp;IF(AND($R178&lt;&gt;"Y",$S178&lt;&gt;""),"notice date but Extended is not Y; ","")&amp;IF(AND($W178="Closed",$Y178=""),"closed without response date; ","")&amp;IF(AND($Y178&lt;&gt;"",$W178&lt;&gt;"Closed"),"response date but status not Closed; ","")&amp;IF(AND($Y178&lt;&gt;"",$B178&lt;&gt;"",$Y178&lt;$B178),"response before receipt; ","")&amp;IF(AND($AD178="Y",$AE178=""),"exemption needs a reason in Notes; ","")="","OK","Check: "&amp;IF(OR($B178="",$C178="",$D178="",$V178="",$W178=""),"missing required field; ","")&amp;IF(COUNTIF($A$2:$A$201,$A178)&gt;1,"duplicate ID; ","")&amp;IF(AND($B178&lt;&gt;"",$B178&gt;ReportDate),"received after snapshot date; ","")&amp;IF(AND($I178&lt;&gt;"",$B178&lt;&gt;"",$I178&lt;$B178),"acknowledged before receipt; ","")&amp;IF(AND($K178="Y",$L178="",$W178&lt;&gt;"Logged"),"ID requested date missing; ","")&amp;IF(AND($L178&lt;&gt;"",$M178&lt;&gt;"",$M178&lt;$L178),"ID dates out of order; ","")&amp;IF(AND($K178&lt;&gt;"Y",OR($L178&lt;&gt;"",$W178="Awaiting ID")),"ID fields used but ID_Check_Needed is not Y; ","")&amp;IF(AND($R178="Y",$S178=""),"extension notice date missing; ","")&amp;IF(AND($R178&lt;&gt;"Y",$S178&lt;&gt;""),"notice date but Extended is not Y; ","")&amp;IF(AND($W178="Closed",$Y178=""),"closed without response date; ","")&amp;IF(AND($Y178&lt;&gt;"",$W178&lt;&gt;"Closed"),"response date but status not Closed; ","")&amp;IF(AND($Y178&lt;&gt;"",$B178&lt;&gt;"",$Y178&lt;$B178),"response before receipt; ","")&amp;IF(AND($AD178="Y",$AE178=""),"exemption needs a reason in Notes; ","")))</f>
        <v/>
      </c>
    </row>
    <row r="179" spans="1:32" x14ac:dyDescent="0.35">
      <c r="A179" s="22"/>
      <c r="B179" s="23"/>
      <c r="C179" s="22"/>
      <c r="D179" s="22"/>
      <c r="E179" s="20" t="str">
        <f>IF($A179="","",IFERROR(VLOOKUP($D179,ReqTypes,2,FALSE),"?"))</f>
        <v/>
      </c>
      <c r="F179" s="20" t="str">
        <f>IF($A179="","",IFERROR(VLOOKUP($D179,ReqTypes,3,FALSE),"?"))</f>
        <v/>
      </c>
      <c r="G179" s="22"/>
      <c r="H179" s="22"/>
      <c r="I179" s="23"/>
      <c r="J179" s="20" t="str">
        <f>IF(OR($A179="",$I179=""),"",IF(NETWORKDAYS($B179,$I179,Holidays)-1&lt;=AckDays,"Y","N"))</f>
        <v/>
      </c>
      <c r="K179" s="22"/>
      <c r="L179" s="23"/>
      <c r="M179" s="23"/>
      <c r="N179" s="20" t="str">
        <f>IF(OR($A179="",$K179&lt;&gt;"Y"),"",IF($L179="","Pending",IF($L179-$B179&lt;=IDPromptDays,"Y","Check")))</f>
        <v/>
      </c>
      <c r="O179" s="20" t="str">
        <f>IF($A179="","",IF(OR($K179&lt;&gt;"Y",$L179=""),0,IF($M179="",MAX(0,ReportDate-$L179),$M179-$L179)))</f>
        <v/>
      </c>
      <c r="P179" s="21" t="str">
        <f>IF($A179="","",IF($F179&lt;&gt;"Y","n/a",WORKDAY(EDATE($B179,1)+$O179-1,1,Holidays)))</f>
        <v/>
      </c>
      <c r="Q179" s="21" t="str">
        <f>IF($A179="","",$B179+$O179+InternalDays)</f>
        <v/>
      </c>
      <c r="R179" s="22"/>
      <c r="S179" s="23"/>
      <c r="T179" s="20" t="str">
        <f t="shared" si="10"/>
        <v/>
      </c>
      <c r="U179" s="21" t="str">
        <f>IF($A179="","",IF($F179&lt;&gt;"Y",$Q179,IF(AND($R179="Y",$T179="Y"),WORKDAY(EDATE($B179,3)+$O179-1,1,Holidays),$P179)))</f>
        <v/>
      </c>
      <c r="V179" s="22"/>
      <c r="W179" s="22"/>
      <c r="X179" s="22"/>
      <c r="Y179" s="23"/>
      <c r="Z179" s="20" t="str">
        <f>IF($A179="","",IF($Y179&lt;&gt;"",$Y179-$B179,ReportDate-$B179))</f>
        <v/>
      </c>
      <c r="AA179" s="20" t="str">
        <f>IF(OR($A179="",$W179="Closed"),"",$U179-ReportDate)</f>
        <v/>
      </c>
      <c r="AB179" s="20" t="str">
        <f>IF($A179="","",IF($W179="Closed",IF($Y179&lt;=$U179,"Closed on time","Closed late"),IF($W179="Awaiting ID","Paused",IF($AA179&lt;0,"Overdue",IF($AA179&lt;=RedDays,"Red",IF($AA179&lt;=AmberDays,"Amber","Green"))))))</f>
        <v/>
      </c>
      <c r="AC179" s="20" t="str">
        <f t="shared" si="11"/>
        <v/>
      </c>
      <c r="AD179" s="22"/>
      <c r="AE179" s="22"/>
      <c r="AF179" s="20" t="str">
        <f>IF($A179="","",IF(IF(OR($B179="",$C179="",$D179="",$V179="",$W179=""),"missing required field; ","")&amp;IF(COUNTIF($A$2:$A$201,$A179)&gt;1,"duplicate ID; ","")&amp;IF(AND($B179&lt;&gt;"",$B179&gt;ReportDate),"received after snapshot date; ","")&amp;IF(AND($I179&lt;&gt;"",$B179&lt;&gt;"",$I179&lt;$B179),"acknowledged before receipt; ","")&amp;IF(AND($K179="Y",$L179="",$W179&lt;&gt;"Logged"),"ID requested date missing; ","")&amp;IF(AND($L179&lt;&gt;"",$M179&lt;&gt;"",$M179&lt;$L179),"ID dates out of order; ","")&amp;IF(AND($K179&lt;&gt;"Y",OR($L179&lt;&gt;"",$W179="Awaiting ID")),"ID fields used but ID_Check_Needed is not Y; ","")&amp;IF(AND($R179="Y",$S179=""),"extension notice date missing; ","")&amp;IF(AND($R179&lt;&gt;"Y",$S179&lt;&gt;""),"notice date but Extended is not Y; ","")&amp;IF(AND($W179="Closed",$Y179=""),"closed without response date; ","")&amp;IF(AND($Y179&lt;&gt;"",$W179&lt;&gt;"Closed"),"response date but status not Closed; ","")&amp;IF(AND($Y179&lt;&gt;"",$B179&lt;&gt;"",$Y179&lt;$B179),"response before receipt; ","")&amp;IF(AND($AD179="Y",$AE179=""),"exemption needs a reason in Notes; ","")="","OK","Check: "&amp;IF(OR($B179="",$C179="",$D179="",$V179="",$W179=""),"missing required field; ","")&amp;IF(COUNTIF($A$2:$A$201,$A179)&gt;1,"duplicate ID; ","")&amp;IF(AND($B179&lt;&gt;"",$B179&gt;ReportDate),"received after snapshot date; ","")&amp;IF(AND($I179&lt;&gt;"",$B179&lt;&gt;"",$I179&lt;$B179),"acknowledged before receipt; ","")&amp;IF(AND($K179="Y",$L179="",$W179&lt;&gt;"Logged"),"ID requested date missing; ","")&amp;IF(AND($L179&lt;&gt;"",$M179&lt;&gt;"",$M179&lt;$L179),"ID dates out of order; ","")&amp;IF(AND($K179&lt;&gt;"Y",OR($L179&lt;&gt;"",$W179="Awaiting ID")),"ID fields used but ID_Check_Needed is not Y; ","")&amp;IF(AND($R179="Y",$S179=""),"extension notice date missing; ","")&amp;IF(AND($R179&lt;&gt;"Y",$S179&lt;&gt;""),"notice date but Extended is not Y; ","")&amp;IF(AND($W179="Closed",$Y179=""),"closed without response date; ","")&amp;IF(AND($Y179&lt;&gt;"",$W179&lt;&gt;"Closed"),"response date but status not Closed; ","")&amp;IF(AND($Y179&lt;&gt;"",$B179&lt;&gt;"",$Y179&lt;$B179),"response before receipt; ","")&amp;IF(AND($AD179="Y",$AE179=""),"exemption needs a reason in Notes; ","")))</f>
        <v/>
      </c>
    </row>
    <row r="180" spans="1:32" x14ac:dyDescent="0.35">
      <c r="A180" s="22"/>
      <c r="B180" s="23"/>
      <c r="C180" s="22"/>
      <c r="D180" s="22"/>
      <c r="E180" s="20" t="str">
        <f>IF($A180="","",IFERROR(VLOOKUP($D180,ReqTypes,2,FALSE),"?"))</f>
        <v/>
      </c>
      <c r="F180" s="20" t="str">
        <f>IF($A180="","",IFERROR(VLOOKUP($D180,ReqTypes,3,FALSE),"?"))</f>
        <v/>
      </c>
      <c r="G180" s="22"/>
      <c r="H180" s="22"/>
      <c r="I180" s="23"/>
      <c r="J180" s="20" t="str">
        <f>IF(OR($A180="",$I180=""),"",IF(NETWORKDAYS($B180,$I180,Holidays)-1&lt;=AckDays,"Y","N"))</f>
        <v/>
      </c>
      <c r="K180" s="22"/>
      <c r="L180" s="23"/>
      <c r="M180" s="23"/>
      <c r="N180" s="20" t="str">
        <f>IF(OR($A180="",$K180&lt;&gt;"Y"),"",IF($L180="","Pending",IF($L180-$B180&lt;=IDPromptDays,"Y","Check")))</f>
        <v/>
      </c>
      <c r="O180" s="20" t="str">
        <f>IF($A180="","",IF(OR($K180&lt;&gt;"Y",$L180=""),0,IF($M180="",MAX(0,ReportDate-$L180),$M180-$L180)))</f>
        <v/>
      </c>
      <c r="P180" s="21" t="str">
        <f>IF($A180="","",IF($F180&lt;&gt;"Y","n/a",WORKDAY(EDATE($B180,1)+$O180-1,1,Holidays)))</f>
        <v/>
      </c>
      <c r="Q180" s="21" t="str">
        <f>IF($A180="","",$B180+$O180+InternalDays)</f>
        <v/>
      </c>
      <c r="R180" s="22"/>
      <c r="S180" s="23"/>
      <c r="T180" s="20" t="str">
        <f t="shared" si="10"/>
        <v/>
      </c>
      <c r="U180" s="21" t="str">
        <f>IF($A180="","",IF($F180&lt;&gt;"Y",$Q180,IF(AND($R180="Y",$T180="Y"),WORKDAY(EDATE($B180,3)+$O180-1,1,Holidays),$P180)))</f>
        <v/>
      </c>
      <c r="V180" s="22"/>
      <c r="W180" s="22"/>
      <c r="X180" s="22"/>
      <c r="Y180" s="23"/>
      <c r="Z180" s="20" t="str">
        <f>IF($A180="","",IF($Y180&lt;&gt;"",$Y180-$B180,ReportDate-$B180))</f>
        <v/>
      </c>
      <c r="AA180" s="20" t="str">
        <f>IF(OR($A180="",$W180="Closed"),"",$U180-ReportDate)</f>
        <v/>
      </c>
      <c r="AB180" s="20" t="str">
        <f>IF($A180="","",IF($W180="Closed",IF($Y180&lt;=$U180,"Closed on time","Closed late"),IF($W180="Awaiting ID","Paused",IF($AA180&lt;0,"Overdue",IF($AA180&lt;=RedDays,"Red",IF($AA180&lt;=AmberDays,"Amber","Green"))))))</f>
        <v/>
      </c>
      <c r="AC180" s="20" t="str">
        <f t="shared" si="11"/>
        <v/>
      </c>
      <c r="AD180" s="22"/>
      <c r="AE180" s="22"/>
      <c r="AF180" s="20" t="str">
        <f>IF($A180="","",IF(IF(OR($B180="",$C180="",$D180="",$V180="",$W180=""),"missing required field; ","")&amp;IF(COUNTIF($A$2:$A$201,$A180)&gt;1,"duplicate ID; ","")&amp;IF(AND($B180&lt;&gt;"",$B180&gt;ReportDate),"received after snapshot date; ","")&amp;IF(AND($I180&lt;&gt;"",$B180&lt;&gt;"",$I180&lt;$B180),"acknowledged before receipt; ","")&amp;IF(AND($K180="Y",$L180="",$W180&lt;&gt;"Logged"),"ID requested date missing; ","")&amp;IF(AND($L180&lt;&gt;"",$M180&lt;&gt;"",$M180&lt;$L180),"ID dates out of order; ","")&amp;IF(AND($K180&lt;&gt;"Y",OR($L180&lt;&gt;"",$W180="Awaiting ID")),"ID fields used but ID_Check_Needed is not Y; ","")&amp;IF(AND($R180="Y",$S180=""),"extension notice date missing; ","")&amp;IF(AND($R180&lt;&gt;"Y",$S180&lt;&gt;""),"notice date but Extended is not Y; ","")&amp;IF(AND($W180="Closed",$Y180=""),"closed without response date; ","")&amp;IF(AND($Y180&lt;&gt;"",$W180&lt;&gt;"Closed"),"response date but status not Closed; ","")&amp;IF(AND($Y180&lt;&gt;"",$B180&lt;&gt;"",$Y180&lt;$B180),"response before receipt; ","")&amp;IF(AND($AD180="Y",$AE180=""),"exemption needs a reason in Notes; ","")="","OK","Check: "&amp;IF(OR($B180="",$C180="",$D180="",$V180="",$W180=""),"missing required field; ","")&amp;IF(COUNTIF($A$2:$A$201,$A180)&gt;1,"duplicate ID; ","")&amp;IF(AND($B180&lt;&gt;"",$B180&gt;ReportDate),"received after snapshot date; ","")&amp;IF(AND($I180&lt;&gt;"",$B180&lt;&gt;"",$I180&lt;$B180),"acknowledged before receipt; ","")&amp;IF(AND($K180="Y",$L180="",$W180&lt;&gt;"Logged"),"ID requested date missing; ","")&amp;IF(AND($L180&lt;&gt;"",$M180&lt;&gt;"",$M180&lt;$L180),"ID dates out of order; ","")&amp;IF(AND($K180&lt;&gt;"Y",OR($L180&lt;&gt;"",$W180="Awaiting ID")),"ID fields used but ID_Check_Needed is not Y; ","")&amp;IF(AND($R180="Y",$S180=""),"extension notice date missing; ","")&amp;IF(AND($R180&lt;&gt;"Y",$S180&lt;&gt;""),"notice date but Extended is not Y; ","")&amp;IF(AND($W180="Closed",$Y180=""),"closed without response date; ","")&amp;IF(AND($Y180&lt;&gt;"",$W180&lt;&gt;"Closed"),"response date but status not Closed; ","")&amp;IF(AND($Y180&lt;&gt;"",$B180&lt;&gt;"",$Y180&lt;$B180),"response before receipt; ","")&amp;IF(AND($AD180="Y",$AE180=""),"exemption needs a reason in Notes; ","")))</f>
        <v/>
      </c>
    </row>
    <row r="181" spans="1:32" x14ac:dyDescent="0.35">
      <c r="A181" s="22"/>
      <c r="B181" s="23"/>
      <c r="C181" s="22"/>
      <c r="D181" s="22"/>
      <c r="E181" s="20" t="str">
        <f>IF($A181="","",IFERROR(VLOOKUP($D181,ReqTypes,2,FALSE),"?"))</f>
        <v/>
      </c>
      <c r="F181" s="20" t="str">
        <f>IF($A181="","",IFERROR(VLOOKUP($D181,ReqTypes,3,FALSE),"?"))</f>
        <v/>
      </c>
      <c r="G181" s="22"/>
      <c r="H181" s="22"/>
      <c r="I181" s="23"/>
      <c r="J181" s="20" t="str">
        <f>IF(OR($A181="",$I181=""),"",IF(NETWORKDAYS($B181,$I181,Holidays)-1&lt;=AckDays,"Y","N"))</f>
        <v/>
      </c>
      <c r="K181" s="22"/>
      <c r="L181" s="23"/>
      <c r="M181" s="23"/>
      <c r="N181" s="20" t="str">
        <f>IF(OR($A181="",$K181&lt;&gt;"Y"),"",IF($L181="","Pending",IF($L181-$B181&lt;=IDPromptDays,"Y","Check")))</f>
        <v/>
      </c>
      <c r="O181" s="20" t="str">
        <f>IF($A181="","",IF(OR($K181&lt;&gt;"Y",$L181=""),0,IF($M181="",MAX(0,ReportDate-$L181),$M181-$L181)))</f>
        <v/>
      </c>
      <c r="P181" s="21" t="str">
        <f>IF($A181="","",IF($F181&lt;&gt;"Y","n/a",WORKDAY(EDATE($B181,1)+$O181-1,1,Holidays)))</f>
        <v/>
      </c>
      <c r="Q181" s="21" t="str">
        <f>IF($A181="","",$B181+$O181+InternalDays)</f>
        <v/>
      </c>
      <c r="R181" s="22"/>
      <c r="S181" s="23"/>
      <c r="T181" s="20" t="str">
        <f t="shared" si="10"/>
        <v/>
      </c>
      <c r="U181" s="21" t="str">
        <f>IF($A181="","",IF($F181&lt;&gt;"Y",$Q181,IF(AND($R181="Y",$T181="Y"),WORKDAY(EDATE($B181,3)+$O181-1,1,Holidays),$P181)))</f>
        <v/>
      </c>
      <c r="V181" s="22"/>
      <c r="W181" s="22"/>
      <c r="X181" s="22"/>
      <c r="Y181" s="23"/>
      <c r="Z181" s="20" t="str">
        <f>IF($A181="","",IF($Y181&lt;&gt;"",$Y181-$B181,ReportDate-$B181))</f>
        <v/>
      </c>
      <c r="AA181" s="20" t="str">
        <f>IF(OR($A181="",$W181="Closed"),"",$U181-ReportDate)</f>
        <v/>
      </c>
      <c r="AB181" s="20" t="str">
        <f>IF($A181="","",IF($W181="Closed",IF($Y181&lt;=$U181,"Closed on time","Closed late"),IF($W181="Awaiting ID","Paused",IF($AA181&lt;0,"Overdue",IF($AA181&lt;=RedDays,"Red",IF($AA181&lt;=AmberDays,"Amber","Green"))))))</f>
        <v/>
      </c>
      <c r="AC181" s="20" t="str">
        <f t="shared" si="11"/>
        <v/>
      </c>
      <c r="AD181" s="22"/>
      <c r="AE181" s="22"/>
      <c r="AF181" s="20" t="str">
        <f>IF($A181="","",IF(IF(OR($B181="",$C181="",$D181="",$V181="",$W181=""),"missing required field; ","")&amp;IF(COUNTIF($A$2:$A$201,$A181)&gt;1,"duplicate ID; ","")&amp;IF(AND($B181&lt;&gt;"",$B181&gt;ReportDate),"received after snapshot date; ","")&amp;IF(AND($I181&lt;&gt;"",$B181&lt;&gt;"",$I181&lt;$B181),"acknowledged before receipt; ","")&amp;IF(AND($K181="Y",$L181="",$W181&lt;&gt;"Logged"),"ID requested date missing; ","")&amp;IF(AND($L181&lt;&gt;"",$M181&lt;&gt;"",$M181&lt;$L181),"ID dates out of order; ","")&amp;IF(AND($K181&lt;&gt;"Y",OR($L181&lt;&gt;"",$W181="Awaiting ID")),"ID fields used but ID_Check_Needed is not Y; ","")&amp;IF(AND($R181="Y",$S181=""),"extension notice date missing; ","")&amp;IF(AND($R181&lt;&gt;"Y",$S181&lt;&gt;""),"notice date but Extended is not Y; ","")&amp;IF(AND($W181="Closed",$Y181=""),"closed without response date; ","")&amp;IF(AND($Y181&lt;&gt;"",$W181&lt;&gt;"Closed"),"response date but status not Closed; ","")&amp;IF(AND($Y181&lt;&gt;"",$B181&lt;&gt;"",$Y181&lt;$B181),"response before receipt; ","")&amp;IF(AND($AD181="Y",$AE181=""),"exemption needs a reason in Notes; ","")="","OK","Check: "&amp;IF(OR($B181="",$C181="",$D181="",$V181="",$W181=""),"missing required field; ","")&amp;IF(COUNTIF($A$2:$A$201,$A181)&gt;1,"duplicate ID; ","")&amp;IF(AND($B181&lt;&gt;"",$B181&gt;ReportDate),"received after snapshot date; ","")&amp;IF(AND($I181&lt;&gt;"",$B181&lt;&gt;"",$I181&lt;$B181),"acknowledged before receipt; ","")&amp;IF(AND($K181="Y",$L181="",$W181&lt;&gt;"Logged"),"ID requested date missing; ","")&amp;IF(AND($L181&lt;&gt;"",$M181&lt;&gt;"",$M181&lt;$L181),"ID dates out of order; ","")&amp;IF(AND($K181&lt;&gt;"Y",OR($L181&lt;&gt;"",$W181="Awaiting ID")),"ID fields used but ID_Check_Needed is not Y; ","")&amp;IF(AND($R181="Y",$S181=""),"extension notice date missing; ","")&amp;IF(AND($R181&lt;&gt;"Y",$S181&lt;&gt;""),"notice date but Extended is not Y; ","")&amp;IF(AND($W181="Closed",$Y181=""),"closed without response date; ","")&amp;IF(AND($Y181&lt;&gt;"",$W181&lt;&gt;"Closed"),"response date but status not Closed; ","")&amp;IF(AND($Y181&lt;&gt;"",$B181&lt;&gt;"",$Y181&lt;$B181),"response before receipt; ","")&amp;IF(AND($AD181="Y",$AE181=""),"exemption needs a reason in Notes; ","")))</f>
        <v/>
      </c>
    </row>
    <row r="182" spans="1:32" x14ac:dyDescent="0.35">
      <c r="A182" s="22"/>
      <c r="B182" s="23"/>
      <c r="C182" s="22"/>
      <c r="D182" s="22"/>
      <c r="E182" s="20" t="str">
        <f>IF($A182="","",IFERROR(VLOOKUP($D182,ReqTypes,2,FALSE),"?"))</f>
        <v/>
      </c>
      <c r="F182" s="20" t="str">
        <f>IF($A182="","",IFERROR(VLOOKUP($D182,ReqTypes,3,FALSE),"?"))</f>
        <v/>
      </c>
      <c r="G182" s="22"/>
      <c r="H182" s="22"/>
      <c r="I182" s="23"/>
      <c r="J182" s="20" t="str">
        <f>IF(OR($A182="",$I182=""),"",IF(NETWORKDAYS($B182,$I182,Holidays)-1&lt;=AckDays,"Y","N"))</f>
        <v/>
      </c>
      <c r="K182" s="22"/>
      <c r="L182" s="23"/>
      <c r="M182" s="23"/>
      <c r="N182" s="20" t="str">
        <f>IF(OR($A182="",$K182&lt;&gt;"Y"),"",IF($L182="","Pending",IF($L182-$B182&lt;=IDPromptDays,"Y","Check")))</f>
        <v/>
      </c>
      <c r="O182" s="20" t="str">
        <f>IF($A182="","",IF(OR($K182&lt;&gt;"Y",$L182=""),0,IF($M182="",MAX(0,ReportDate-$L182),$M182-$L182)))</f>
        <v/>
      </c>
      <c r="P182" s="21" t="str">
        <f>IF($A182="","",IF($F182&lt;&gt;"Y","n/a",WORKDAY(EDATE($B182,1)+$O182-1,1,Holidays)))</f>
        <v/>
      </c>
      <c r="Q182" s="21" t="str">
        <f>IF($A182="","",$B182+$O182+InternalDays)</f>
        <v/>
      </c>
      <c r="R182" s="22"/>
      <c r="S182" s="23"/>
      <c r="T182" s="20" t="str">
        <f t="shared" si="10"/>
        <v/>
      </c>
      <c r="U182" s="21" t="str">
        <f>IF($A182="","",IF($F182&lt;&gt;"Y",$Q182,IF(AND($R182="Y",$T182="Y"),WORKDAY(EDATE($B182,3)+$O182-1,1,Holidays),$P182)))</f>
        <v/>
      </c>
      <c r="V182" s="22"/>
      <c r="W182" s="22"/>
      <c r="X182" s="22"/>
      <c r="Y182" s="23"/>
      <c r="Z182" s="20" t="str">
        <f>IF($A182="","",IF($Y182&lt;&gt;"",$Y182-$B182,ReportDate-$B182))</f>
        <v/>
      </c>
      <c r="AA182" s="20" t="str">
        <f>IF(OR($A182="",$W182="Closed"),"",$U182-ReportDate)</f>
        <v/>
      </c>
      <c r="AB182" s="20" t="str">
        <f>IF($A182="","",IF($W182="Closed",IF($Y182&lt;=$U182,"Closed on time","Closed late"),IF($W182="Awaiting ID","Paused",IF($AA182&lt;0,"Overdue",IF($AA182&lt;=RedDays,"Red",IF($AA182&lt;=AmberDays,"Amber","Green"))))))</f>
        <v/>
      </c>
      <c r="AC182" s="20" t="str">
        <f t="shared" si="11"/>
        <v/>
      </c>
      <c r="AD182" s="22"/>
      <c r="AE182" s="22"/>
      <c r="AF182" s="20" t="str">
        <f>IF($A182="","",IF(IF(OR($B182="",$C182="",$D182="",$V182="",$W182=""),"missing required field; ","")&amp;IF(COUNTIF($A$2:$A$201,$A182)&gt;1,"duplicate ID; ","")&amp;IF(AND($B182&lt;&gt;"",$B182&gt;ReportDate),"received after snapshot date; ","")&amp;IF(AND($I182&lt;&gt;"",$B182&lt;&gt;"",$I182&lt;$B182),"acknowledged before receipt; ","")&amp;IF(AND($K182="Y",$L182="",$W182&lt;&gt;"Logged"),"ID requested date missing; ","")&amp;IF(AND($L182&lt;&gt;"",$M182&lt;&gt;"",$M182&lt;$L182),"ID dates out of order; ","")&amp;IF(AND($K182&lt;&gt;"Y",OR($L182&lt;&gt;"",$W182="Awaiting ID")),"ID fields used but ID_Check_Needed is not Y; ","")&amp;IF(AND($R182="Y",$S182=""),"extension notice date missing; ","")&amp;IF(AND($R182&lt;&gt;"Y",$S182&lt;&gt;""),"notice date but Extended is not Y; ","")&amp;IF(AND($W182="Closed",$Y182=""),"closed without response date; ","")&amp;IF(AND($Y182&lt;&gt;"",$W182&lt;&gt;"Closed"),"response date but status not Closed; ","")&amp;IF(AND($Y182&lt;&gt;"",$B182&lt;&gt;"",$Y182&lt;$B182),"response before receipt; ","")&amp;IF(AND($AD182="Y",$AE182=""),"exemption needs a reason in Notes; ","")="","OK","Check: "&amp;IF(OR($B182="",$C182="",$D182="",$V182="",$W182=""),"missing required field; ","")&amp;IF(COUNTIF($A$2:$A$201,$A182)&gt;1,"duplicate ID; ","")&amp;IF(AND($B182&lt;&gt;"",$B182&gt;ReportDate),"received after snapshot date; ","")&amp;IF(AND($I182&lt;&gt;"",$B182&lt;&gt;"",$I182&lt;$B182),"acknowledged before receipt; ","")&amp;IF(AND($K182="Y",$L182="",$W182&lt;&gt;"Logged"),"ID requested date missing; ","")&amp;IF(AND($L182&lt;&gt;"",$M182&lt;&gt;"",$M182&lt;$L182),"ID dates out of order; ","")&amp;IF(AND($K182&lt;&gt;"Y",OR($L182&lt;&gt;"",$W182="Awaiting ID")),"ID fields used but ID_Check_Needed is not Y; ","")&amp;IF(AND($R182="Y",$S182=""),"extension notice date missing; ","")&amp;IF(AND($R182&lt;&gt;"Y",$S182&lt;&gt;""),"notice date but Extended is not Y; ","")&amp;IF(AND($W182="Closed",$Y182=""),"closed without response date; ","")&amp;IF(AND($Y182&lt;&gt;"",$W182&lt;&gt;"Closed"),"response date but status not Closed; ","")&amp;IF(AND($Y182&lt;&gt;"",$B182&lt;&gt;"",$Y182&lt;$B182),"response before receipt; ","")&amp;IF(AND($AD182="Y",$AE182=""),"exemption needs a reason in Notes; ","")))</f>
        <v/>
      </c>
    </row>
    <row r="183" spans="1:32" x14ac:dyDescent="0.35">
      <c r="A183" s="22"/>
      <c r="B183" s="23"/>
      <c r="C183" s="22"/>
      <c r="D183" s="22"/>
      <c r="E183" s="20" t="str">
        <f>IF($A183="","",IFERROR(VLOOKUP($D183,ReqTypes,2,FALSE),"?"))</f>
        <v/>
      </c>
      <c r="F183" s="20" t="str">
        <f>IF($A183="","",IFERROR(VLOOKUP($D183,ReqTypes,3,FALSE),"?"))</f>
        <v/>
      </c>
      <c r="G183" s="22"/>
      <c r="H183" s="22"/>
      <c r="I183" s="23"/>
      <c r="J183" s="20" t="str">
        <f>IF(OR($A183="",$I183=""),"",IF(NETWORKDAYS($B183,$I183,Holidays)-1&lt;=AckDays,"Y","N"))</f>
        <v/>
      </c>
      <c r="K183" s="22"/>
      <c r="L183" s="23"/>
      <c r="M183" s="23"/>
      <c r="N183" s="20" t="str">
        <f>IF(OR($A183="",$K183&lt;&gt;"Y"),"",IF($L183="","Pending",IF($L183-$B183&lt;=IDPromptDays,"Y","Check")))</f>
        <v/>
      </c>
      <c r="O183" s="20" t="str">
        <f>IF($A183="","",IF(OR($K183&lt;&gt;"Y",$L183=""),0,IF($M183="",MAX(0,ReportDate-$L183),$M183-$L183)))</f>
        <v/>
      </c>
      <c r="P183" s="21" t="str">
        <f>IF($A183="","",IF($F183&lt;&gt;"Y","n/a",WORKDAY(EDATE($B183,1)+$O183-1,1,Holidays)))</f>
        <v/>
      </c>
      <c r="Q183" s="21" t="str">
        <f>IF($A183="","",$B183+$O183+InternalDays)</f>
        <v/>
      </c>
      <c r="R183" s="22"/>
      <c r="S183" s="23"/>
      <c r="T183" s="20" t="str">
        <f t="shared" si="10"/>
        <v/>
      </c>
      <c r="U183" s="21" t="str">
        <f>IF($A183="","",IF($F183&lt;&gt;"Y",$Q183,IF(AND($R183="Y",$T183="Y"),WORKDAY(EDATE($B183,3)+$O183-1,1,Holidays),$P183)))</f>
        <v/>
      </c>
      <c r="V183" s="22"/>
      <c r="W183" s="22"/>
      <c r="X183" s="22"/>
      <c r="Y183" s="23"/>
      <c r="Z183" s="20" t="str">
        <f>IF($A183="","",IF($Y183&lt;&gt;"",$Y183-$B183,ReportDate-$B183))</f>
        <v/>
      </c>
      <c r="AA183" s="20" t="str">
        <f>IF(OR($A183="",$W183="Closed"),"",$U183-ReportDate)</f>
        <v/>
      </c>
      <c r="AB183" s="20" t="str">
        <f>IF($A183="","",IF($W183="Closed",IF($Y183&lt;=$U183,"Closed on time","Closed late"),IF($W183="Awaiting ID","Paused",IF($AA183&lt;0,"Overdue",IF($AA183&lt;=RedDays,"Red",IF($AA183&lt;=AmberDays,"Amber","Green"))))))</f>
        <v/>
      </c>
      <c r="AC183" s="20" t="str">
        <f t="shared" si="11"/>
        <v/>
      </c>
      <c r="AD183" s="22"/>
      <c r="AE183" s="22"/>
      <c r="AF183" s="20" t="str">
        <f>IF($A183="","",IF(IF(OR($B183="",$C183="",$D183="",$V183="",$W183=""),"missing required field; ","")&amp;IF(COUNTIF($A$2:$A$201,$A183)&gt;1,"duplicate ID; ","")&amp;IF(AND($B183&lt;&gt;"",$B183&gt;ReportDate),"received after snapshot date; ","")&amp;IF(AND($I183&lt;&gt;"",$B183&lt;&gt;"",$I183&lt;$B183),"acknowledged before receipt; ","")&amp;IF(AND($K183="Y",$L183="",$W183&lt;&gt;"Logged"),"ID requested date missing; ","")&amp;IF(AND($L183&lt;&gt;"",$M183&lt;&gt;"",$M183&lt;$L183),"ID dates out of order; ","")&amp;IF(AND($K183&lt;&gt;"Y",OR($L183&lt;&gt;"",$W183="Awaiting ID")),"ID fields used but ID_Check_Needed is not Y; ","")&amp;IF(AND($R183="Y",$S183=""),"extension notice date missing; ","")&amp;IF(AND($R183&lt;&gt;"Y",$S183&lt;&gt;""),"notice date but Extended is not Y; ","")&amp;IF(AND($W183="Closed",$Y183=""),"closed without response date; ","")&amp;IF(AND($Y183&lt;&gt;"",$W183&lt;&gt;"Closed"),"response date but status not Closed; ","")&amp;IF(AND($Y183&lt;&gt;"",$B183&lt;&gt;"",$Y183&lt;$B183),"response before receipt; ","")&amp;IF(AND($AD183="Y",$AE183=""),"exemption needs a reason in Notes; ","")="","OK","Check: "&amp;IF(OR($B183="",$C183="",$D183="",$V183="",$W183=""),"missing required field; ","")&amp;IF(COUNTIF($A$2:$A$201,$A183)&gt;1,"duplicate ID; ","")&amp;IF(AND($B183&lt;&gt;"",$B183&gt;ReportDate),"received after snapshot date; ","")&amp;IF(AND($I183&lt;&gt;"",$B183&lt;&gt;"",$I183&lt;$B183),"acknowledged before receipt; ","")&amp;IF(AND($K183="Y",$L183="",$W183&lt;&gt;"Logged"),"ID requested date missing; ","")&amp;IF(AND($L183&lt;&gt;"",$M183&lt;&gt;"",$M183&lt;$L183),"ID dates out of order; ","")&amp;IF(AND($K183&lt;&gt;"Y",OR($L183&lt;&gt;"",$W183="Awaiting ID")),"ID fields used but ID_Check_Needed is not Y; ","")&amp;IF(AND($R183="Y",$S183=""),"extension notice date missing; ","")&amp;IF(AND($R183&lt;&gt;"Y",$S183&lt;&gt;""),"notice date but Extended is not Y; ","")&amp;IF(AND($W183="Closed",$Y183=""),"closed without response date; ","")&amp;IF(AND($Y183&lt;&gt;"",$W183&lt;&gt;"Closed"),"response date but status not Closed; ","")&amp;IF(AND($Y183&lt;&gt;"",$B183&lt;&gt;"",$Y183&lt;$B183),"response before receipt; ","")&amp;IF(AND($AD183="Y",$AE183=""),"exemption needs a reason in Notes; ","")))</f>
        <v/>
      </c>
    </row>
    <row r="184" spans="1:32" x14ac:dyDescent="0.35">
      <c r="A184" s="22"/>
      <c r="B184" s="23"/>
      <c r="C184" s="22"/>
      <c r="D184" s="22"/>
      <c r="E184" s="20" t="str">
        <f>IF($A184="","",IFERROR(VLOOKUP($D184,ReqTypes,2,FALSE),"?"))</f>
        <v/>
      </c>
      <c r="F184" s="20" t="str">
        <f>IF($A184="","",IFERROR(VLOOKUP($D184,ReqTypes,3,FALSE),"?"))</f>
        <v/>
      </c>
      <c r="G184" s="22"/>
      <c r="H184" s="22"/>
      <c r="I184" s="23"/>
      <c r="J184" s="20" t="str">
        <f>IF(OR($A184="",$I184=""),"",IF(NETWORKDAYS($B184,$I184,Holidays)-1&lt;=AckDays,"Y","N"))</f>
        <v/>
      </c>
      <c r="K184" s="22"/>
      <c r="L184" s="23"/>
      <c r="M184" s="23"/>
      <c r="N184" s="20" t="str">
        <f>IF(OR($A184="",$K184&lt;&gt;"Y"),"",IF($L184="","Pending",IF($L184-$B184&lt;=IDPromptDays,"Y","Check")))</f>
        <v/>
      </c>
      <c r="O184" s="20" t="str">
        <f>IF($A184="","",IF(OR($K184&lt;&gt;"Y",$L184=""),0,IF($M184="",MAX(0,ReportDate-$L184),$M184-$L184)))</f>
        <v/>
      </c>
      <c r="P184" s="21" t="str">
        <f>IF($A184="","",IF($F184&lt;&gt;"Y","n/a",WORKDAY(EDATE($B184,1)+$O184-1,1,Holidays)))</f>
        <v/>
      </c>
      <c r="Q184" s="21" t="str">
        <f>IF($A184="","",$B184+$O184+InternalDays)</f>
        <v/>
      </c>
      <c r="R184" s="22"/>
      <c r="S184" s="23"/>
      <c r="T184" s="20" t="str">
        <f t="shared" si="10"/>
        <v/>
      </c>
      <c r="U184" s="21" t="str">
        <f>IF($A184="","",IF($F184&lt;&gt;"Y",$Q184,IF(AND($R184="Y",$T184="Y"),WORKDAY(EDATE($B184,3)+$O184-1,1,Holidays),$P184)))</f>
        <v/>
      </c>
      <c r="V184" s="22"/>
      <c r="W184" s="22"/>
      <c r="X184" s="22"/>
      <c r="Y184" s="23"/>
      <c r="Z184" s="20" t="str">
        <f>IF($A184="","",IF($Y184&lt;&gt;"",$Y184-$B184,ReportDate-$B184))</f>
        <v/>
      </c>
      <c r="AA184" s="20" t="str">
        <f>IF(OR($A184="",$W184="Closed"),"",$U184-ReportDate)</f>
        <v/>
      </c>
      <c r="AB184" s="20" t="str">
        <f>IF($A184="","",IF($W184="Closed",IF($Y184&lt;=$U184,"Closed on time","Closed late"),IF($W184="Awaiting ID","Paused",IF($AA184&lt;0,"Overdue",IF($AA184&lt;=RedDays,"Red",IF($AA184&lt;=AmberDays,"Amber","Green"))))))</f>
        <v/>
      </c>
      <c r="AC184" s="20" t="str">
        <f t="shared" si="11"/>
        <v/>
      </c>
      <c r="AD184" s="22"/>
      <c r="AE184" s="22"/>
      <c r="AF184" s="20" t="str">
        <f>IF($A184="","",IF(IF(OR($B184="",$C184="",$D184="",$V184="",$W184=""),"missing required field; ","")&amp;IF(COUNTIF($A$2:$A$201,$A184)&gt;1,"duplicate ID; ","")&amp;IF(AND($B184&lt;&gt;"",$B184&gt;ReportDate),"received after snapshot date; ","")&amp;IF(AND($I184&lt;&gt;"",$B184&lt;&gt;"",$I184&lt;$B184),"acknowledged before receipt; ","")&amp;IF(AND($K184="Y",$L184="",$W184&lt;&gt;"Logged"),"ID requested date missing; ","")&amp;IF(AND($L184&lt;&gt;"",$M184&lt;&gt;"",$M184&lt;$L184),"ID dates out of order; ","")&amp;IF(AND($K184&lt;&gt;"Y",OR($L184&lt;&gt;"",$W184="Awaiting ID")),"ID fields used but ID_Check_Needed is not Y; ","")&amp;IF(AND($R184="Y",$S184=""),"extension notice date missing; ","")&amp;IF(AND($R184&lt;&gt;"Y",$S184&lt;&gt;""),"notice date but Extended is not Y; ","")&amp;IF(AND($W184="Closed",$Y184=""),"closed without response date; ","")&amp;IF(AND($Y184&lt;&gt;"",$W184&lt;&gt;"Closed"),"response date but status not Closed; ","")&amp;IF(AND($Y184&lt;&gt;"",$B184&lt;&gt;"",$Y184&lt;$B184),"response before receipt; ","")&amp;IF(AND($AD184="Y",$AE184=""),"exemption needs a reason in Notes; ","")="","OK","Check: "&amp;IF(OR($B184="",$C184="",$D184="",$V184="",$W184=""),"missing required field; ","")&amp;IF(COUNTIF($A$2:$A$201,$A184)&gt;1,"duplicate ID; ","")&amp;IF(AND($B184&lt;&gt;"",$B184&gt;ReportDate),"received after snapshot date; ","")&amp;IF(AND($I184&lt;&gt;"",$B184&lt;&gt;"",$I184&lt;$B184),"acknowledged before receipt; ","")&amp;IF(AND($K184="Y",$L184="",$W184&lt;&gt;"Logged"),"ID requested date missing; ","")&amp;IF(AND($L184&lt;&gt;"",$M184&lt;&gt;"",$M184&lt;$L184),"ID dates out of order; ","")&amp;IF(AND($K184&lt;&gt;"Y",OR($L184&lt;&gt;"",$W184="Awaiting ID")),"ID fields used but ID_Check_Needed is not Y; ","")&amp;IF(AND($R184="Y",$S184=""),"extension notice date missing; ","")&amp;IF(AND($R184&lt;&gt;"Y",$S184&lt;&gt;""),"notice date but Extended is not Y; ","")&amp;IF(AND($W184="Closed",$Y184=""),"closed without response date; ","")&amp;IF(AND($Y184&lt;&gt;"",$W184&lt;&gt;"Closed"),"response date but status not Closed; ","")&amp;IF(AND($Y184&lt;&gt;"",$B184&lt;&gt;"",$Y184&lt;$B184),"response before receipt; ","")&amp;IF(AND($AD184="Y",$AE184=""),"exemption needs a reason in Notes; ","")))</f>
        <v/>
      </c>
    </row>
    <row r="185" spans="1:32" x14ac:dyDescent="0.35">
      <c r="A185" s="22"/>
      <c r="B185" s="23"/>
      <c r="C185" s="22"/>
      <c r="D185" s="22"/>
      <c r="E185" s="20" t="str">
        <f>IF($A185="","",IFERROR(VLOOKUP($D185,ReqTypes,2,FALSE),"?"))</f>
        <v/>
      </c>
      <c r="F185" s="20" t="str">
        <f>IF($A185="","",IFERROR(VLOOKUP($D185,ReqTypes,3,FALSE),"?"))</f>
        <v/>
      </c>
      <c r="G185" s="22"/>
      <c r="H185" s="22"/>
      <c r="I185" s="23"/>
      <c r="J185" s="20" t="str">
        <f>IF(OR($A185="",$I185=""),"",IF(NETWORKDAYS($B185,$I185,Holidays)-1&lt;=AckDays,"Y","N"))</f>
        <v/>
      </c>
      <c r="K185" s="22"/>
      <c r="L185" s="23"/>
      <c r="M185" s="23"/>
      <c r="N185" s="20" t="str">
        <f>IF(OR($A185="",$K185&lt;&gt;"Y"),"",IF($L185="","Pending",IF($L185-$B185&lt;=IDPromptDays,"Y","Check")))</f>
        <v/>
      </c>
      <c r="O185" s="20" t="str">
        <f>IF($A185="","",IF(OR($K185&lt;&gt;"Y",$L185=""),0,IF($M185="",MAX(0,ReportDate-$L185),$M185-$L185)))</f>
        <v/>
      </c>
      <c r="P185" s="21" t="str">
        <f>IF($A185="","",IF($F185&lt;&gt;"Y","n/a",WORKDAY(EDATE($B185,1)+$O185-1,1,Holidays)))</f>
        <v/>
      </c>
      <c r="Q185" s="21" t="str">
        <f>IF($A185="","",$B185+$O185+InternalDays)</f>
        <v/>
      </c>
      <c r="R185" s="22"/>
      <c r="S185" s="23"/>
      <c r="T185" s="20" t="str">
        <f t="shared" si="10"/>
        <v/>
      </c>
      <c r="U185" s="21" t="str">
        <f>IF($A185="","",IF($F185&lt;&gt;"Y",$Q185,IF(AND($R185="Y",$T185="Y"),WORKDAY(EDATE($B185,3)+$O185-1,1,Holidays),$P185)))</f>
        <v/>
      </c>
      <c r="V185" s="22"/>
      <c r="W185" s="22"/>
      <c r="X185" s="22"/>
      <c r="Y185" s="23"/>
      <c r="Z185" s="20" t="str">
        <f>IF($A185="","",IF($Y185&lt;&gt;"",$Y185-$B185,ReportDate-$B185))</f>
        <v/>
      </c>
      <c r="AA185" s="20" t="str">
        <f>IF(OR($A185="",$W185="Closed"),"",$U185-ReportDate)</f>
        <v/>
      </c>
      <c r="AB185" s="20" t="str">
        <f>IF($A185="","",IF($W185="Closed",IF($Y185&lt;=$U185,"Closed on time","Closed late"),IF($W185="Awaiting ID","Paused",IF($AA185&lt;0,"Overdue",IF($AA185&lt;=RedDays,"Red",IF($AA185&lt;=AmberDays,"Amber","Green"))))))</f>
        <v/>
      </c>
      <c r="AC185" s="20" t="str">
        <f t="shared" si="11"/>
        <v/>
      </c>
      <c r="AD185" s="22"/>
      <c r="AE185" s="22"/>
      <c r="AF185" s="20" t="str">
        <f>IF($A185="","",IF(IF(OR($B185="",$C185="",$D185="",$V185="",$W185=""),"missing required field; ","")&amp;IF(COUNTIF($A$2:$A$201,$A185)&gt;1,"duplicate ID; ","")&amp;IF(AND($B185&lt;&gt;"",$B185&gt;ReportDate),"received after snapshot date; ","")&amp;IF(AND($I185&lt;&gt;"",$B185&lt;&gt;"",$I185&lt;$B185),"acknowledged before receipt; ","")&amp;IF(AND($K185="Y",$L185="",$W185&lt;&gt;"Logged"),"ID requested date missing; ","")&amp;IF(AND($L185&lt;&gt;"",$M185&lt;&gt;"",$M185&lt;$L185),"ID dates out of order; ","")&amp;IF(AND($K185&lt;&gt;"Y",OR($L185&lt;&gt;"",$W185="Awaiting ID")),"ID fields used but ID_Check_Needed is not Y; ","")&amp;IF(AND($R185="Y",$S185=""),"extension notice date missing; ","")&amp;IF(AND($R185&lt;&gt;"Y",$S185&lt;&gt;""),"notice date but Extended is not Y; ","")&amp;IF(AND($W185="Closed",$Y185=""),"closed without response date; ","")&amp;IF(AND($Y185&lt;&gt;"",$W185&lt;&gt;"Closed"),"response date but status not Closed; ","")&amp;IF(AND($Y185&lt;&gt;"",$B185&lt;&gt;"",$Y185&lt;$B185),"response before receipt; ","")&amp;IF(AND($AD185="Y",$AE185=""),"exemption needs a reason in Notes; ","")="","OK","Check: "&amp;IF(OR($B185="",$C185="",$D185="",$V185="",$W185=""),"missing required field; ","")&amp;IF(COUNTIF($A$2:$A$201,$A185)&gt;1,"duplicate ID; ","")&amp;IF(AND($B185&lt;&gt;"",$B185&gt;ReportDate),"received after snapshot date; ","")&amp;IF(AND($I185&lt;&gt;"",$B185&lt;&gt;"",$I185&lt;$B185),"acknowledged before receipt; ","")&amp;IF(AND($K185="Y",$L185="",$W185&lt;&gt;"Logged"),"ID requested date missing; ","")&amp;IF(AND($L185&lt;&gt;"",$M185&lt;&gt;"",$M185&lt;$L185),"ID dates out of order; ","")&amp;IF(AND($K185&lt;&gt;"Y",OR($L185&lt;&gt;"",$W185="Awaiting ID")),"ID fields used but ID_Check_Needed is not Y; ","")&amp;IF(AND($R185="Y",$S185=""),"extension notice date missing; ","")&amp;IF(AND($R185&lt;&gt;"Y",$S185&lt;&gt;""),"notice date but Extended is not Y; ","")&amp;IF(AND($W185="Closed",$Y185=""),"closed without response date; ","")&amp;IF(AND($Y185&lt;&gt;"",$W185&lt;&gt;"Closed"),"response date but status not Closed; ","")&amp;IF(AND($Y185&lt;&gt;"",$B185&lt;&gt;"",$Y185&lt;$B185),"response before receipt; ","")&amp;IF(AND($AD185="Y",$AE185=""),"exemption needs a reason in Notes; ","")))</f>
        <v/>
      </c>
    </row>
    <row r="186" spans="1:32" x14ac:dyDescent="0.35">
      <c r="A186" s="22"/>
      <c r="B186" s="23"/>
      <c r="C186" s="22"/>
      <c r="D186" s="22"/>
      <c r="E186" s="20" t="str">
        <f>IF($A186="","",IFERROR(VLOOKUP($D186,ReqTypes,2,FALSE),"?"))</f>
        <v/>
      </c>
      <c r="F186" s="20" t="str">
        <f>IF($A186="","",IFERROR(VLOOKUP($D186,ReqTypes,3,FALSE),"?"))</f>
        <v/>
      </c>
      <c r="G186" s="22"/>
      <c r="H186" s="22"/>
      <c r="I186" s="23"/>
      <c r="J186" s="20" t="str">
        <f>IF(OR($A186="",$I186=""),"",IF(NETWORKDAYS($B186,$I186,Holidays)-1&lt;=AckDays,"Y","N"))</f>
        <v/>
      </c>
      <c r="K186" s="22"/>
      <c r="L186" s="23"/>
      <c r="M186" s="23"/>
      <c r="N186" s="20" t="str">
        <f>IF(OR($A186="",$K186&lt;&gt;"Y"),"",IF($L186="","Pending",IF($L186-$B186&lt;=IDPromptDays,"Y","Check")))</f>
        <v/>
      </c>
      <c r="O186" s="20" t="str">
        <f>IF($A186="","",IF(OR($K186&lt;&gt;"Y",$L186=""),0,IF($M186="",MAX(0,ReportDate-$L186),$M186-$L186)))</f>
        <v/>
      </c>
      <c r="P186" s="21" t="str">
        <f>IF($A186="","",IF($F186&lt;&gt;"Y","n/a",WORKDAY(EDATE($B186,1)+$O186-1,1,Holidays)))</f>
        <v/>
      </c>
      <c r="Q186" s="21" t="str">
        <f>IF($A186="","",$B186+$O186+InternalDays)</f>
        <v/>
      </c>
      <c r="R186" s="22"/>
      <c r="S186" s="23"/>
      <c r="T186" s="20" t="str">
        <f t="shared" si="10"/>
        <v/>
      </c>
      <c r="U186" s="21" t="str">
        <f>IF($A186="","",IF($F186&lt;&gt;"Y",$Q186,IF(AND($R186="Y",$T186="Y"),WORKDAY(EDATE($B186,3)+$O186-1,1,Holidays),$P186)))</f>
        <v/>
      </c>
      <c r="V186" s="22"/>
      <c r="W186" s="22"/>
      <c r="X186" s="22"/>
      <c r="Y186" s="23"/>
      <c r="Z186" s="20" t="str">
        <f>IF($A186="","",IF($Y186&lt;&gt;"",$Y186-$B186,ReportDate-$B186))</f>
        <v/>
      </c>
      <c r="AA186" s="20" t="str">
        <f>IF(OR($A186="",$W186="Closed"),"",$U186-ReportDate)</f>
        <v/>
      </c>
      <c r="AB186" s="20" t="str">
        <f>IF($A186="","",IF($W186="Closed",IF($Y186&lt;=$U186,"Closed on time","Closed late"),IF($W186="Awaiting ID","Paused",IF($AA186&lt;0,"Overdue",IF($AA186&lt;=RedDays,"Red",IF($AA186&lt;=AmberDays,"Amber","Green"))))))</f>
        <v/>
      </c>
      <c r="AC186" s="20" t="str">
        <f t="shared" si="11"/>
        <v/>
      </c>
      <c r="AD186" s="22"/>
      <c r="AE186" s="22"/>
      <c r="AF186" s="20" t="str">
        <f>IF($A186="","",IF(IF(OR($B186="",$C186="",$D186="",$V186="",$W186=""),"missing required field; ","")&amp;IF(COUNTIF($A$2:$A$201,$A186)&gt;1,"duplicate ID; ","")&amp;IF(AND($B186&lt;&gt;"",$B186&gt;ReportDate),"received after snapshot date; ","")&amp;IF(AND($I186&lt;&gt;"",$B186&lt;&gt;"",$I186&lt;$B186),"acknowledged before receipt; ","")&amp;IF(AND($K186="Y",$L186="",$W186&lt;&gt;"Logged"),"ID requested date missing; ","")&amp;IF(AND($L186&lt;&gt;"",$M186&lt;&gt;"",$M186&lt;$L186),"ID dates out of order; ","")&amp;IF(AND($K186&lt;&gt;"Y",OR($L186&lt;&gt;"",$W186="Awaiting ID")),"ID fields used but ID_Check_Needed is not Y; ","")&amp;IF(AND($R186="Y",$S186=""),"extension notice date missing; ","")&amp;IF(AND($R186&lt;&gt;"Y",$S186&lt;&gt;""),"notice date but Extended is not Y; ","")&amp;IF(AND($W186="Closed",$Y186=""),"closed without response date; ","")&amp;IF(AND($Y186&lt;&gt;"",$W186&lt;&gt;"Closed"),"response date but status not Closed; ","")&amp;IF(AND($Y186&lt;&gt;"",$B186&lt;&gt;"",$Y186&lt;$B186),"response before receipt; ","")&amp;IF(AND($AD186="Y",$AE186=""),"exemption needs a reason in Notes; ","")="","OK","Check: "&amp;IF(OR($B186="",$C186="",$D186="",$V186="",$W186=""),"missing required field; ","")&amp;IF(COUNTIF($A$2:$A$201,$A186)&gt;1,"duplicate ID; ","")&amp;IF(AND($B186&lt;&gt;"",$B186&gt;ReportDate),"received after snapshot date; ","")&amp;IF(AND($I186&lt;&gt;"",$B186&lt;&gt;"",$I186&lt;$B186),"acknowledged before receipt; ","")&amp;IF(AND($K186="Y",$L186="",$W186&lt;&gt;"Logged"),"ID requested date missing; ","")&amp;IF(AND($L186&lt;&gt;"",$M186&lt;&gt;"",$M186&lt;$L186),"ID dates out of order; ","")&amp;IF(AND($K186&lt;&gt;"Y",OR($L186&lt;&gt;"",$W186="Awaiting ID")),"ID fields used but ID_Check_Needed is not Y; ","")&amp;IF(AND($R186="Y",$S186=""),"extension notice date missing; ","")&amp;IF(AND($R186&lt;&gt;"Y",$S186&lt;&gt;""),"notice date but Extended is not Y; ","")&amp;IF(AND($W186="Closed",$Y186=""),"closed without response date; ","")&amp;IF(AND($Y186&lt;&gt;"",$W186&lt;&gt;"Closed"),"response date but status not Closed; ","")&amp;IF(AND($Y186&lt;&gt;"",$B186&lt;&gt;"",$Y186&lt;$B186),"response before receipt; ","")&amp;IF(AND($AD186="Y",$AE186=""),"exemption needs a reason in Notes; ","")))</f>
        <v/>
      </c>
    </row>
    <row r="187" spans="1:32" x14ac:dyDescent="0.35">
      <c r="A187" s="22"/>
      <c r="B187" s="23"/>
      <c r="C187" s="22"/>
      <c r="D187" s="22"/>
      <c r="E187" s="20" t="str">
        <f>IF($A187="","",IFERROR(VLOOKUP($D187,ReqTypes,2,FALSE),"?"))</f>
        <v/>
      </c>
      <c r="F187" s="20" t="str">
        <f>IF($A187="","",IFERROR(VLOOKUP($D187,ReqTypes,3,FALSE),"?"))</f>
        <v/>
      </c>
      <c r="G187" s="22"/>
      <c r="H187" s="22"/>
      <c r="I187" s="23"/>
      <c r="J187" s="20" t="str">
        <f>IF(OR($A187="",$I187=""),"",IF(NETWORKDAYS($B187,$I187,Holidays)-1&lt;=AckDays,"Y","N"))</f>
        <v/>
      </c>
      <c r="K187" s="22"/>
      <c r="L187" s="23"/>
      <c r="M187" s="23"/>
      <c r="N187" s="20" t="str">
        <f>IF(OR($A187="",$K187&lt;&gt;"Y"),"",IF($L187="","Pending",IF($L187-$B187&lt;=IDPromptDays,"Y","Check")))</f>
        <v/>
      </c>
      <c r="O187" s="20" t="str">
        <f>IF($A187="","",IF(OR($K187&lt;&gt;"Y",$L187=""),0,IF($M187="",MAX(0,ReportDate-$L187),$M187-$L187)))</f>
        <v/>
      </c>
      <c r="P187" s="21" t="str">
        <f>IF($A187="","",IF($F187&lt;&gt;"Y","n/a",WORKDAY(EDATE($B187,1)+$O187-1,1,Holidays)))</f>
        <v/>
      </c>
      <c r="Q187" s="21" t="str">
        <f>IF($A187="","",$B187+$O187+InternalDays)</f>
        <v/>
      </c>
      <c r="R187" s="22"/>
      <c r="S187" s="23"/>
      <c r="T187" s="20" t="str">
        <f t="shared" si="10"/>
        <v/>
      </c>
      <c r="U187" s="21" t="str">
        <f>IF($A187="","",IF($F187&lt;&gt;"Y",$Q187,IF(AND($R187="Y",$T187="Y"),WORKDAY(EDATE($B187,3)+$O187-1,1,Holidays),$P187)))</f>
        <v/>
      </c>
      <c r="V187" s="22"/>
      <c r="W187" s="22"/>
      <c r="X187" s="22"/>
      <c r="Y187" s="23"/>
      <c r="Z187" s="20" t="str">
        <f>IF($A187="","",IF($Y187&lt;&gt;"",$Y187-$B187,ReportDate-$B187))</f>
        <v/>
      </c>
      <c r="AA187" s="20" t="str">
        <f>IF(OR($A187="",$W187="Closed"),"",$U187-ReportDate)</f>
        <v/>
      </c>
      <c r="AB187" s="20" t="str">
        <f>IF($A187="","",IF($W187="Closed",IF($Y187&lt;=$U187,"Closed on time","Closed late"),IF($W187="Awaiting ID","Paused",IF($AA187&lt;0,"Overdue",IF($AA187&lt;=RedDays,"Red",IF($AA187&lt;=AmberDays,"Amber","Green"))))))</f>
        <v/>
      </c>
      <c r="AC187" s="20" t="str">
        <f t="shared" si="11"/>
        <v/>
      </c>
      <c r="AD187" s="22"/>
      <c r="AE187" s="22"/>
      <c r="AF187" s="20" t="str">
        <f>IF($A187="","",IF(IF(OR($B187="",$C187="",$D187="",$V187="",$W187=""),"missing required field; ","")&amp;IF(COUNTIF($A$2:$A$201,$A187)&gt;1,"duplicate ID; ","")&amp;IF(AND($B187&lt;&gt;"",$B187&gt;ReportDate),"received after snapshot date; ","")&amp;IF(AND($I187&lt;&gt;"",$B187&lt;&gt;"",$I187&lt;$B187),"acknowledged before receipt; ","")&amp;IF(AND($K187="Y",$L187="",$W187&lt;&gt;"Logged"),"ID requested date missing; ","")&amp;IF(AND($L187&lt;&gt;"",$M187&lt;&gt;"",$M187&lt;$L187),"ID dates out of order; ","")&amp;IF(AND($K187&lt;&gt;"Y",OR($L187&lt;&gt;"",$W187="Awaiting ID")),"ID fields used but ID_Check_Needed is not Y; ","")&amp;IF(AND($R187="Y",$S187=""),"extension notice date missing; ","")&amp;IF(AND($R187&lt;&gt;"Y",$S187&lt;&gt;""),"notice date but Extended is not Y; ","")&amp;IF(AND($W187="Closed",$Y187=""),"closed without response date; ","")&amp;IF(AND($Y187&lt;&gt;"",$W187&lt;&gt;"Closed"),"response date but status not Closed; ","")&amp;IF(AND($Y187&lt;&gt;"",$B187&lt;&gt;"",$Y187&lt;$B187),"response before receipt; ","")&amp;IF(AND($AD187="Y",$AE187=""),"exemption needs a reason in Notes; ","")="","OK","Check: "&amp;IF(OR($B187="",$C187="",$D187="",$V187="",$W187=""),"missing required field; ","")&amp;IF(COUNTIF($A$2:$A$201,$A187)&gt;1,"duplicate ID; ","")&amp;IF(AND($B187&lt;&gt;"",$B187&gt;ReportDate),"received after snapshot date; ","")&amp;IF(AND($I187&lt;&gt;"",$B187&lt;&gt;"",$I187&lt;$B187),"acknowledged before receipt; ","")&amp;IF(AND($K187="Y",$L187="",$W187&lt;&gt;"Logged"),"ID requested date missing; ","")&amp;IF(AND($L187&lt;&gt;"",$M187&lt;&gt;"",$M187&lt;$L187),"ID dates out of order; ","")&amp;IF(AND($K187&lt;&gt;"Y",OR($L187&lt;&gt;"",$W187="Awaiting ID")),"ID fields used but ID_Check_Needed is not Y; ","")&amp;IF(AND($R187="Y",$S187=""),"extension notice date missing; ","")&amp;IF(AND($R187&lt;&gt;"Y",$S187&lt;&gt;""),"notice date but Extended is not Y; ","")&amp;IF(AND($W187="Closed",$Y187=""),"closed without response date; ","")&amp;IF(AND($Y187&lt;&gt;"",$W187&lt;&gt;"Closed"),"response date but status not Closed; ","")&amp;IF(AND($Y187&lt;&gt;"",$B187&lt;&gt;"",$Y187&lt;$B187),"response before receipt; ","")&amp;IF(AND($AD187="Y",$AE187=""),"exemption needs a reason in Notes; ","")))</f>
        <v/>
      </c>
    </row>
    <row r="188" spans="1:32" x14ac:dyDescent="0.35">
      <c r="A188" s="22"/>
      <c r="B188" s="23"/>
      <c r="C188" s="22"/>
      <c r="D188" s="22"/>
      <c r="E188" s="20" t="str">
        <f>IF($A188="","",IFERROR(VLOOKUP($D188,ReqTypes,2,FALSE),"?"))</f>
        <v/>
      </c>
      <c r="F188" s="20" t="str">
        <f>IF($A188="","",IFERROR(VLOOKUP($D188,ReqTypes,3,FALSE),"?"))</f>
        <v/>
      </c>
      <c r="G188" s="22"/>
      <c r="H188" s="22"/>
      <c r="I188" s="23"/>
      <c r="J188" s="20" t="str">
        <f>IF(OR($A188="",$I188=""),"",IF(NETWORKDAYS($B188,$I188,Holidays)-1&lt;=AckDays,"Y","N"))</f>
        <v/>
      </c>
      <c r="K188" s="22"/>
      <c r="L188" s="23"/>
      <c r="M188" s="23"/>
      <c r="N188" s="20" t="str">
        <f>IF(OR($A188="",$K188&lt;&gt;"Y"),"",IF($L188="","Pending",IF($L188-$B188&lt;=IDPromptDays,"Y","Check")))</f>
        <v/>
      </c>
      <c r="O188" s="20" t="str">
        <f>IF($A188="","",IF(OR($K188&lt;&gt;"Y",$L188=""),0,IF($M188="",MAX(0,ReportDate-$L188),$M188-$L188)))</f>
        <v/>
      </c>
      <c r="P188" s="21" t="str">
        <f>IF($A188="","",IF($F188&lt;&gt;"Y","n/a",WORKDAY(EDATE($B188,1)+$O188-1,1,Holidays)))</f>
        <v/>
      </c>
      <c r="Q188" s="21" t="str">
        <f>IF($A188="","",$B188+$O188+InternalDays)</f>
        <v/>
      </c>
      <c r="R188" s="22"/>
      <c r="S188" s="23"/>
      <c r="T188" s="20" t="str">
        <f t="shared" si="10"/>
        <v/>
      </c>
      <c r="U188" s="21" t="str">
        <f>IF($A188="","",IF($F188&lt;&gt;"Y",$Q188,IF(AND($R188="Y",$T188="Y"),WORKDAY(EDATE($B188,3)+$O188-1,1,Holidays),$P188)))</f>
        <v/>
      </c>
      <c r="V188" s="22"/>
      <c r="W188" s="22"/>
      <c r="X188" s="22"/>
      <c r="Y188" s="23"/>
      <c r="Z188" s="20" t="str">
        <f>IF($A188="","",IF($Y188&lt;&gt;"",$Y188-$B188,ReportDate-$B188))</f>
        <v/>
      </c>
      <c r="AA188" s="20" t="str">
        <f>IF(OR($A188="",$W188="Closed"),"",$U188-ReportDate)</f>
        <v/>
      </c>
      <c r="AB188" s="20" t="str">
        <f>IF($A188="","",IF($W188="Closed",IF($Y188&lt;=$U188,"Closed on time","Closed late"),IF($W188="Awaiting ID","Paused",IF($AA188&lt;0,"Overdue",IF($AA188&lt;=RedDays,"Red",IF($AA188&lt;=AmberDays,"Amber","Green"))))))</f>
        <v/>
      </c>
      <c r="AC188" s="20" t="str">
        <f t="shared" si="11"/>
        <v/>
      </c>
      <c r="AD188" s="22"/>
      <c r="AE188" s="22"/>
      <c r="AF188" s="20" t="str">
        <f>IF($A188="","",IF(IF(OR($B188="",$C188="",$D188="",$V188="",$W188=""),"missing required field; ","")&amp;IF(COUNTIF($A$2:$A$201,$A188)&gt;1,"duplicate ID; ","")&amp;IF(AND($B188&lt;&gt;"",$B188&gt;ReportDate),"received after snapshot date; ","")&amp;IF(AND($I188&lt;&gt;"",$B188&lt;&gt;"",$I188&lt;$B188),"acknowledged before receipt; ","")&amp;IF(AND($K188="Y",$L188="",$W188&lt;&gt;"Logged"),"ID requested date missing; ","")&amp;IF(AND($L188&lt;&gt;"",$M188&lt;&gt;"",$M188&lt;$L188),"ID dates out of order; ","")&amp;IF(AND($K188&lt;&gt;"Y",OR($L188&lt;&gt;"",$W188="Awaiting ID")),"ID fields used but ID_Check_Needed is not Y; ","")&amp;IF(AND($R188="Y",$S188=""),"extension notice date missing; ","")&amp;IF(AND($R188&lt;&gt;"Y",$S188&lt;&gt;""),"notice date but Extended is not Y; ","")&amp;IF(AND($W188="Closed",$Y188=""),"closed without response date; ","")&amp;IF(AND($Y188&lt;&gt;"",$W188&lt;&gt;"Closed"),"response date but status not Closed; ","")&amp;IF(AND($Y188&lt;&gt;"",$B188&lt;&gt;"",$Y188&lt;$B188),"response before receipt; ","")&amp;IF(AND($AD188="Y",$AE188=""),"exemption needs a reason in Notes; ","")="","OK","Check: "&amp;IF(OR($B188="",$C188="",$D188="",$V188="",$W188=""),"missing required field; ","")&amp;IF(COUNTIF($A$2:$A$201,$A188)&gt;1,"duplicate ID; ","")&amp;IF(AND($B188&lt;&gt;"",$B188&gt;ReportDate),"received after snapshot date; ","")&amp;IF(AND($I188&lt;&gt;"",$B188&lt;&gt;"",$I188&lt;$B188),"acknowledged before receipt; ","")&amp;IF(AND($K188="Y",$L188="",$W188&lt;&gt;"Logged"),"ID requested date missing; ","")&amp;IF(AND($L188&lt;&gt;"",$M188&lt;&gt;"",$M188&lt;$L188),"ID dates out of order; ","")&amp;IF(AND($K188&lt;&gt;"Y",OR($L188&lt;&gt;"",$W188="Awaiting ID")),"ID fields used but ID_Check_Needed is not Y; ","")&amp;IF(AND($R188="Y",$S188=""),"extension notice date missing; ","")&amp;IF(AND($R188&lt;&gt;"Y",$S188&lt;&gt;""),"notice date but Extended is not Y; ","")&amp;IF(AND($W188="Closed",$Y188=""),"closed without response date; ","")&amp;IF(AND($Y188&lt;&gt;"",$W188&lt;&gt;"Closed"),"response date but status not Closed; ","")&amp;IF(AND($Y188&lt;&gt;"",$B188&lt;&gt;"",$Y188&lt;$B188),"response before receipt; ","")&amp;IF(AND($AD188="Y",$AE188=""),"exemption needs a reason in Notes; ","")))</f>
        <v/>
      </c>
    </row>
    <row r="189" spans="1:32" x14ac:dyDescent="0.35">
      <c r="A189" s="22"/>
      <c r="B189" s="23"/>
      <c r="C189" s="22"/>
      <c r="D189" s="22"/>
      <c r="E189" s="20" t="str">
        <f>IF($A189="","",IFERROR(VLOOKUP($D189,ReqTypes,2,FALSE),"?"))</f>
        <v/>
      </c>
      <c r="F189" s="20" t="str">
        <f>IF($A189="","",IFERROR(VLOOKUP($D189,ReqTypes,3,FALSE),"?"))</f>
        <v/>
      </c>
      <c r="G189" s="22"/>
      <c r="H189" s="22"/>
      <c r="I189" s="23"/>
      <c r="J189" s="20" t="str">
        <f>IF(OR($A189="",$I189=""),"",IF(NETWORKDAYS($B189,$I189,Holidays)-1&lt;=AckDays,"Y","N"))</f>
        <v/>
      </c>
      <c r="K189" s="22"/>
      <c r="L189" s="23"/>
      <c r="M189" s="23"/>
      <c r="N189" s="20" t="str">
        <f>IF(OR($A189="",$K189&lt;&gt;"Y"),"",IF($L189="","Pending",IF($L189-$B189&lt;=IDPromptDays,"Y","Check")))</f>
        <v/>
      </c>
      <c r="O189" s="20" t="str">
        <f>IF($A189="","",IF(OR($K189&lt;&gt;"Y",$L189=""),0,IF($M189="",MAX(0,ReportDate-$L189),$M189-$L189)))</f>
        <v/>
      </c>
      <c r="P189" s="21" t="str">
        <f>IF($A189="","",IF($F189&lt;&gt;"Y","n/a",WORKDAY(EDATE($B189,1)+$O189-1,1,Holidays)))</f>
        <v/>
      </c>
      <c r="Q189" s="21" t="str">
        <f>IF($A189="","",$B189+$O189+InternalDays)</f>
        <v/>
      </c>
      <c r="R189" s="22"/>
      <c r="S189" s="23"/>
      <c r="T189" s="20" t="str">
        <f t="shared" si="10"/>
        <v/>
      </c>
      <c r="U189" s="21" t="str">
        <f>IF($A189="","",IF($F189&lt;&gt;"Y",$Q189,IF(AND($R189="Y",$T189="Y"),WORKDAY(EDATE($B189,3)+$O189-1,1,Holidays),$P189)))</f>
        <v/>
      </c>
      <c r="V189" s="22"/>
      <c r="W189" s="22"/>
      <c r="X189" s="22"/>
      <c r="Y189" s="23"/>
      <c r="Z189" s="20" t="str">
        <f>IF($A189="","",IF($Y189&lt;&gt;"",$Y189-$B189,ReportDate-$B189))</f>
        <v/>
      </c>
      <c r="AA189" s="20" t="str">
        <f>IF(OR($A189="",$W189="Closed"),"",$U189-ReportDate)</f>
        <v/>
      </c>
      <c r="AB189" s="20" t="str">
        <f>IF($A189="","",IF($W189="Closed",IF($Y189&lt;=$U189,"Closed on time","Closed late"),IF($W189="Awaiting ID","Paused",IF($AA189&lt;0,"Overdue",IF($AA189&lt;=RedDays,"Red",IF($AA189&lt;=AmberDays,"Amber","Green"))))))</f>
        <v/>
      </c>
      <c r="AC189" s="20" t="str">
        <f t="shared" si="11"/>
        <v/>
      </c>
      <c r="AD189" s="22"/>
      <c r="AE189" s="22"/>
      <c r="AF189" s="20" t="str">
        <f>IF($A189="","",IF(IF(OR($B189="",$C189="",$D189="",$V189="",$W189=""),"missing required field; ","")&amp;IF(COUNTIF($A$2:$A$201,$A189)&gt;1,"duplicate ID; ","")&amp;IF(AND($B189&lt;&gt;"",$B189&gt;ReportDate),"received after snapshot date; ","")&amp;IF(AND($I189&lt;&gt;"",$B189&lt;&gt;"",$I189&lt;$B189),"acknowledged before receipt; ","")&amp;IF(AND($K189="Y",$L189="",$W189&lt;&gt;"Logged"),"ID requested date missing; ","")&amp;IF(AND($L189&lt;&gt;"",$M189&lt;&gt;"",$M189&lt;$L189),"ID dates out of order; ","")&amp;IF(AND($K189&lt;&gt;"Y",OR($L189&lt;&gt;"",$W189="Awaiting ID")),"ID fields used but ID_Check_Needed is not Y; ","")&amp;IF(AND($R189="Y",$S189=""),"extension notice date missing; ","")&amp;IF(AND($R189&lt;&gt;"Y",$S189&lt;&gt;""),"notice date but Extended is not Y; ","")&amp;IF(AND($W189="Closed",$Y189=""),"closed without response date; ","")&amp;IF(AND($Y189&lt;&gt;"",$W189&lt;&gt;"Closed"),"response date but status not Closed; ","")&amp;IF(AND($Y189&lt;&gt;"",$B189&lt;&gt;"",$Y189&lt;$B189),"response before receipt; ","")&amp;IF(AND($AD189="Y",$AE189=""),"exemption needs a reason in Notes; ","")="","OK","Check: "&amp;IF(OR($B189="",$C189="",$D189="",$V189="",$W189=""),"missing required field; ","")&amp;IF(COUNTIF($A$2:$A$201,$A189)&gt;1,"duplicate ID; ","")&amp;IF(AND($B189&lt;&gt;"",$B189&gt;ReportDate),"received after snapshot date; ","")&amp;IF(AND($I189&lt;&gt;"",$B189&lt;&gt;"",$I189&lt;$B189),"acknowledged before receipt; ","")&amp;IF(AND($K189="Y",$L189="",$W189&lt;&gt;"Logged"),"ID requested date missing; ","")&amp;IF(AND($L189&lt;&gt;"",$M189&lt;&gt;"",$M189&lt;$L189),"ID dates out of order; ","")&amp;IF(AND($K189&lt;&gt;"Y",OR($L189&lt;&gt;"",$W189="Awaiting ID")),"ID fields used but ID_Check_Needed is not Y; ","")&amp;IF(AND($R189="Y",$S189=""),"extension notice date missing; ","")&amp;IF(AND($R189&lt;&gt;"Y",$S189&lt;&gt;""),"notice date but Extended is not Y; ","")&amp;IF(AND($W189="Closed",$Y189=""),"closed without response date; ","")&amp;IF(AND($Y189&lt;&gt;"",$W189&lt;&gt;"Closed"),"response date but status not Closed; ","")&amp;IF(AND($Y189&lt;&gt;"",$B189&lt;&gt;"",$Y189&lt;$B189),"response before receipt; ","")&amp;IF(AND($AD189="Y",$AE189=""),"exemption needs a reason in Notes; ","")))</f>
        <v/>
      </c>
    </row>
    <row r="190" spans="1:32" x14ac:dyDescent="0.35">
      <c r="A190" s="22"/>
      <c r="B190" s="23"/>
      <c r="C190" s="22"/>
      <c r="D190" s="22"/>
      <c r="E190" s="20" t="str">
        <f>IF($A190="","",IFERROR(VLOOKUP($D190,ReqTypes,2,FALSE),"?"))</f>
        <v/>
      </c>
      <c r="F190" s="20" t="str">
        <f>IF($A190="","",IFERROR(VLOOKUP($D190,ReqTypes,3,FALSE),"?"))</f>
        <v/>
      </c>
      <c r="G190" s="22"/>
      <c r="H190" s="22"/>
      <c r="I190" s="23"/>
      <c r="J190" s="20" t="str">
        <f>IF(OR($A190="",$I190=""),"",IF(NETWORKDAYS($B190,$I190,Holidays)-1&lt;=AckDays,"Y","N"))</f>
        <v/>
      </c>
      <c r="K190" s="22"/>
      <c r="L190" s="23"/>
      <c r="M190" s="23"/>
      <c r="N190" s="20" t="str">
        <f>IF(OR($A190="",$K190&lt;&gt;"Y"),"",IF($L190="","Pending",IF($L190-$B190&lt;=IDPromptDays,"Y","Check")))</f>
        <v/>
      </c>
      <c r="O190" s="20" t="str">
        <f>IF($A190="","",IF(OR($K190&lt;&gt;"Y",$L190=""),0,IF($M190="",MAX(0,ReportDate-$L190),$M190-$L190)))</f>
        <v/>
      </c>
      <c r="P190" s="21" t="str">
        <f>IF($A190="","",IF($F190&lt;&gt;"Y","n/a",WORKDAY(EDATE($B190,1)+$O190-1,1,Holidays)))</f>
        <v/>
      </c>
      <c r="Q190" s="21" t="str">
        <f>IF($A190="","",$B190+$O190+InternalDays)</f>
        <v/>
      </c>
      <c r="R190" s="22"/>
      <c r="S190" s="23"/>
      <c r="T190" s="20" t="str">
        <f t="shared" si="10"/>
        <v/>
      </c>
      <c r="U190" s="21" t="str">
        <f>IF($A190="","",IF($F190&lt;&gt;"Y",$Q190,IF(AND($R190="Y",$T190="Y"),WORKDAY(EDATE($B190,3)+$O190-1,1,Holidays),$P190)))</f>
        <v/>
      </c>
      <c r="V190" s="22"/>
      <c r="W190" s="22"/>
      <c r="X190" s="22"/>
      <c r="Y190" s="23"/>
      <c r="Z190" s="20" t="str">
        <f>IF($A190="","",IF($Y190&lt;&gt;"",$Y190-$B190,ReportDate-$B190))</f>
        <v/>
      </c>
      <c r="AA190" s="20" t="str">
        <f>IF(OR($A190="",$W190="Closed"),"",$U190-ReportDate)</f>
        <v/>
      </c>
      <c r="AB190" s="20" t="str">
        <f>IF($A190="","",IF($W190="Closed",IF($Y190&lt;=$U190,"Closed on time","Closed late"),IF($W190="Awaiting ID","Paused",IF($AA190&lt;0,"Overdue",IF($AA190&lt;=RedDays,"Red",IF($AA190&lt;=AmberDays,"Amber","Green"))))))</f>
        <v/>
      </c>
      <c r="AC190" s="20" t="str">
        <f t="shared" si="11"/>
        <v/>
      </c>
      <c r="AD190" s="22"/>
      <c r="AE190" s="22"/>
      <c r="AF190" s="20" t="str">
        <f>IF($A190="","",IF(IF(OR($B190="",$C190="",$D190="",$V190="",$W190=""),"missing required field; ","")&amp;IF(COUNTIF($A$2:$A$201,$A190)&gt;1,"duplicate ID; ","")&amp;IF(AND($B190&lt;&gt;"",$B190&gt;ReportDate),"received after snapshot date; ","")&amp;IF(AND($I190&lt;&gt;"",$B190&lt;&gt;"",$I190&lt;$B190),"acknowledged before receipt; ","")&amp;IF(AND($K190="Y",$L190="",$W190&lt;&gt;"Logged"),"ID requested date missing; ","")&amp;IF(AND($L190&lt;&gt;"",$M190&lt;&gt;"",$M190&lt;$L190),"ID dates out of order; ","")&amp;IF(AND($K190&lt;&gt;"Y",OR($L190&lt;&gt;"",$W190="Awaiting ID")),"ID fields used but ID_Check_Needed is not Y; ","")&amp;IF(AND($R190="Y",$S190=""),"extension notice date missing; ","")&amp;IF(AND($R190&lt;&gt;"Y",$S190&lt;&gt;""),"notice date but Extended is not Y; ","")&amp;IF(AND($W190="Closed",$Y190=""),"closed without response date; ","")&amp;IF(AND($Y190&lt;&gt;"",$W190&lt;&gt;"Closed"),"response date but status not Closed; ","")&amp;IF(AND($Y190&lt;&gt;"",$B190&lt;&gt;"",$Y190&lt;$B190),"response before receipt; ","")&amp;IF(AND($AD190="Y",$AE190=""),"exemption needs a reason in Notes; ","")="","OK","Check: "&amp;IF(OR($B190="",$C190="",$D190="",$V190="",$W190=""),"missing required field; ","")&amp;IF(COUNTIF($A$2:$A$201,$A190)&gt;1,"duplicate ID; ","")&amp;IF(AND($B190&lt;&gt;"",$B190&gt;ReportDate),"received after snapshot date; ","")&amp;IF(AND($I190&lt;&gt;"",$B190&lt;&gt;"",$I190&lt;$B190),"acknowledged before receipt; ","")&amp;IF(AND($K190="Y",$L190="",$W190&lt;&gt;"Logged"),"ID requested date missing; ","")&amp;IF(AND($L190&lt;&gt;"",$M190&lt;&gt;"",$M190&lt;$L190),"ID dates out of order; ","")&amp;IF(AND($K190&lt;&gt;"Y",OR($L190&lt;&gt;"",$W190="Awaiting ID")),"ID fields used but ID_Check_Needed is not Y; ","")&amp;IF(AND($R190="Y",$S190=""),"extension notice date missing; ","")&amp;IF(AND($R190&lt;&gt;"Y",$S190&lt;&gt;""),"notice date but Extended is not Y; ","")&amp;IF(AND($W190="Closed",$Y190=""),"closed without response date; ","")&amp;IF(AND($Y190&lt;&gt;"",$W190&lt;&gt;"Closed"),"response date but status not Closed; ","")&amp;IF(AND($Y190&lt;&gt;"",$B190&lt;&gt;"",$Y190&lt;$B190),"response before receipt; ","")&amp;IF(AND($AD190="Y",$AE190=""),"exemption needs a reason in Notes; ","")))</f>
        <v/>
      </c>
    </row>
    <row r="191" spans="1:32" x14ac:dyDescent="0.35">
      <c r="A191" s="22"/>
      <c r="B191" s="23"/>
      <c r="C191" s="22"/>
      <c r="D191" s="22"/>
      <c r="E191" s="20" t="str">
        <f>IF($A191="","",IFERROR(VLOOKUP($D191,ReqTypes,2,FALSE),"?"))</f>
        <v/>
      </c>
      <c r="F191" s="20" t="str">
        <f>IF($A191="","",IFERROR(VLOOKUP($D191,ReqTypes,3,FALSE),"?"))</f>
        <v/>
      </c>
      <c r="G191" s="22"/>
      <c r="H191" s="22"/>
      <c r="I191" s="23"/>
      <c r="J191" s="20" t="str">
        <f>IF(OR($A191="",$I191=""),"",IF(NETWORKDAYS($B191,$I191,Holidays)-1&lt;=AckDays,"Y","N"))</f>
        <v/>
      </c>
      <c r="K191" s="22"/>
      <c r="L191" s="23"/>
      <c r="M191" s="23"/>
      <c r="N191" s="20" t="str">
        <f>IF(OR($A191="",$K191&lt;&gt;"Y"),"",IF($L191="","Pending",IF($L191-$B191&lt;=IDPromptDays,"Y","Check")))</f>
        <v/>
      </c>
      <c r="O191" s="20" t="str">
        <f>IF($A191="","",IF(OR($K191&lt;&gt;"Y",$L191=""),0,IF($M191="",MAX(0,ReportDate-$L191),$M191-$L191)))</f>
        <v/>
      </c>
      <c r="P191" s="21" t="str">
        <f>IF($A191="","",IF($F191&lt;&gt;"Y","n/a",WORKDAY(EDATE($B191,1)+$O191-1,1,Holidays)))</f>
        <v/>
      </c>
      <c r="Q191" s="21" t="str">
        <f>IF($A191="","",$B191+$O191+InternalDays)</f>
        <v/>
      </c>
      <c r="R191" s="22"/>
      <c r="S191" s="23"/>
      <c r="T191" s="20" t="str">
        <f t="shared" si="10"/>
        <v/>
      </c>
      <c r="U191" s="21" t="str">
        <f>IF($A191="","",IF($F191&lt;&gt;"Y",$Q191,IF(AND($R191="Y",$T191="Y"),WORKDAY(EDATE($B191,3)+$O191-1,1,Holidays),$P191)))</f>
        <v/>
      </c>
      <c r="V191" s="22"/>
      <c r="W191" s="22"/>
      <c r="X191" s="22"/>
      <c r="Y191" s="23"/>
      <c r="Z191" s="20" t="str">
        <f>IF($A191="","",IF($Y191&lt;&gt;"",$Y191-$B191,ReportDate-$B191))</f>
        <v/>
      </c>
      <c r="AA191" s="20" t="str">
        <f>IF(OR($A191="",$W191="Closed"),"",$U191-ReportDate)</f>
        <v/>
      </c>
      <c r="AB191" s="20" t="str">
        <f>IF($A191="","",IF($W191="Closed",IF($Y191&lt;=$U191,"Closed on time","Closed late"),IF($W191="Awaiting ID","Paused",IF($AA191&lt;0,"Overdue",IF($AA191&lt;=RedDays,"Red",IF($AA191&lt;=AmberDays,"Amber","Green"))))))</f>
        <v/>
      </c>
      <c r="AC191" s="20" t="str">
        <f t="shared" si="11"/>
        <v/>
      </c>
      <c r="AD191" s="22"/>
      <c r="AE191" s="22"/>
      <c r="AF191" s="20" t="str">
        <f>IF($A191="","",IF(IF(OR($B191="",$C191="",$D191="",$V191="",$W191=""),"missing required field; ","")&amp;IF(COUNTIF($A$2:$A$201,$A191)&gt;1,"duplicate ID; ","")&amp;IF(AND($B191&lt;&gt;"",$B191&gt;ReportDate),"received after snapshot date; ","")&amp;IF(AND($I191&lt;&gt;"",$B191&lt;&gt;"",$I191&lt;$B191),"acknowledged before receipt; ","")&amp;IF(AND($K191="Y",$L191="",$W191&lt;&gt;"Logged"),"ID requested date missing; ","")&amp;IF(AND($L191&lt;&gt;"",$M191&lt;&gt;"",$M191&lt;$L191),"ID dates out of order; ","")&amp;IF(AND($K191&lt;&gt;"Y",OR($L191&lt;&gt;"",$W191="Awaiting ID")),"ID fields used but ID_Check_Needed is not Y; ","")&amp;IF(AND($R191="Y",$S191=""),"extension notice date missing; ","")&amp;IF(AND($R191&lt;&gt;"Y",$S191&lt;&gt;""),"notice date but Extended is not Y; ","")&amp;IF(AND($W191="Closed",$Y191=""),"closed without response date; ","")&amp;IF(AND($Y191&lt;&gt;"",$W191&lt;&gt;"Closed"),"response date but status not Closed; ","")&amp;IF(AND($Y191&lt;&gt;"",$B191&lt;&gt;"",$Y191&lt;$B191),"response before receipt; ","")&amp;IF(AND($AD191="Y",$AE191=""),"exemption needs a reason in Notes; ","")="","OK","Check: "&amp;IF(OR($B191="",$C191="",$D191="",$V191="",$W191=""),"missing required field; ","")&amp;IF(COUNTIF($A$2:$A$201,$A191)&gt;1,"duplicate ID; ","")&amp;IF(AND($B191&lt;&gt;"",$B191&gt;ReportDate),"received after snapshot date; ","")&amp;IF(AND($I191&lt;&gt;"",$B191&lt;&gt;"",$I191&lt;$B191),"acknowledged before receipt; ","")&amp;IF(AND($K191="Y",$L191="",$W191&lt;&gt;"Logged"),"ID requested date missing; ","")&amp;IF(AND($L191&lt;&gt;"",$M191&lt;&gt;"",$M191&lt;$L191),"ID dates out of order; ","")&amp;IF(AND($K191&lt;&gt;"Y",OR($L191&lt;&gt;"",$W191="Awaiting ID")),"ID fields used but ID_Check_Needed is not Y; ","")&amp;IF(AND($R191="Y",$S191=""),"extension notice date missing; ","")&amp;IF(AND($R191&lt;&gt;"Y",$S191&lt;&gt;""),"notice date but Extended is not Y; ","")&amp;IF(AND($W191="Closed",$Y191=""),"closed without response date; ","")&amp;IF(AND($Y191&lt;&gt;"",$W191&lt;&gt;"Closed"),"response date but status not Closed; ","")&amp;IF(AND($Y191&lt;&gt;"",$B191&lt;&gt;"",$Y191&lt;$B191),"response before receipt; ","")&amp;IF(AND($AD191="Y",$AE191=""),"exemption needs a reason in Notes; ","")))</f>
        <v/>
      </c>
    </row>
    <row r="192" spans="1:32" x14ac:dyDescent="0.35">
      <c r="A192" s="22"/>
      <c r="B192" s="23"/>
      <c r="C192" s="22"/>
      <c r="D192" s="22"/>
      <c r="E192" s="20" t="str">
        <f>IF($A192="","",IFERROR(VLOOKUP($D192,ReqTypes,2,FALSE),"?"))</f>
        <v/>
      </c>
      <c r="F192" s="20" t="str">
        <f>IF($A192="","",IFERROR(VLOOKUP($D192,ReqTypes,3,FALSE),"?"))</f>
        <v/>
      </c>
      <c r="G192" s="22"/>
      <c r="H192" s="22"/>
      <c r="I192" s="23"/>
      <c r="J192" s="20" t="str">
        <f>IF(OR($A192="",$I192=""),"",IF(NETWORKDAYS($B192,$I192,Holidays)-1&lt;=AckDays,"Y","N"))</f>
        <v/>
      </c>
      <c r="K192" s="22"/>
      <c r="L192" s="23"/>
      <c r="M192" s="23"/>
      <c r="N192" s="20" t="str">
        <f>IF(OR($A192="",$K192&lt;&gt;"Y"),"",IF($L192="","Pending",IF($L192-$B192&lt;=IDPromptDays,"Y","Check")))</f>
        <v/>
      </c>
      <c r="O192" s="20" t="str">
        <f>IF($A192="","",IF(OR($K192&lt;&gt;"Y",$L192=""),0,IF($M192="",MAX(0,ReportDate-$L192),$M192-$L192)))</f>
        <v/>
      </c>
      <c r="P192" s="21" t="str">
        <f>IF($A192="","",IF($F192&lt;&gt;"Y","n/a",WORKDAY(EDATE($B192,1)+$O192-1,1,Holidays)))</f>
        <v/>
      </c>
      <c r="Q192" s="21" t="str">
        <f>IF($A192="","",$B192+$O192+InternalDays)</f>
        <v/>
      </c>
      <c r="R192" s="22"/>
      <c r="S192" s="23"/>
      <c r="T192" s="20" t="str">
        <f t="shared" si="10"/>
        <v/>
      </c>
      <c r="U192" s="21" t="str">
        <f>IF($A192="","",IF($F192&lt;&gt;"Y",$Q192,IF(AND($R192="Y",$T192="Y"),WORKDAY(EDATE($B192,3)+$O192-1,1,Holidays),$P192)))</f>
        <v/>
      </c>
      <c r="V192" s="22"/>
      <c r="W192" s="22"/>
      <c r="X192" s="22"/>
      <c r="Y192" s="23"/>
      <c r="Z192" s="20" t="str">
        <f>IF($A192="","",IF($Y192&lt;&gt;"",$Y192-$B192,ReportDate-$B192))</f>
        <v/>
      </c>
      <c r="AA192" s="20" t="str">
        <f>IF(OR($A192="",$W192="Closed"),"",$U192-ReportDate)</f>
        <v/>
      </c>
      <c r="AB192" s="20" t="str">
        <f>IF($A192="","",IF($W192="Closed",IF($Y192&lt;=$U192,"Closed on time","Closed late"),IF($W192="Awaiting ID","Paused",IF($AA192&lt;0,"Overdue",IF($AA192&lt;=RedDays,"Red",IF($AA192&lt;=AmberDays,"Amber","Green"))))))</f>
        <v/>
      </c>
      <c r="AC192" s="20" t="str">
        <f t="shared" si="11"/>
        <v/>
      </c>
      <c r="AD192" s="22"/>
      <c r="AE192" s="22"/>
      <c r="AF192" s="20" t="str">
        <f>IF($A192="","",IF(IF(OR($B192="",$C192="",$D192="",$V192="",$W192=""),"missing required field; ","")&amp;IF(COUNTIF($A$2:$A$201,$A192)&gt;1,"duplicate ID; ","")&amp;IF(AND($B192&lt;&gt;"",$B192&gt;ReportDate),"received after snapshot date; ","")&amp;IF(AND($I192&lt;&gt;"",$B192&lt;&gt;"",$I192&lt;$B192),"acknowledged before receipt; ","")&amp;IF(AND($K192="Y",$L192="",$W192&lt;&gt;"Logged"),"ID requested date missing; ","")&amp;IF(AND($L192&lt;&gt;"",$M192&lt;&gt;"",$M192&lt;$L192),"ID dates out of order; ","")&amp;IF(AND($K192&lt;&gt;"Y",OR($L192&lt;&gt;"",$W192="Awaiting ID")),"ID fields used but ID_Check_Needed is not Y; ","")&amp;IF(AND($R192="Y",$S192=""),"extension notice date missing; ","")&amp;IF(AND($R192&lt;&gt;"Y",$S192&lt;&gt;""),"notice date but Extended is not Y; ","")&amp;IF(AND($W192="Closed",$Y192=""),"closed without response date; ","")&amp;IF(AND($Y192&lt;&gt;"",$W192&lt;&gt;"Closed"),"response date but status not Closed; ","")&amp;IF(AND($Y192&lt;&gt;"",$B192&lt;&gt;"",$Y192&lt;$B192),"response before receipt; ","")&amp;IF(AND($AD192="Y",$AE192=""),"exemption needs a reason in Notes; ","")="","OK","Check: "&amp;IF(OR($B192="",$C192="",$D192="",$V192="",$W192=""),"missing required field; ","")&amp;IF(COUNTIF($A$2:$A$201,$A192)&gt;1,"duplicate ID; ","")&amp;IF(AND($B192&lt;&gt;"",$B192&gt;ReportDate),"received after snapshot date; ","")&amp;IF(AND($I192&lt;&gt;"",$B192&lt;&gt;"",$I192&lt;$B192),"acknowledged before receipt; ","")&amp;IF(AND($K192="Y",$L192="",$W192&lt;&gt;"Logged"),"ID requested date missing; ","")&amp;IF(AND($L192&lt;&gt;"",$M192&lt;&gt;"",$M192&lt;$L192),"ID dates out of order; ","")&amp;IF(AND($K192&lt;&gt;"Y",OR($L192&lt;&gt;"",$W192="Awaiting ID")),"ID fields used but ID_Check_Needed is not Y; ","")&amp;IF(AND($R192="Y",$S192=""),"extension notice date missing; ","")&amp;IF(AND($R192&lt;&gt;"Y",$S192&lt;&gt;""),"notice date but Extended is not Y; ","")&amp;IF(AND($W192="Closed",$Y192=""),"closed without response date; ","")&amp;IF(AND($Y192&lt;&gt;"",$W192&lt;&gt;"Closed"),"response date but status not Closed; ","")&amp;IF(AND($Y192&lt;&gt;"",$B192&lt;&gt;"",$Y192&lt;$B192),"response before receipt; ","")&amp;IF(AND($AD192="Y",$AE192=""),"exemption needs a reason in Notes; ","")))</f>
        <v/>
      </c>
    </row>
    <row r="193" spans="1:32" x14ac:dyDescent="0.35">
      <c r="A193" s="22"/>
      <c r="B193" s="23"/>
      <c r="C193" s="22"/>
      <c r="D193" s="22"/>
      <c r="E193" s="20" t="str">
        <f>IF($A193="","",IFERROR(VLOOKUP($D193,ReqTypes,2,FALSE),"?"))</f>
        <v/>
      </c>
      <c r="F193" s="20" t="str">
        <f>IF($A193="","",IFERROR(VLOOKUP($D193,ReqTypes,3,FALSE),"?"))</f>
        <v/>
      </c>
      <c r="G193" s="22"/>
      <c r="H193" s="22"/>
      <c r="I193" s="23"/>
      <c r="J193" s="20" t="str">
        <f>IF(OR($A193="",$I193=""),"",IF(NETWORKDAYS($B193,$I193,Holidays)-1&lt;=AckDays,"Y","N"))</f>
        <v/>
      </c>
      <c r="K193" s="22"/>
      <c r="L193" s="23"/>
      <c r="M193" s="23"/>
      <c r="N193" s="20" t="str">
        <f>IF(OR($A193="",$K193&lt;&gt;"Y"),"",IF($L193="","Pending",IF($L193-$B193&lt;=IDPromptDays,"Y","Check")))</f>
        <v/>
      </c>
      <c r="O193" s="20" t="str">
        <f>IF($A193="","",IF(OR($K193&lt;&gt;"Y",$L193=""),0,IF($M193="",MAX(0,ReportDate-$L193),$M193-$L193)))</f>
        <v/>
      </c>
      <c r="P193" s="21" t="str">
        <f>IF($A193="","",IF($F193&lt;&gt;"Y","n/a",WORKDAY(EDATE($B193,1)+$O193-1,1,Holidays)))</f>
        <v/>
      </c>
      <c r="Q193" s="21" t="str">
        <f>IF($A193="","",$B193+$O193+InternalDays)</f>
        <v/>
      </c>
      <c r="R193" s="22"/>
      <c r="S193" s="23"/>
      <c r="T193" s="20" t="str">
        <f t="shared" si="10"/>
        <v/>
      </c>
      <c r="U193" s="21" t="str">
        <f>IF($A193="","",IF($F193&lt;&gt;"Y",$Q193,IF(AND($R193="Y",$T193="Y"),WORKDAY(EDATE($B193,3)+$O193-1,1,Holidays),$P193)))</f>
        <v/>
      </c>
      <c r="V193" s="22"/>
      <c r="W193" s="22"/>
      <c r="X193" s="22"/>
      <c r="Y193" s="23"/>
      <c r="Z193" s="20" t="str">
        <f>IF($A193="","",IF($Y193&lt;&gt;"",$Y193-$B193,ReportDate-$B193))</f>
        <v/>
      </c>
      <c r="AA193" s="20" t="str">
        <f>IF(OR($A193="",$W193="Closed"),"",$U193-ReportDate)</f>
        <v/>
      </c>
      <c r="AB193" s="20" t="str">
        <f>IF($A193="","",IF($W193="Closed",IF($Y193&lt;=$U193,"Closed on time","Closed late"),IF($W193="Awaiting ID","Paused",IF($AA193&lt;0,"Overdue",IF($AA193&lt;=RedDays,"Red",IF($AA193&lt;=AmberDays,"Amber","Green"))))))</f>
        <v/>
      </c>
      <c r="AC193" s="20" t="str">
        <f t="shared" si="11"/>
        <v/>
      </c>
      <c r="AD193" s="22"/>
      <c r="AE193" s="22"/>
      <c r="AF193" s="20" t="str">
        <f>IF($A193="","",IF(IF(OR($B193="",$C193="",$D193="",$V193="",$W193=""),"missing required field; ","")&amp;IF(COUNTIF($A$2:$A$201,$A193)&gt;1,"duplicate ID; ","")&amp;IF(AND($B193&lt;&gt;"",$B193&gt;ReportDate),"received after snapshot date; ","")&amp;IF(AND($I193&lt;&gt;"",$B193&lt;&gt;"",$I193&lt;$B193),"acknowledged before receipt; ","")&amp;IF(AND($K193="Y",$L193="",$W193&lt;&gt;"Logged"),"ID requested date missing; ","")&amp;IF(AND($L193&lt;&gt;"",$M193&lt;&gt;"",$M193&lt;$L193),"ID dates out of order; ","")&amp;IF(AND($K193&lt;&gt;"Y",OR($L193&lt;&gt;"",$W193="Awaiting ID")),"ID fields used but ID_Check_Needed is not Y; ","")&amp;IF(AND($R193="Y",$S193=""),"extension notice date missing; ","")&amp;IF(AND($R193&lt;&gt;"Y",$S193&lt;&gt;""),"notice date but Extended is not Y; ","")&amp;IF(AND($W193="Closed",$Y193=""),"closed without response date; ","")&amp;IF(AND($Y193&lt;&gt;"",$W193&lt;&gt;"Closed"),"response date but status not Closed; ","")&amp;IF(AND($Y193&lt;&gt;"",$B193&lt;&gt;"",$Y193&lt;$B193),"response before receipt; ","")&amp;IF(AND($AD193="Y",$AE193=""),"exemption needs a reason in Notes; ","")="","OK","Check: "&amp;IF(OR($B193="",$C193="",$D193="",$V193="",$W193=""),"missing required field; ","")&amp;IF(COUNTIF($A$2:$A$201,$A193)&gt;1,"duplicate ID; ","")&amp;IF(AND($B193&lt;&gt;"",$B193&gt;ReportDate),"received after snapshot date; ","")&amp;IF(AND($I193&lt;&gt;"",$B193&lt;&gt;"",$I193&lt;$B193),"acknowledged before receipt; ","")&amp;IF(AND($K193="Y",$L193="",$W193&lt;&gt;"Logged"),"ID requested date missing; ","")&amp;IF(AND($L193&lt;&gt;"",$M193&lt;&gt;"",$M193&lt;$L193),"ID dates out of order; ","")&amp;IF(AND($K193&lt;&gt;"Y",OR($L193&lt;&gt;"",$W193="Awaiting ID")),"ID fields used but ID_Check_Needed is not Y; ","")&amp;IF(AND($R193="Y",$S193=""),"extension notice date missing; ","")&amp;IF(AND($R193&lt;&gt;"Y",$S193&lt;&gt;""),"notice date but Extended is not Y; ","")&amp;IF(AND($W193="Closed",$Y193=""),"closed without response date; ","")&amp;IF(AND($Y193&lt;&gt;"",$W193&lt;&gt;"Closed"),"response date but status not Closed; ","")&amp;IF(AND($Y193&lt;&gt;"",$B193&lt;&gt;"",$Y193&lt;$B193),"response before receipt; ","")&amp;IF(AND($AD193="Y",$AE193=""),"exemption needs a reason in Notes; ","")))</f>
        <v/>
      </c>
    </row>
    <row r="194" spans="1:32" x14ac:dyDescent="0.35">
      <c r="A194" s="22"/>
      <c r="B194" s="23"/>
      <c r="C194" s="22"/>
      <c r="D194" s="22"/>
      <c r="E194" s="20" t="str">
        <f>IF($A194="","",IFERROR(VLOOKUP($D194,ReqTypes,2,FALSE),"?"))</f>
        <v/>
      </c>
      <c r="F194" s="20" t="str">
        <f>IF($A194="","",IFERROR(VLOOKUP($D194,ReqTypes,3,FALSE),"?"))</f>
        <v/>
      </c>
      <c r="G194" s="22"/>
      <c r="H194" s="22"/>
      <c r="I194" s="23"/>
      <c r="J194" s="20" t="str">
        <f>IF(OR($A194="",$I194=""),"",IF(NETWORKDAYS($B194,$I194,Holidays)-1&lt;=AckDays,"Y","N"))</f>
        <v/>
      </c>
      <c r="K194" s="22"/>
      <c r="L194" s="23"/>
      <c r="M194" s="23"/>
      <c r="N194" s="20" t="str">
        <f>IF(OR($A194="",$K194&lt;&gt;"Y"),"",IF($L194="","Pending",IF($L194-$B194&lt;=IDPromptDays,"Y","Check")))</f>
        <v/>
      </c>
      <c r="O194" s="20" t="str">
        <f>IF($A194="","",IF(OR($K194&lt;&gt;"Y",$L194=""),0,IF($M194="",MAX(0,ReportDate-$L194),$M194-$L194)))</f>
        <v/>
      </c>
      <c r="P194" s="21" t="str">
        <f>IF($A194="","",IF($F194&lt;&gt;"Y","n/a",WORKDAY(EDATE($B194,1)+$O194-1,1,Holidays)))</f>
        <v/>
      </c>
      <c r="Q194" s="21" t="str">
        <f>IF($A194="","",$B194+$O194+InternalDays)</f>
        <v/>
      </c>
      <c r="R194" s="22"/>
      <c r="S194" s="23"/>
      <c r="T194" s="20" t="str">
        <f t="shared" ref="T194:T201" si="12">IF(OR($A194="",$R194&lt;&gt;"Y"),"",IF($S194="","Missing",IF(AND($F194="Y",$S194&lt;=$P194),"Y","Late")))</f>
        <v/>
      </c>
      <c r="U194" s="21" t="str">
        <f>IF($A194="","",IF($F194&lt;&gt;"Y",$Q194,IF(AND($R194="Y",$T194="Y"),WORKDAY(EDATE($B194,3)+$O194-1,1,Holidays),$P194)))</f>
        <v/>
      </c>
      <c r="V194" s="22"/>
      <c r="W194" s="22"/>
      <c r="X194" s="22"/>
      <c r="Y194" s="23"/>
      <c r="Z194" s="20" t="str">
        <f>IF($A194="","",IF($Y194&lt;&gt;"",$Y194-$B194,ReportDate-$B194))</f>
        <v/>
      </c>
      <c r="AA194" s="20" t="str">
        <f>IF(OR($A194="",$W194="Closed"),"",$U194-ReportDate)</f>
        <v/>
      </c>
      <c r="AB194" s="20" t="str">
        <f>IF($A194="","",IF($W194="Closed",IF($Y194&lt;=$U194,"Closed on time","Closed late"),IF($W194="Awaiting ID","Paused",IF($AA194&lt;0,"Overdue",IF($AA194&lt;=RedDays,"Red",IF($AA194&lt;=AmberDays,"Amber","Green"))))))</f>
        <v/>
      </c>
      <c r="AC194" s="20" t="str">
        <f t="shared" ref="AC194:AC201" si="13">IF(OR($A194="",$Y194=""),"",IF($Y194&lt;=$U194,"Y","N"))</f>
        <v/>
      </c>
      <c r="AD194" s="22"/>
      <c r="AE194" s="22"/>
      <c r="AF194" s="20" t="str">
        <f>IF($A194="","",IF(IF(OR($B194="",$C194="",$D194="",$V194="",$W194=""),"missing required field; ","")&amp;IF(COUNTIF($A$2:$A$201,$A194)&gt;1,"duplicate ID; ","")&amp;IF(AND($B194&lt;&gt;"",$B194&gt;ReportDate),"received after snapshot date; ","")&amp;IF(AND($I194&lt;&gt;"",$B194&lt;&gt;"",$I194&lt;$B194),"acknowledged before receipt; ","")&amp;IF(AND($K194="Y",$L194="",$W194&lt;&gt;"Logged"),"ID requested date missing; ","")&amp;IF(AND($L194&lt;&gt;"",$M194&lt;&gt;"",$M194&lt;$L194),"ID dates out of order; ","")&amp;IF(AND($K194&lt;&gt;"Y",OR($L194&lt;&gt;"",$W194="Awaiting ID")),"ID fields used but ID_Check_Needed is not Y; ","")&amp;IF(AND($R194="Y",$S194=""),"extension notice date missing; ","")&amp;IF(AND($R194&lt;&gt;"Y",$S194&lt;&gt;""),"notice date but Extended is not Y; ","")&amp;IF(AND($W194="Closed",$Y194=""),"closed without response date; ","")&amp;IF(AND($Y194&lt;&gt;"",$W194&lt;&gt;"Closed"),"response date but status not Closed; ","")&amp;IF(AND($Y194&lt;&gt;"",$B194&lt;&gt;"",$Y194&lt;$B194),"response before receipt; ","")&amp;IF(AND($AD194="Y",$AE194=""),"exemption needs a reason in Notes; ","")="","OK","Check: "&amp;IF(OR($B194="",$C194="",$D194="",$V194="",$W194=""),"missing required field; ","")&amp;IF(COUNTIF($A$2:$A$201,$A194)&gt;1,"duplicate ID; ","")&amp;IF(AND($B194&lt;&gt;"",$B194&gt;ReportDate),"received after snapshot date; ","")&amp;IF(AND($I194&lt;&gt;"",$B194&lt;&gt;"",$I194&lt;$B194),"acknowledged before receipt; ","")&amp;IF(AND($K194="Y",$L194="",$W194&lt;&gt;"Logged"),"ID requested date missing; ","")&amp;IF(AND($L194&lt;&gt;"",$M194&lt;&gt;"",$M194&lt;$L194),"ID dates out of order; ","")&amp;IF(AND($K194&lt;&gt;"Y",OR($L194&lt;&gt;"",$W194="Awaiting ID")),"ID fields used but ID_Check_Needed is not Y; ","")&amp;IF(AND($R194="Y",$S194=""),"extension notice date missing; ","")&amp;IF(AND($R194&lt;&gt;"Y",$S194&lt;&gt;""),"notice date but Extended is not Y; ","")&amp;IF(AND($W194="Closed",$Y194=""),"closed without response date; ","")&amp;IF(AND($Y194&lt;&gt;"",$W194&lt;&gt;"Closed"),"response date but status not Closed; ","")&amp;IF(AND($Y194&lt;&gt;"",$B194&lt;&gt;"",$Y194&lt;$B194),"response before receipt; ","")&amp;IF(AND($AD194="Y",$AE194=""),"exemption needs a reason in Notes; ","")))</f>
        <v/>
      </c>
    </row>
    <row r="195" spans="1:32" x14ac:dyDescent="0.35">
      <c r="A195" s="22"/>
      <c r="B195" s="23"/>
      <c r="C195" s="22"/>
      <c r="D195" s="22"/>
      <c r="E195" s="20" t="str">
        <f>IF($A195="","",IFERROR(VLOOKUP($D195,ReqTypes,2,FALSE),"?"))</f>
        <v/>
      </c>
      <c r="F195" s="20" t="str">
        <f>IF($A195="","",IFERROR(VLOOKUP($D195,ReqTypes,3,FALSE),"?"))</f>
        <v/>
      </c>
      <c r="G195" s="22"/>
      <c r="H195" s="22"/>
      <c r="I195" s="23"/>
      <c r="J195" s="20" t="str">
        <f>IF(OR($A195="",$I195=""),"",IF(NETWORKDAYS($B195,$I195,Holidays)-1&lt;=AckDays,"Y","N"))</f>
        <v/>
      </c>
      <c r="K195" s="22"/>
      <c r="L195" s="23"/>
      <c r="M195" s="23"/>
      <c r="N195" s="20" t="str">
        <f>IF(OR($A195="",$K195&lt;&gt;"Y"),"",IF($L195="","Pending",IF($L195-$B195&lt;=IDPromptDays,"Y","Check")))</f>
        <v/>
      </c>
      <c r="O195" s="20" t="str">
        <f>IF($A195="","",IF(OR($K195&lt;&gt;"Y",$L195=""),0,IF($M195="",MAX(0,ReportDate-$L195),$M195-$L195)))</f>
        <v/>
      </c>
      <c r="P195" s="21" t="str">
        <f>IF($A195="","",IF($F195&lt;&gt;"Y","n/a",WORKDAY(EDATE($B195,1)+$O195-1,1,Holidays)))</f>
        <v/>
      </c>
      <c r="Q195" s="21" t="str">
        <f>IF($A195="","",$B195+$O195+InternalDays)</f>
        <v/>
      </c>
      <c r="R195" s="22"/>
      <c r="S195" s="23"/>
      <c r="T195" s="20" t="str">
        <f t="shared" si="12"/>
        <v/>
      </c>
      <c r="U195" s="21" t="str">
        <f>IF($A195="","",IF($F195&lt;&gt;"Y",$Q195,IF(AND($R195="Y",$T195="Y"),WORKDAY(EDATE($B195,3)+$O195-1,1,Holidays),$P195)))</f>
        <v/>
      </c>
      <c r="V195" s="22"/>
      <c r="W195" s="22"/>
      <c r="X195" s="22"/>
      <c r="Y195" s="23"/>
      <c r="Z195" s="20" t="str">
        <f>IF($A195="","",IF($Y195&lt;&gt;"",$Y195-$B195,ReportDate-$B195))</f>
        <v/>
      </c>
      <c r="AA195" s="20" t="str">
        <f>IF(OR($A195="",$W195="Closed"),"",$U195-ReportDate)</f>
        <v/>
      </c>
      <c r="AB195" s="20" t="str">
        <f>IF($A195="","",IF($W195="Closed",IF($Y195&lt;=$U195,"Closed on time","Closed late"),IF($W195="Awaiting ID","Paused",IF($AA195&lt;0,"Overdue",IF($AA195&lt;=RedDays,"Red",IF($AA195&lt;=AmberDays,"Amber","Green"))))))</f>
        <v/>
      </c>
      <c r="AC195" s="20" t="str">
        <f t="shared" si="13"/>
        <v/>
      </c>
      <c r="AD195" s="22"/>
      <c r="AE195" s="22"/>
      <c r="AF195" s="20" t="str">
        <f>IF($A195="","",IF(IF(OR($B195="",$C195="",$D195="",$V195="",$W195=""),"missing required field; ","")&amp;IF(COUNTIF($A$2:$A$201,$A195)&gt;1,"duplicate ID; ","")&amp;IF(AND($B195&lt;&gt;"",$B195&gt;ReportDate),"received after snapshot date; ","")&amp;IF(AND($I195&lt;&gt;"",$B195&lt;&gt;"",$I195&lt;$B195),"acknowledged before receipt; ","")&amp;IF(AND($K195="Y",$L195="",$W195&lt;&gt;"Logged"),"ID requested date missing; ","")&amp;IF(AND($L195&lt;&gt;"",$M195&lt;&gt;"",$M195&lt;$L195),"ID dates out of order; ","")&amp;IF(AND($K195&lt;&gt;"Y",OR($L195&lt;&gt;"",$W195="Awaiting ID")),"ID fields used but ID_Check_Needed is not Y; ","")&amp;IF(AND($R195="Y",$S195=""),"extension notice date missing; ","")&amp;IF(AND($R195&lt;&gt;"Y",$S195&lt;&gt;""),"notice date but Extended is not Y; ","")&amp;IF(AND($W195="Closed",$Y195=""),"closed without response date; ","")&amp;IF(AND($Y195&lt;&gt;"",$W195&lt;&gt;"Closed"),"response date but status not Closed; ","")&amp;IF(AND($Y195&lt;&gt;"",$B195&lt;&gt;"",$Y195&lt;$B195),"response before receipt; ","")&amp;IF(AND($AD195="Y",$AE195=""),"exemption needs a reason in Notes; ","")="","OK","Check: "&amp;IF(OR($B195="",$C195="",$D195="",$V195="",$W195=""),"missing required field; ","")&amp;IF(COUNTIF($A$2:$A$201,$A195)&gt;1,"duplicate ID; ","")&amp;IF(AND($B195&lt;&gt;"",$B195&gt;ReportDate),"received after snapshot date; ","")&amp;IF(AND($I195&lt;&gt;"",$B195&lt;&gt;"",$I195&lt;$B195),"acknowledged before receipt; ","")&amp;IF(AND($K195="Y",$L195="",$W195&lt;&gt;"Logged"),"ID requested date missing; ","")&amp;IF(AND($L195&lt;&gt;"",$M195&lt;&gt;"",$M195&lt;$L195),"ID dates out of order; ","")&amp;IF(AND($K195&lt;&gt;"Y",OR($L195&lt;&gt;"",$W195="Awaiting ID")),"ID fields used but ID_Check_Needed is not Y; ","")&amp;IF(AND($R195="Y",$S195=""),"extension notice date missing; ","")&amp;IF(AND($R195&lt;&gt;"Y",$S195&lt;&gt;""),"notice date but Extended is not Y; ","")&amp;IF(AND($W195="Closed",$Y195=""),"closed without response date; ","")&amp;IF(AND($Y195&lt;&gt;"",$W195&lt;&gt;"Closed"),"response date but status not Closed; ","")&amp;IF(AND($Y195&lt;&gt;"",$B195&lt;&gt;"",$Y195&lt;$B195),"response before receipt; ","")&amp;IF(AND($AD195="Y",$AE195=""),"exemption needs a reason in Notes; ","")))</f>
        <v/>
      </c>
    </row>
    <row r="196" spans="1:32" x14ac:dyDescent="0.35">
      <c r="A196" s="22"/>
      <c r="B196" s="23"/>
      <c r="C196" s="22"/>
      <c r="D196" s="22"/>
      <c r="E196" s="20" t="str">
        <f>IF($A196="","",IFERROR(VLOOKUP($D196,ReqTypes,2,FALSE),"?"))</f>
        <v/>
      </c>
      <c r="F196" s="20" t="str">
        <f>IF($A196="","",IFERROR(VLOOKUP($D196,ReqTypes,3,FALSE),"?"))</f>
        <v/>
      </c>
      <c r="G196" s="22"/>
      <c r="H196" s="22"/>
      <c r="I196" s="23"/>
      <c r="J196" s="20" t="str">
        <f>IF(OR($A196="",$I196=""),"",IF(NETWORKDAYS($B196,$I196,Holidays)-1&lt;=AckDays,"Y","N"))</f>
        <v/>
      </c>
      <c r="K196" s="22"/>
      <c r="L196" s="23"/>
      <c r="M196" s="23"/>
      <c r="N196" s="20" t="str">
        <f>IF(OR($A196="",$K196&lt;&gt;"Y"),"",IF($L196="","Pending",IF($L196-$B196&lt;=IDPromptDays,"Y","Check")))</f>
        <v/>
      </c>
      <c r="O196" s="20" t="str">
        <f>IF($A196="","",IF(OR($K196&lt;&gt;"Y",$L196=""),0,IF($M196="",MAX(0,ReportDate-$L196),$M196-$L196)))</f>
        <v/>
      </c>
      <c r="P196" s="21" t="str">
        <f>IF($A196="","",IF($F196&lt;&gt;"Y","n/a",WORKDAY(EDATE($B196,1)+$O196-1,1,Holidays)))</f>
        <v/>
      </c>
      <c r="Q196" s="21" t="str">
        <f>IF($A196="","",$B196+$O196+InternalDays)</f>
        <v/>
      </c>
      <c r="R196" s="22"/>
      <c r="S196" s="23"/>
      <c r="T196" s="20" t="str">
        <f t="shared" si="12"/>
        <v/>
      </c>
      <c r="U196" s="21" t="str">
        <f>IF($A196="","",IF($F196&lt;&gt;"Y",$Q196,IF(AND($R196="Y",$T196="Y"),WORKDAY(EDATE($B196,3)+$O196-1,1,Holidays),$P196)))</f>
        <v/>
      </c>
      <c r="V196" s="22"/>
      <c r="W196" s="22"/>
      <c r="X196" s="22"/>
      <c r="Y196" s="23"/>
      <c r="Z196" s="20" t="str">
        <f>IF($A196="","",IF($Y196&lt;&gt;"",$Y196-$B196,ReportDate-$B196))</f>
        <v/>
      </c>
      <c r="AA196" s="20" t="str">
        <f>IF(OR($A196="",$W196="Closed"),"",$U196-ReportDate)</f>
        <v/>
      </c>
      <c r="AB196" s="20" t="str">
        <f>IF($A196="","",IF($W196="Closed",IF($Y196&lt;=$U196,"Closed on time","Closed late"),IF($W196="Awaiting ID","Paused",IF($AA196&lt;0,"Overdue",IF($AA196&lt;=RedDays,"Red",IF($AA196&lt;=AmberDays,"Amber","Green"))))))</f>
        <v/>
      </c>
      <c r="AC196" s="20" t="str">
        <f t="shared" si="13"/>
        <v/>
      </c>
      <c r="AD196" s="22"/>
      <c r="AE196" s="22"/>
      <c r="AF196" s="20" t="str">
        <f>IF($A196="","",IF(IF(OR($B196="",$C196="",$D196="",$V196="",$W196=""),"missing required field; ","")&amp;IF(COUNTIF($A$2:$A$201,$A196)&gt;1,"duplicate ID; ","")&amp;IF(AND($B196&lt;&gt;"",$B196&gt;ReportDate),"received after snapshot date; ","")&amp;IF(AND($I196&lt;&gt;"",$B196&lt;&gt;"",$I196&lt;$B196),"acknowledged before receipt; ","")&amp;IF(AND($K196="Y",$L196="",$W196&lt;&gt;"Logged"),"ID requested date missing; ","")&amp;IF(AND($L196&lt;&gt;"",$M196&lt;&gt;"",$M196&lt;$L196),"ID dates out of order; ","")&amp;IF(AND($K196&lt;&gt;"Y",OR($L196&lt;&gt;"",$W196="Awaiting ID")),"ID fields used but ID_Check_Needed is not Y; ","")&amp;IF(AND($R196="Y",$S196=""),"extension notice date missing; ","")&amp;IF(AND($R196&lt;&gt;"Y",$S196&lt;&gt;""),"notice date but Extended is not Y; ","")&amp;IF(AND($W196="Closed",$Y196=""),"closed without response date; ","")&amp;IF(AND($Y196&lt;&gt;"",$W196&lt;&gt;"Closed"),"response date but status not Closed; ","")&amp;IF(AND($Y196&lt;&gt;"",$B196&lt;&gt;"",$Y196&lt;$B196),"response before receipt; ","")&amp;IF(AND($AD196="Y",$AE196=""),"exemption needs a reason in Notes; ","")="","OK","Check: "&amp;IF(OR($B196="",$C196="",$D196="",$V196="",$W196=""),"missing required field; ","")&amp;IF(COUNTIF($A$2:$A$201,$A196)&gt;1,"duplicate ID; ","")&amp;IF(AND($B196&lt;&gt;"",$B196&gt;ReportDate),"received after snapshot date; ","")&amp;IF(AND($I196&lt;&gt;"",$B196&lt;&gt;"",$I196&lt;$B196),"acknowledged before receipt; ","")&amp;IF(AND($K196="Y",$L196="",$W196&lt;&gt;"Logged"),"ID requested date missing; ","")&amp;IF(AND($L196&lt;&gt;"",$M196&lt;&gt;"",$M196&lt;$L196),"ID dates out of order; ","")&amp;IF(AND($K196&lt;&gt;"Y",OR($L196&lt;&gt;"",$W196="Awaiting ID")),"ID fields used but ID_Check_Needed is not Y; ","")&amp;IF(AND($R196="Y",$S196=""),"extension notice date missing; ","")&amp;IF(AND($R196&lt;&gt;"Y",$S196&lt;&gt;""),"notice date but Extended is not Y; ","")&amp;IF(AND($W196="Closed",$Y196=""),"closed without response date; ","")&amp;IF(AND($Y196&lt;&gt;"",$W196&lt;&gt;"Closed"),"response date but status not Closed; ","")&amp;IF(AND($Y196&lt;&gt;"",$B196&lt;&gt;"",$Y196&lt;$B196),"response before receipt; ","")&amp;IF(AND($AD196="Y",$AE196=""),"exemption needs a reason in Notes; ","")))</f>
        <v/>
      </c>
    </row>
    <row r="197" spans="1:32" x14ac:dyDescent="0.35">
      <c r="A197" s="22"/>
      <c r="B197" s="23"/>
      <c r="C197" s="22"/>
      <c r="D197" s="22"/>
      <c r="E197" s="20" t="str">
        <f>IF($A197="","",IFERROR(VLOOKUP($D197,ReqTypes,2,FALSE),"?"))</f>
        <v/>
      </c>
      <c r="F197" s="20" t="str">
        <f>IF($A197="","",IFERROR(VLOOKUP($D197,ReqTypes,3,FALSE),"?"))</f>
        <v/>
      </c>
      <c r="G197" s="22"/>
      <c r="H197" s="22"/>
      <c r="I197" s="23"/>
      <c r="J197" s="20" t="str">
        <f>IF(OR($A197="",$I197=""),"",IF(NETWORKDAYS($B197,$I197,Holidays)-1&lt;=AckDays,"Y","N"))</f>
        <v/>
      </c>
      <c r="K197" s="22"/>
      <c r="L197" s="23"/>
      <c r="M197" s="23"/>
      <c r="N197" s="20" t="str">
        <f>IF(OR($A197="",$K197&lt;&gt;"Y"),"",IF($L197="","Pending",IF($L197-$B197&lt;=IDPromptDays,"Y","Check")))</f>
        <v/>
      </c>
      <c r="O197" s="20" t="str">
        <f>IF($A197="","",IF(OR($K197&lt;&gt;"Y",$L197=""),0,IF($M197="",MAX(0,ReportDate-$L197),$M197-$L197)))</f>
        <v/>
      </c>
      <c r="P197" s="21" t="str">
        <f>IF($A197="","",IF($F197&lt;&gt;"Y","n/a",WORKDAY(EDATE($B197,1)+$O197-1,1,Holidays)))</f>
        <v/>
      </c>
      <c r="Q197" s="21" t="str">
        <f>IF($A197="","",$B197+$O197+InternalDays)</f>
        <v/>
      </c>
      <c r="R197" s="22"/>
      <c r="S197" s="23"/>
      <c r="T197" s="20" t="str">
        <f t="shared" si="12"/>
        <v/>
      </c>
      <c r="U197" s="21" t="str">
        <f>IF($A197="","",IF($F197&lt;&gt;"Y",$Q197,IF(AND($R197="Y",$T197="Y"),WORKDAY(EDATE($B197,3)+$O197-1,1,Holidays),$P197)))</f>
        <v/>
      </c>
      <c r="V197" s="22"/>
      <c r="W197" s="22"/>
      <c r="X197" s="22"/>
      <c r="Y197" s="23"/>
      <c r="Z197" s="20" t="str">
        <f>IF($A197="","",IF($Y197&lt;&gt;"",$Y197-$B197,ReportDate-$B197))</f>
        <v/>
      </c>
      <c r="AA197" s="20" t="str">
        <f>IF(OR($A197="",$W197="Closed"),"",$U197-ReportDate)</f>
        <v/>
      </c>
      <c r="AB197" s="20" t="str">
        <f>IF($A197="","",IF($W197="Closed",IF($Y197&lt;=$U197,"Closed on time","Closed late"),IF($W197="Awaiting ID","Paused",IF($AA197&lt;0,"Overdue",IF($AA197&lt;=RedDays,"Red",IF($AA197&lt;=AmberDays,"Amber","Green"))))))</f>
        <v/>
      </c>
      <c r="AC197" s="20" t="str">
        <f t="shared" si="13"/>
        <v/>
      </c>
      <c r="AD197" s="22"/>
      <c r="AE197" s="22"/>
      <c r="AF197" s="20" t="str">
        <f>IF($A197="","",IF(IF(OR($B197="",$C197="",$D197="",$V197="",$W197=""),"missing required field; ","")&amp;IF(COUNTIF($A$2:$A$201,$A197)&gt;1,"duplicate ID; ","")&amp;IF(AND($B197&lt;&gt;"",$B197&gt;ReportDate),"received after snapshot date; ","")&amp;IF(AND($I197&lt;&gt;"",$B197&lt;&gt;"",$I197&lt;$B197),"acknowledged before receipt; ","")&amp;IF(AND($K197="Y",$L197="",$W197&lt;&gt;"Logged"),"ID requested date missing; ","")&amp;IF(AND($L197&lt;&gt;"",$M197&lt;&gt;"",$M197&lt;$L197),"ID dates out of order; ","")&amp;IF(AND($K197&lt;&gt;"Y",OR($L197&lt;&gt;"",$W197="Awaiting ID")),"ID fields used but ID_Check_Needed is not Y; ","")&amp;IF(AND($R197="Y",$S197=""),"extension notice date missing; ","")&amp;IF(AND($R197&lt;&gt;"Y",$S197&lt;&gt;""),"notice date but Extended is not Y; ","")&amp;IF(AND($W197="Closed",$Y197=""),"closed without response date; ","")&amp;IF(AND($Y197&lt;&gt;"",$W197&lt;&gt;"Closed"),"response date but status not Closed; ","")&amp;IF(AND($Y197&lt;&gt;"",$B197&lt;&gt;"",$Y197&lt;$B197),"response before receipt; ","")&amp;IF(AND($AD197="Y",$AE197=""),"exemption needs a reason in Notes; ","")="","OK","Check: "&amp;IF(OR($B197="",$C197="",$D197="",$V197="",$W197=""),"missing required field; ","")&amp;IF(COUNTIF($A$2:$A$201,$A197)&gt;1,"duplicate ID; ","")&amp;IF(AND($B197&lt;&gt;"",$B197&gt;ReportDate),"received after snapshot date; ","")&amp;IF(AND($I197&lt;&gt;"",$B197&lt;&gt;"",$I197&lt;$B197),"acknowledged before receipt; ","")&amp;IF(AND($K197="Y",$L197="",$W197&lt;&gt;"Logged"),"ID requested date missing; ","")&amp;IF(AND($L197&lt;&gt;"",$M197&lt;&gt;"",$M197&lt;$L197),"ID dates out of order; ","")&amp;IF(AND($K197&lt;&gt;"Y",OR($L197&lt;&gt;"",$W197="Awaiting ID")),"ID fields used but ID_Check_Needed is not Y; ","")&amp;IF(AND($R197="Y",$S197=""),"extension notice date missing; ","")&amp;IF(AND($R197&lt;&gt;"Y",$S197&lt;&gt;""),"notice date but Extended is not Y; ","")&amp;IF(AND($W197="Closed",$Y197=""),"closed without response date; ","")&amp;IF(AND($Y197&lt;&gt;"",$W197&lt;&gt;"Closed"),"response date but status not Closed; ","")&amp;IF(AND($Y197&lt;&gt;"",$B197&lt;&gt;"",$Y197&lt;$B197),"response before receipt; ","")&amp;IF(AND($AD197="Y",$AE197=""),"exemption needs a reason in Notes; ","")))</f>
        <v/>
      </c>
    </row>
    <row r="198" spans="1:32" x14ac:dyDescent="0.35">
      <c r="A198" s="22"/>
      <c r="B198" s="23"/>
      <c r="C198" s="22"/>
      <c r="D198" s="22"/>
      <c r="E198" s="20" t="str">
        <f>IF($A198="","",IFERROR(VLOOKUP($D198,ReqTypes,2,FALSE),"?"))</f>
        <v/>
      </c>
      <c r="F198" s="20" t="str">
        <f>IF($A198="","",IFERROR(VLOOKUP($D198,ReqTypes,3,FALSE),"?"))</f>
        <v/>
      </c>
      <c r="G198" s="22"/>
      <c r="H198" s="22"/>
      <c r="I198" s="23"/>
      <c r="J198" s="20" t="str">
        <f>IF(OR($A198="",$I198=""),"",IF(NETWORKDAYS($B198,$I198,Holidays)-1&lt;=AckDays,"Y","N"))</f>
        <v/>
      </c>
      <c r="K198" s="22"/>
      <c r="L198" s="23"/>
      <c r="M198" s="23"/>
      <c r="N198" s="20" t="str">
        <f>IF(OR($A198="",$K198&lt;&gt;"Y"),"",IF($L198="","Pending",IF($L198-$B198&lt;=IDPromptDays,"Y","Check")))</f>
        <v/>
      </c>
      <c r="O198" s="20" t="str">
        <f>IF($A198="","",IF(OR($K198&lt;&gt;"Y",$L198=""),0,IF($M198="",MAX(0,ReportDate-$L198),$M198-$L198)))</f>
        <v/>
      </c>
      <c r="P198" s="21" t="str">
        <f>IF($A198="","",IF($F198&lt;&gt;"Y","n/a",WORKDAY(EDATE($B198,1)+$O198-1,1,Holidays)))</f>
        <v/>
      </c>
      <c r="Q198" s="21" t="str">
        <f>IF($A198="","",$B198+$O198+InternalDays)</f>
        <v/>
      </c>
      <c r="R198" s="22"/>
      <c r="S198" s="23"/>
      <c r="T198" s="20" t="str">
        <f t="shared" si="12"/>
        <v/>
      </c>
      <c r="U198" s="21" t="str">
        <f>IF($A198="","",IF($F198&lt;&gt;"Y",$Q198,IF(AND($R198="Y",$T198="Y"),WORKDAY(EDATE($B198,3)+$O198-1,1,Holidays),$P198)))</f>
        <v/>
      </c>
      <c r="V198" s="22"/>
      <c r="W198" s="22"/>
      <c r="X198" s="22"/>
      <c r="Y198" s="23"/>
      <c r="Z198" s="20" t="str">
        <f>IF($A198="","",IF($Y198&lt;&gt;"",$Y198-$B198,ReportDate-$B198))</f>
        <v/>
      </c>
      <c r="AA198" s="20" t="str">
        <f>IF(OR($A198="",$W198="Closed"),"",$U198-ReportDate)</f>
        <v/>
      </c>
      <c r="AB198" s="20" t="str">
        <f>IF($A198="","",IF($W198="Closed",IF($Y198&lt;=$U198,"Closed on time","Closed late"),IF($W198="Awaiting ID","Paused",IF($AA198&lt;0,"Overdue",IF($AA198&lt;=RedDays,"Red",IF($AA198&lt;=AmberDays,"Amber","Green"))))))</f>
        <v/>
      </c>
      <c r="AC198" s="20" t="str">
        <f t="shared" si="13"/>
        <v/>
      </c>
      <c r="AD198" s="22"/>
      <c r="AE198" s="22"/>
      <c r="AF198" s="20" t="str">
        <f>IF($A198="","",IF(IF(OR($B198="",$C198="",$D198="",$V198="",$W198=""),"missing required field; ","")&amp;IF(COUNTIF($A$2:$A$201,$A198)&gt;1,"duplicate ID; ","")&amp;IF(AND($B198&lt;&gt;"",$B198&gt;ReportDate),"received after snapshot date; ","")&amp;IF(AND($I198&lt;&gt;"",$B198&lt;&gt;"",$I198&lt;$B198),"acknowledged before receipt; ","")&amp;IF(AND($K198="Y",$L198="",$W198&lt;&gt;"Logged"),"ID requested date missing; ","")&amp;IF(AND($L198&lt;&gt;"",$M198&lt;&gt;"",$M198&lt;$L198),"ID dates out of order; ","")&amp;IF(AND($K198&lt;&gt;"Y",OR($L198&lt;&gt;"",$W198="Awaiting ID")),"ID fields used but ID_Check_Needed is not Y; ","")&amp;IF(AND($R198="Y",$S198=""),"extension notice date missing; ","")&amp;IF(AND($R198&lt;&gt;"Y",$S198&lt;&gt;""),"notice date but Extended is not Y; ","")&amp;IF(AND($W198="Closed",$Y198=""),"closed without response date; ","")&amp;IF(AND($Y198&lt;&gt;"",$W198&lt;&gt;"Closed"),"response date but status not Closed; ","")&amp;IF(AND($Y198&lt;&gt;"",$B198&lt;&gt;"",$Y198&lt;$B198),"response before receipt; ","")&amp;IF(AND($AD198="Y",$AE198=""),"exemption needs a reason in Notes; ","")="","OK","Check: "&amp;IF(OR($B198="",$C198="",$D198="",$V198="",$W198=""),"missing required field; ","")&amp;IF(COUNTIF($A$2:$A$201,$A198)&gt;1,"duplicate ID; ","")&amp;IF(AND($B198&lt;&gt;"",$B198&gt;ReportDate),"received after snapshot date; ","")&amp;IF(AND($I198&lt;&gt;"",$B198&lt;&gt;"",$I198&lt;$B198),"acknowledged before receipt; ","")&amp;IF(AND($K198="Y",$L198="",$W198&lt;&gt;"Logged"),"ID requested date missing; ","")&amp;IF(AND($L198&lt;&gt;"",$M198&lt;&gt;"",$M198&lt;$L198),"ID dates out of order; ","")&amp;IF(AND($K198&lt;&gt;"Y",OR($L198&lt;&gt;"",$W198="Awaiting ID")),"ID fields used but ID_Check_Needed is not Y; ","")&amp;IF(AND($R198="Y",$S198=""),"extension notice date missing; ","")&amp;IF(AND($R198&lt;&gt;"Y",$S198&lt;&gt;""),"notice date but Extended is not Y; ","")&amp;IF(AND($W198="Closed",$Y198=""),"closed without response date; ","")&amp;IF(AND($Y198&lt;&gt;"",$W198&lt;&gt;"Closed"),"response date but status not Closed; ","")&amp;IF(AND($Y198&lt;&gt;"",$B198&lt;&gt;"",$Y198&lt;$B198),"response before receipt; ","")&amp;IF(AND($AD198="Y",$AE198=""),"exemption needs a reason in Notes; ","")))</f>
        <v/>
      </c>
    </row>
    <row r="199" spans="1:32" x14ac:dyDescent="0.35">
      <c r="A199" s="22"/>
      <c r="B199" s="23"/>
      <c r="C199" s="22"/>
      <c r="D199" s="22"/>
      <c r="E199" s="20" t="str">
        <f>IF($A199="","",IFERROR(VLOOKUP($D199,ReqTypes,2,FALSE),"?"))</f>
        <v/>
      </c>
      <c r="F199" s="20" t="str">
        <f>IF($A199="","",IFERROR(VLOOKUP($D199,ReqTypes,3,FALSE),"?"))</f>
        <v/>
      </c>
      <c r="G199" s="22"/>
      <c r="H199" s="22"/>
      <c r="I199" s="23"/>
      <c r="J199" s="20" t="str">
        <f>IF(OR($A199="",$I199=""),"",IF(NETWORKDAYS($B199,$I199,Holidays)-1&lt;=AckDays,"Y","N"))</f>
        <v/>
      </c>
      <c r="K199" s="22"/>
      <c r="L199" s="23"/>
      <c r="M199" s="23"/>
      <c r="N199" s="20" t="str">
        <f>IF(OR($A199="",$K199&lt;&gt;"Y"),"",IF($L199="","Pending",IF($L199-$B199&lt;=IDPromptDays,"Y","Check")))</f>
        <v/>
      </c>
      <c r="O199" s="20" t="str">
        <f>IF($A199="","",IF(OR($K199&lt;&gt;"Y",$L199=""),0,IF($M199="",MAX(0,ReportDate-$L199),$M199-$L199)))</f>
        <v/>
      </c>
      <c r="P199" s="21" t="str">
        <f>IF($A199="","",IF($F199&lt;&gt;"Y","n/a",WORKDAY(EDATE($B199,1)+$O199-1,1,Holidays)))</f>
        <v/>
      </c>
      <c r="Q199" s="21" t="str">
        <f>IF($A199="","",$B199+$O199+InternalDays)</f>
        <v/>
      </c>
      <c r="R199" s="22"/>
      <c r="S199" s="23"/>
      <c r="T199" s="20" t="str">
        <f t="shared" si="12"/>
        <v/>
      </c>
      <c r="U199" s="21" t="str">
        <f>IF($A199="","",IF($F199&lt;&gt;"Y",$Q199,IF(AND($R199="Y",$T199="Y"),WORKDAY(EDATE($B199,3)+$O199-1,1,Holidays),$P199)))</f>
        <v/>
      </c>
      <c r="V199" s="22"/>
      <c r="W199" s="22"/>
      <c r="X199" s="22"/>
      <c r="Y199" s="23"/>
      <c r="Z199" s="20" t="str">
        <f>IF($A199="","",IF($Y199&lt;&gt;"",$Y199-$B199,ReportDate-$B199))</f>
        <v/>
      </c>
      <c r="AA199" s="20" t="str">
        <f>IF(OR($A199="",$W199="Closed"),"",$U199-ReportDate)</f>
        <v/>
      </c>
      <c r="AB199" s="20" t="str">
        <f>IF($A199="","",IF($W199="Closed",IF($Y199&lt;=$U199,"Closed on time","Closed late"),IF($W199="Awaiting ID","Paused",IF($AA199&lt;0,"Overdue",IF($AA199&lt;=RedDays,"Red",IF($AA199&lt;=AmberDays,"Amber","Green"))))))</f>
        <v/>
      </c>
      <c r="AC199" s="20" t="str">
        <f t="shared" si="13"/>
        <v/>
      </c>
      <c r="AD199" s="22"/>
      <c r="AE199" s="22"/>
      <c r="AF199" s="20" t="str">
        <f>IF($A199="","",IF(IF(OR($B199="",$C199="",$D199="",$V199="",$W199=""),"missing required field; ","")&amp;IF(COUNTIF($A$2:$A$201,$A199)&gt;1,"duplicate ID; ","")&amp;IF(AND($B199&lt;&gt;"",$B199&gt;ReportDate),"received after snapshot date; ","")&amp;IF(AND($I199&lt;&gt;"",$B199&lt;&gt;"",$I199&lt;$B199),"acknowledged before receipt; ","")&amp;IF(AND($K199="Y",$L199="",$W199&lt;&gt;"Logged"),"ID requested date missing; ","")&amp;IF(AND($L199&lt;&gt;"",$M199&lt;&gt;"",$M199&lt;$L199),"ID dates out of order; ","")&amp;IF(AND($K199&lt;&gt;"Y",OR($L199&lt;&gt;"",$W199="Awaiting ID")),"ID fields used but ID_Check_Needed is not Y; ","")&amp;IF(AND($R199="Y",$S199=""),"extension notice date missing; ","")&amp;IF(AND($R199&lt;&gt;"Y",$S199&lt;&gt;""),"notice date but Extended is not Y; ","")&amp;IF(AND($W199="Closed",$Y199=""),"closed without response date; ","")&amp;IF(AND($Y199&lt;&gt;"",$W199&lt;&gt;"Closed"),"response date but status not Closed; ","")&amp;IF(AND($Y199&lt;&gt;"",$B199&lt;&gt;"",$Y199&lt;$B199),"response before receipt; ","")&amp;IF(AND($AD199="Y",$AE199=""),"exemption needs a reason in Notes; ","")="","OK","Check: "&amp;IF(OR($B199="",$C199="",$D199="",$V199="",$W199=""),"missing required field; ","")&amp;IF(COUNTIF($A$2:$A$201,$A199)&gt;1,"duplicate ID; ","")&amp;IF(AND($B199&lt;&gt;"",$B199&gt;ReportDate),"received after snapshot date; ","")&amp;IF(AND($I199&lt;&gt;"",$B199&lt;&gt;"",$I199&lt;$B199),"acknowledged before receipt; ","")&amp;IF(AND($K199="Y",$L199="",$W199&lt;&gt;"Logged"),"ID requested date missing; ","")&amp;IF(AND($L199&lt;&gt;"",$M199&lt;&gt;"",$M199&lt;$L199),"ID dates out of order; ","")&amp;IF(AND($K199&lt;&gt;"Y",OR($L199&lt;&gt;"",$W199="Awaiting ID")),"ID fields used but ID_Check_Needed is not Y; ","")&amp;IF(AND($R199="Y",$S199=""),"extension notice date missing; ","")&amp;IF(AND($R199&lt;&gt;"Y",$S199&lt;&gt;""),"notice date but Extended is not Y; ","")&amp;IF(AND($W199="Closed",$Y199=""),"closed without response date; ","")&amp;IF(AND($Y199&lt;&gt;"",$W199&lt;&gt;"Closed"),"response date but status not Closed; ","")&amp;IF(AND($Y199&lt;&gt;"",$B199&lt;&gt;"",$Y199&lt;$B199),"response before receipt; ","")&amp;IF(AND($AD199="Y",$AE199=""),"exemption needs a reason in Notes; ","")))</f>
        <v/>
      </c>
    </row>
    <row r="200" spans="1:32" x14ac:dyDescent="0.35">
      <c r="A200" s="22"/>
      <c r="B200" s="23"/>
      <c r="C200" s="22"/>
      <c r="D200" s="22"/>
      <c r="E200" s="20" t="str">
        <f>IF($A200="","",IFERROR(VLOOKUP($D200,ReqTypes,2,FALSE),"?"))</f>
        <v/>
      </c>
      <c r="F200" s="20" t="str">
        <f>IF($A200="","",IFERROR(VLOOKUP($D200,ReqTypes,3,FALSE),"?"))</f>
        <v/>
      </c>
      <c r="G200" s="22"/>
      <c r="H200" s="22"/>
      <c r="I200" s="23"/>
      <c r="J200" s="20" t="str">
        <f>IF(OR($A200="",$I200=""),"",IF(NETWORKDAYS($B200,$I200,Holidays)-1&lt;=AckDays,"Y","N"))</f>
        <v/>
      </c>
      <c r="K200" s="22"/>
      <c r="L200" s="23"/>
      <c r="M200" s="23"/>
      <c r="N200" s="20" t="str">
        <f>IF(OR($A200="",$K200&lt;&gt;"Y"),"",IF($L200="","Pending",IF($L200-$B200&lt;=IDPromptDays,"Y","Check")))</f>
        <v/>
      </c>
      <c r="O200" s="20" t="str">
        <f>IF($A200="","",IF(OR($K200&lt;&gt;"Y",$L200=""),0,IF($M200="",MAX(0,ReportDate-$L200),$M200-$L200)))</f>
        <v/>
      </c>
      <c r="P200" s="21" t="str">
        <f>IF($A200="","",IF($F200&lt;&gt;"Y","n/a",WORKDAY(EDATE($B200,1)+$O200-1,1,Holidays)))</f>
        <v/>
      </c>
      <c r="Q200" s="21" t="str">
        <f>IF($A200="","",$B200+$O200+InternalDays)</f>
        <v/>
      </c>
      <c r="R200" s="22"/>
      <c r="S200" s="23"/>
      <c r="T200" s="20" t="str">
        <f t="shared" si="12"/>
        <v/>
      </c>
      <c r="U200" s="21" t="str">
        <f>IF($A200="","",IF($F200&lt;&gt;"Y",$Q200,IF(AND($R200="Y",$T200="Y"),WORKDAY(EDATE($B200,3)+$O200-1,1,Holidays),$P200)))</f>
        <v/>
      </c>
      <c r="V200" s="22"/>
      <c r="W200" s="22"/>
      <c r="X200" s="22"/>
      <c r="Y200" s="23"/>
      <c r="Z200" s="20" t="str">
        <f>IF($A200="","",IF($Y200&lt;&gt;"",$Y200-$B200,ReportDate-$B200))</f>
        <v/>
      </c>
      <c r="AA200" s="20" t="str">
        <f>IF(OR($A200="",$W200="Closed"),"",$U200-ReportDate)</f>
        <v/>
      </c>
      <c r="AB200" s="20" t="str">
        <f>IF($A200="","",IF($W200="Closed",IF($Y200&lt;=$U200,"Closed on time","Closed late"),IF($W200="Awaiting ID","Paused",IF($AA200&lt;0,"Overdue",IF($AA200&lt;=RedDays,"Red",IF($AA200&lt;=AmberDays,"Amber","Green"))))))</f>
        <v/>
      </c>
      <c r="AC200" s="20" t="str">
        <f t="shared" si="13"/>
        <v/>
      </c>
      <c r="AD200" s="22"/>
      <c r="AE200" s="22"/>
      <c r="AF200" s="20" t="str">
        <f>IF($A200="","",IF(IF(OR($B200="",$C200="",$D200="",$V200="",$W200=""),"missing required field; ","")&amp;IF(COUNTIF($A$2:$A$201,$A200)&gt;1,"duplicate ID; ","")&amp;IF(AND($B200&lt;&gt;"",$B200&gt;ReportDate),"received after snapshot date; ","")&amp;IF(AND($I200&lt;&gt;"",$B200&lt;&gt;"",$I200&lt;$B200),"acknowledged before receipt; ","")&amp;IF(AND($K200="Y",$L200="",$W200&lt;&gt;"Logged"),"ID requested date missing; ","")&amp;IF(AND($L200&lt;&gt;"",$M200&lt;&gt;"",$M200&lt;$L200),"ID dates out of order; ","")&amp;IF(AND($K200&lt;&gt;"Y",OR($L200&lt;&gt;"",$W200="Awaiting ID")),"ID fields used but ID_Check_Needed is not Y; ","")&amp;IF(AND($R200="Y",$S200=""),"extension notice date missing; ","")&amp;IF(AND($R200&lt;&gt;"Y",$S200&lt;&gt;""),"notice date but Extended is not Y; ","")&amp;IF(AND($W200="Closed",$Y200=""),"closed without response date; ","")&amp;IF(AND($Y200&lt;&gt;"",$W200&lt;&gt;"Closed"),"response date but status not Closed; ","")&amp;IF(AND($Y200&lt;&gt;"",$B200&lt;&gt;"",$Y200&lt;$B200),"response before receipt; ","")&amp;IF(AND($AD200="Y",$AE200=""),"exemption needs a reason in Notes; ","")="","OK","Check: "&amp;IF(OR($B200="",$C200="",$D200="",$V200="",$W200=""),"missing required field; ","")&amp;IF(COUNTIF($A$2:$A$201,$A200)&gt;1,"duplicate ID; ","")&amp;IF(AND($B200&lt;&gt;"",$B200&gt;ReportDate),"received after snapshot date; ","")&amp;IF(AND($I200&lt;&gt;"",$B200&lt;&gt;"",$I200&lt;$B200),"acknowledged before receipt; ","")&amp;IF(AND($K200="Y",$L200="",$W200&lt;&gt;"Logged"),"ID requested date missing; ","")&amp;IF(AND($L200&lt;&gt;"",$M200&lt;&gt;"",$M200&lt;$L200),"ID dates out of order; ","")&amp;IF(AND($K200&lt;&gt;"Y",OR($L200&lt;&gt;"",$W200="Awaiting ID")),"ID fields used but ID_Check_Needed is not Y; ","")&amp;IF(AND($R200="Y",$S200=""),"extension notice date missing; ","")&amp;IF(AND($R200&lt;&gt;"Y",$S200&lt;&gt;""),"notice date but Extended is not Y; ","")&amp;IF(AND($W200="Closed",$Y200=""),"closed without response date; ","")&amp;IF(AND($Y200&lt;&gt;"",$W200&lt;&gt;"Closed"),"response date but status not Closed; ","")&amp;IF(AND($Y200&lt;&gt;"",$B200&lt;&gt;"",$Y200&lt;$B200),"response before receipt; ","")&amp;IF(AND($AD200="Y",$AE200=""),"exemption needs a reason in Notes; ","")))</f>
        <v/>
      </c>
    </row>
    <row r="201" spans="1:32" x14ac:dyDescent="0.35">
      <c r="A201" s="22"/>
      <c r="B201" s="23"/>
      <c r="C201" s="22"/>
      <c r="D201" s="22"/>
      <c r="E201" s="20" t="str">
        <f>IF($A201="","",IFERROR(VLOOKUP($D201,ReqTypes,2,FALSE),"?"))</f>
        <v/>
      </c>
      <c r="F201" s="20" t="str">
        <f>IF($A201="","",IFERROR(VLOOKUP($D201,ReqTypes,3,FALSE),"?"))</f>
        <v/>
      </c>
      <c r="G201" s="22"/>
      <c r="H201" s="22"/>
      <c r="I201" s="23"/>
      <c r="J201" s="20" t="str">
        <f>IF(OR($A201="",$I201=""),"",IF(NETWORKDAYS($B201,$I201,Holidays)-1&lt;=AckDays,"Y","N"))</f>
        <v/>
      </c>
      <c r="K201" s="22"/>
      <c r="L201" s="23"/>
      <c r="M201" s="23"/>
      <c r="N201" s="20" t="str">
        <f>IF(OR($A201="",$K201&lt;&gt;"Y"),"",IF($L201="","Pending",IF($L201-$B201&lt;=IDPromptDays,"Y","Check")))</f>
        <v/>
      </c>
      <c r="O201" s="20" t="str">
        <f>IF($A201="","",IF(OR($K201&lt;&gt;"Y",$L201=""),0,IF($M201="",MAX(0,ReportDate-$L201),$M201-$L201)))</f>
        <v/>
      </c>
      <c r="P201" s="21" t="str">
        <f>IF($A201="","",IF($F201&lt;&gt;"Y","n/a",WORKDAY(EDATE($B201,1)+$O201-1,1,Holidays)))</f>
        <v/>
      </c>
      <c r="Q201" s="21" t="str">
        <f>IF($A201="","",$B201+$O201+InternalDays)</f>
        <v/>
      </c>
      <c r="R201" s="22"/>
      <c r="S201" s="23"/>
      <c r="T201" s="20" t="str">
        <f t="shared" si="12"/>
        <v/>
      </c>
      <c r="U201" s="21" t="str">
        <f>IF($A201="","",IF($F201&lt;&gt;"Y",$Q201,IF(AND($R201="Y",$T201="Y"),WORKDAY(EDATE($B201,3)+$O201-1,1,Holidays),$P201)))</f>
        <v/>
      </c>
      <c r="V201" s="22"/>
      <c r="W201" s="22"/>
      <c r="X201" s="22"/>
      <c r="Y201" s="23"/>
      <c r="Z201" s="20" t="str">
        <f>IF($A201="","",IF($Y201&lt;&gt;"",$Y201-$B201,ReportDate-$B201))</f>
        <v/>
      </c>
      <c r="AA201" s="20" t="str">
        <f>IF(OR($A201="",$W201="Closed"),"",$U201-ReportDate)</f>
        <v/>
      </c>
      <c r="AB201" s="20" t="str">
        <f>IF($A201="","",IF($W201="Closed",IF($Y201&lt;=$U201,"Closed on time","Closed late"),IF($W201="Awaiting ID","Paused",IF($AA201&lt;0,"Overdue",IF($AA201&lt;=RedDays,"Red",IF($AA201&lt;=AmberDays,"Amber","Green"))))))</f>
        <v/>
      </c>
      <c r="AC201" s="20" t="str">
        <f t="shared" si="13"/>
        <v/>
      </c>
      <c r="AD201" s="22"/>
      <c r="AE201" s="22"/>
      <c r="AF201" s="20" t="str">
        <f>IF($A201="","",IF(IF(OR($B201="",$C201="",$D201="",$V201="",$W201=""),"missing required field; ","")&amp;IF(COUNTIF($A$2:$A$201,$A201)&gt;1,"duplicate ID; ","")&amp;IF(AND($B201&lt;&gt;"",$B201&gt;ReportDate),"received after snapshot date; ","")&amp;IF(AND($I201&lt;&gt;"",$B201&lt;&gt;"",$I201&lt;$B201),"acknowledged before receipt; ","")&amp;IF(AND($K201="Y",$L201="",$W201&lt;&gt;"Logged"),"ID requested date missing; ","")&amp;IF(AND($L201&lt;&gt;"",$M201&lt;&gt;"",$M201&lt;$L201),"ID dates out of order; ","")&amp;IF(AND($K201&lt;&gt;"Y",OR($L201&lt;&gt;"",$W201="Awaiting ID")),"ID fields used but ID_Check_Needed is not Y; ","")&amp;IF(AND($R201="Y",$S201=""),"extension notice date missing; ","")&amp;IF(AND($R201&lt;&gt;"Y",$S201&lt;&gt;""),"notice date but Extended is not Y; ","")&amp;IF(AND($W201="Closed",$Y201=""),"closed without response date; ","")&amp;IF(AND($Y201&lt;&gt;"",$W201&lt;&gt;"Closed"),"response date but status not Closed; ","")&amp;IF(AND($Y201&lt;&gt;"",$B201&lt;&gt;"",$Y201&lt;$B201),"response before receipt; ","")&amp;IF(AND($AD201="Y",$AE201=""),"exemption needs a reason in Notes; ","")="","OK","Check: "&amp;IF(OR($B201="",$C201="",$D201="",$V201="",$W201=""),"missing required field; ","")&amp;IF(COUNTIF($A$2:$A$201,$A201)&gt;1,"duplicate ID; ","")&amp;IF(AND($B201&lt;&gt;"",$B201&gt;ReportDate),"received after snapshot date; ","")&amp;IF(AND($I201&lt;&gt;"",$B201&lt;&gt;"",$I201&lt;$B201),"acknowledged before receipt; ","")&amp;IF(AND($K201="Y",$L201="",$W201&lt;&gt;"Logged"),"ID requested date missing; ","")&amp;IF(AND($L201&lt;&gt;"",$M201&lt;&gt;"",$M201&lt;$L201),"ID dates out of order; ","")&amp;IF(AND($K201&lt;&gt;"Y",OR($L201&lt;&gt;"",$W201="Awaiting ID")),"ID fields used but ID_Check_Needed is not Y; ","")&amp;IF(AND($R201="Y",$S201=""),"extension notice date missing; ","")&amp;IF(AND($R201&lt;&gt;"Y",$S201&lt;&gt;""),"notice date but Extended is not Y; ","")&amp;IF(AND($W201="Closed",$Y201=""),"closed without response date; ","")&amp;IF(AND($Y201&lt;&gt;"",$W201&lt;&gt;"Closed"),"response date but status not Closed; ","")&amp;IF(AND($Y201&lt;&gt;"",$B201&lt;&gt;"",$Y201&lt;$B201),"response before receipt; ","")&amp;IF(AND($AD201="Y",$AE201=""),"exemption needs a reason in Notes; ","")))</f>
        <v/>
      </c>
    </row>
  </sheetData>
  <sheetProtection sheet="1" objects="1" scenarios="1" formatCells="0" formatColumns="0" formatRows="0" autoFilter="0"/>
  <autoFilter ref="A1:AF1" xr:uid="{4C2DCAAF-19DE-46C7-BFE9-7BF99F610207}"/>
  <phoneticPr fontId="1" type="noConversion"/>
  <conditionalFormatting sqref="AF2:AF201">
    <cfRule type="containsText" dxfId="38" priority="1" stopIfTrue="1" operator="containsText" text="Check">
      <formula>NOT(ISERROR(SEARCH("Check",AF2)))</formula>
    </cfRule>
  </conditionalFormatting>
  <conditionalFormatting sqref="AB2:AB201">
    <cfRule type="cellIs" dxfId="37" priority="2" stopIfTrue="1" operator="equal">
      <formula>"Overdue"</formula>
    </cfRule>
    <cfRule type="cellIs" dxfId="36" priority="3" stopIfTrue="1" operator="equal">
      <formula>"Red"</formula>
    </cfRule>
    <cfRule type="cellIs" dxfId="35" priority="4" stopIfTrue="1" operator="equal">
      <formula>"Amber"</formula>
    </cfRule>
    <cfRule type="cellIs" dxfId="34" priority="5" stopIfTrue="1" operator="equal">
      <formula>"Green"</formula>
    </cfRule>
    <cfRule type="cellIs" dxfId="33" priority="6" stopIfTrue="1" operator="equal">
      <formula>"Paused"</formula>
    </cfRule>
    <cfRule type="cellIs" dxfId="32" priority="7" stopIfTrue="1" operator="equal">
      <formula>"Closed late"</formula>
    </cfRule>
  </conditionalFormatting>
  <conditionalFormatting sqref="N2:N201">
    <cfRule type="cellIs" dxfId="31" priority="8" stopIfTrue="1" operator="equal">
      <formula>"Check"</formula>
    </cfRule>
  </conditionalFormatting>
  <conditionalFormatting sqref="J2:J201">
    <cfRule type="cellIs" dxfId="30" priority="9" stopIfTrue="1" operator="equal">
      <formula>"N"</formula>
    </cfRule>
  </conditionalFormatting>
  <conditionalFormatting sqref="T2:T201">
    <cfRule type="cellIs" dxfId="29" priority="10" stopIfTrue="1" operator="equal">
      <formula>"Late"</formula>
    </cfRule>
    <cfRule type="cellIs" dxfId="28" priority="11" stopIfTrue="1" operator="equal">
      <formula>"Missing"</formula>
    </cfRule>
  </conditionalFormatting>
  <conditionalFormatting sqref="AC2:AC201">
    <cfRule type="cellIs" dxfId="27" priority="12" stopIfTrue="1" operator="equal">
      <formula>"N"</formula>
    </cfRule>
  </conditionalFormatting>
  <dataValidations count="13">
    <dataValidation type="date" allowBlank="1" showInputMessage="1" showErrorMessage="1" errorTitle="Date expected" error="Enter a date between 2020 and 2030, for example 2026-10-30." sqref="B2:B201" xr:uid="{E5D6163E-38FC-4AF4-B899-91B0CD577230}">
      <formula1>43831</formula1>
      <formula2>47848</formula2>
    </dataValidation>
    <dataValidation type="date" allowBlank="1" showInputMessage="1" showErrorMessage="1" errorTitle="Date expected" error="Enter a date between 2020 and 2030, for example 2026-10-30." sqref="I2:I201" xr:uid="{76095812-2D81-45B8-AA42-2F8AE0716428}">
      <formula1>43831</formula1>
      <formula2>47848</formula2>
    </dataValidation>
    <dataValidation type="date" allowBlank="1" showInputMessage="1" showErrorMessage="1" errorTitle="Date expected" error="Enter a date between 2020 and 2030, for example 2026-10-30." sqref="L2:L201" xr:uid="{E18F4FC1-97CF-4838-964A-248DE8268C1F}">
      <formula1>43831</formula1>
      <formula2>47848</formula2>
    </dataValidation>
    <dataValidation type="date" allowBlank="1" showInputMessage="1" showErrorMessage="1" errorTitle="Date expected" error="Enter a date between 2020 and 2030, for example 2026-10-30." sqref="M2:M201" xr:uid="{F2773231-2EC8-416C-AE3C-FD51CDDB930F}">
      <formula1>43831</formula1>
      <formula2>47848</formula2>
    </dataValidation>
    <dataValidation type="date" allowBlank="1" showInputMessage="1" showErrorMessage="1" errorTitle="Date expected" error="Enter a date between 2020 and 2030, for example 2026-10-30." sqref="S2:S201" xr:uid="{9B095205-7243-4F28-AEA3-B6EA956E83FF}">
      <formula1>43831</formula1>
      <formula2>47848</formula2>
    </dataValidation>
    <dataValidation type="date" allowBlank="1" showInputMessage="1" showErrorMessage="1" errorTitle="Date expected" error="Enter a date between 2020 and 2030, for example 2026-10-30." sqref="Y2:Y201" xr:uid="{51B38D6C-A4DE-4481-9A49-3550EB1DE0F9}">
      <formula1>43831</formula1>
      <formula2>47848</formula2>
    </dataValidation>
    <dataValidation type="list" allowBlank="1" showInputMessage="1" showErrorMessage="1" sqref="X2:X201 K2:K201 R2:R201 AD2:AD201" xr:uid="{6422C701-922D-4B01-BAFB-DBC84BF2D658}">
      <formula1>L_YesNo</formula1>
    </dataValidation>
    <dataValidation type="list" allowBlank="1" showInputMessage="1" showErrorMessage="1" sqref="D2:D201" xr:uid="{C5F80B85-91AD-46B5-B05F-989237EE861F}">
      <formula1>L_ReqType</formula1>
    </dataValidation>
    <dataValidation type="list" allowBlank="1" showInputMessage="1" showErrorMessage="1" sqref="G2:G201" xr:uid="{B1419264-2E25-42E7-8AA8-7B6CA1FFA167}">
      <formula1>L_Requester</formula1>
    </dataValidation>
    <dataValidation type="list" allowBlank="1" showInputMessage="1" showErrorMessage="1" sqref="W2:W201" xr:uid="{14092392-DF7B-4D4A-B744-CB72335EEC85}">
      <formula1>L_DSRStatus</formula1>
    </dataValidation>
    <dataValidation type="list" allowBlank="1" showInputMessage="1" showErrorMessage="1" sqref="V2:V201" xr:uid="{BD225AAE-132B-4663-9F9E-CF0883CFFF03}">
      <formula1>L_Owner</formula1>
    </dataValidation>
    <dataValidation type="list" allowBlank="1" showInputMessage="1" showErrorMessage="1" sqref="H2:H201" xr:uid="{92252EBD-3470-4FF4-A293-8F7801F63F2C}">
      <formula1>L_Area</formula1>
    </dataValidation>
    <dataValidation type="list" allowBlank="1" showInputMessage="1" showErrorMessage="1" sqref="C2:C201" xr:uid="{F29CC0FA-5617-47A2-912B-5C847AB61A0D}">
      <formula1>L_Channel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DBF63-43E6-4F69-99A4-BE0AB84853E3}">
  <sheetPr>
    <tabColor rgb="FF4472C4"/>
  </sheetPr>
  <dimension ref="A1:X10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3.5" x14ac:dyDescent="0.35"/>
  <cols>
    <col min="1" max="1" width="12.4375" style="20" bestFit="1" customWidth="1"/>
    <col min="2" max="2" width="10" style="20" bestFit="1" customWidth="1"/>
    <col min="3" max="3" width="15.3125" style="20" bestFit="1" customWidth="1"/>
    <col min="4" max="4" width="17" style="20" bestFit="1" customWidth="1"/>
    <col min="5" max="5" width="34.5625" style="20" customWidth="1"/>
    <col min="6" max="6" width="9.5625" style="20" bestFit="1" customWidth="1"/>
    <col min="7" max="7" width="22.5625" style="20" customWidth="1"/>
    <col min="8" max="8" width="9.1875" style="20" bestFit="1" customWidth="1"/>
    <col min="9" max="9" width="8.5625" style="20" bestFit="1" customWidth="1"/>
    <col min="10" max="10" width="11.3125" style="20" bestFit="1" customWidth="1"/>
    <col min="11" max="11" width="9" style="20"/>
    <col min="12" max="12" width="14.125" style="20" bestFit="1" customWidth="1"/>
    <col min="13" max="14" width="15.3125" style="20" bestFit="1" customWidth="1"/>
    <col min="15" max="15" width="8.375" style="20" bestFit="1" customWidth="1"/>
    <col min="16" max="16" width="18.0625" style="20" bestFit="1" customWidth="1"/>
    <col min="17" max="17" width="10.5625" style="20" bestFit="1" customWidth="1"/>
    <col min="18" max="18" width="10.75" style="20" bestFit="1" customWidth="1"/>
    <col min="19" max="19" width="45.5625" style="20" customWidth="1"/>
    <col min="20" max="20" width="15.0625" style="20" bestFit="1" customWidth="1"/>
    <col min="21" max="21" width="6.6875" style="20" bestFit="1" customWidth="1"/>
    <col min="22" max="22" width="10" style="20" bestFit="1" customWidth="1"/>
    <col min="23" max="23" width="40.5625" style="20" customWidth="1"/>
    <col min="24" max="24" width="17.5625" style="20" customWidth="1"/>
    <col min="25" max="16384" width="9" style="20"/>
  </cols>
  <sheetData>
    <row r="1" spans="1:24" ht="32" customHeight="1" x14ac:dyDescent="0.35">
      <c r="A1" s="18" t="s">
        <v>230</v>
      </c>
      <c r="B1" s="18" t="s">
        <v>231</v>
      </c>
      <c r="C1" s="18" t="s">
        <v>232</v>
      </c>
      <c r="D1" s="18" t="s">
        <v>61</v>
      </c>
      <c r="E1" s="18" t="s">
        <v>106</v>
      </c>
      <c r="F1" s="18" t="s">
        <v>66</v>
      </c>
      <c r="G1" s="18" t="s">
        <v>67</v>
      </c>
      <c r="H1" s="18" t="s">
        <v>233</v>
      </c>
      <c r="I1" s="19" t="s">
        <v>122</v>
      </c>
      <c r="J1" s="18" t="s">
        <v>234</v>
      </c>
      <c r="K1" s="18" t="s">
        <v>65</v>
      </c>
      <c r="L1" s="19" t="s">
        <v>235</v>
      </c>
      <c r="M1" s="19" t="s">
        <v>236</v>
      </c>
      <c r="N1" s="18" t="s">
        <v>237</v>
      </c>
      <c r="O1" s="19" t="s">
        <v>238</v>
      </c>
      <c r="P1" s="19" t="s">
        <v>239</v>
      </c>
      <c r="Q1" s="19" t="s">
        <v>240</v>
      </c>
      <c r="R1" s="19" t="s">
        <v>241</v>
      </c>
      <c r="S1" s="18" t="s">
        <v>242</v>
      </c>
      <c r="T1" s="18" t="s">
        <v>63</v>
      </c>
      <c r="U1" s="18" t="s">
        <v>166</v>
      </c>
      <c r="V1" s="18" t="s">
        <v>243</v>
      </c>
      <c r="W1" s="19" t="s">
        <v>174</v>
      </c>
      <c r="X1" s="18" t="s">
        <v>244</v>
      </c>
    </row>
    <row r="2" spans="1:24" x14ac:dyDescent="0.35">
      <c r="A2" s="22" t="s">
        <v>245</v>
      </c>
      <c r="B2" s="23">
        <v>46150</v>
      </c>
      <c r="C2" s="25">
        <v>46150.4375</v>
      </c>
      <c r="D2" s="22" t="s">
        <v>104</v>
      </c>
      <c r="E2" s="22" t="s">
        <v>107</v>
      </c>
      <c r="F2" s="22" t="s">
        <v>76</v>
      </c>
      <c r="G2" s="22" t="s">
        <v>77</v>
      </c>
      <c r="H2" s="22">
        <v>4</v>
      </c>
      <c r="I2" s="20" t="str">
        <f>IF(OR($A2="",$H2=""),"",VLOOKUP($H2,SubjectBands,2,TRUE))</f>
        <v>1 to 9</v>
      </c>
      <c r="J2" s="22" t="s">
        <v>57</v>
      </c>
      <c r="K2" s="22" t="s">
        <v>84</v>
      </c>
      <c r="L2" s="20" t="str">
        <f t="shared" ref="L2:L33" si="0">IF(OR($A2="",$K2=""),"",IF(OR($K2="No risk",$K2="Low"),"No - record only","Yes"))</f>
        <v>No - record only</v>
      </c>
      <c r="M2" s="24" t="str">
        <f>IF($L2="Yes",$C2+NotifyHours/24,"")</f>
        <v/>
      </c>
      <c r="N2" s="25"/>
      <c r="O2" s="20" t="str">
        <f t="shared" ref="O2:O33" si="1">IF(OR($A2="",$N2=""),"",ROUND(($N2-$C2)*24,1))</f>
        <v/>
      </c>
      <c r="P2" s="20" t="str">
        <f>IF($O2="","",VLOOKUP($O2,TimeBands,2,TRUE))</f>
        <v/>
      </c>
      <c r="Q2" s="20" t="str">
        <f>IF($L2&lt;&gt;"Yes","",IF($N2="",IF(ReportDate&gt;$M2,"Overdue","Pending"),IF($N2&lt;=$M2,"Y","N")))</f>
        <v/>
      </c>
      <c r="R2" s="20" t="str">
        <f t="shared" ref="R2:R33" si="2">IF(OR($A2="",$K2=""),"",IF($K2="High","Yes (Art 34)","No"))</f>
        <v>No</v>
      </c>
      <c r="S2" s="22" t="s">
        <v>246</v>
      </c>
      <c r="T2" s="22" t="s">
        <v>74</v>
      </c>
      <c r="U2" s="22" t="s">
        <v>102</v>
      </c>
      <c r="V2" s="23">
        <v>46175</v>
      </c>
      <c r="W2" s="20" t="str">
        <f>IF($A2="","",IF(IF(OR($C2="",$E2="",$F2="",$K2="",$T2="",$U2=""),"missing required field; ","")&amp;IF(COUNTIF($A$2:$A$101,$A2)&gt;1,"duplicate ID; ","")&amp;IF($H2="","subjects affected missing; ","")&amp;IF(AND($B2&lt;&gt;"",$C2&lt;&gt;"",INT($C2)&lt;$B2),"aware before occurred; ","")&amp;IF(AND($N2&lt;&gt;"",$C2&lt;&gt;"",$N2&lt;$C2),"notified before aware; ","")&amp;IF(AND($L2="Yes",$N2="",$U2="Closed"),"closed without DPC notification; ","")&amp;IF(AND($N2&lt;&gt;"",$L2&lt;&gt;"Yes"),"notified although assessed not notifiable - confirm; ","")&amp;IF(AND($U2="Closed",$V2=""),"closed without closed date; ","")&amp;IF(AND($V2&lt;&gt;"",$C2&lt;&gt;"",$V2&lt;INT($C2)),"closed before aware; ","")&amp;IF(AND($C2&lt;&gt;"",$C2&gt;=ReportDate+1),"aware after snapshot date; ","")="","OK","Check: "&amp;IF(OR($C2="",$E2="",$F2="",$K2="",$T2="",$U2=""),"missing required field; ","")&amp;IF(COUNTIF($A$2:$A$101,$A2)&gt;1,"duplicate ID; ","")&amp;IF($H2="","subjects affected missing; ","")&amp;IF(AND($B2&lt;&gt;"",$C2&lt;&gt;"",INT($C2)&lt;$B2),"aware before occurred; ","")&amp;IF(AND($N2&lt;&gt;"",$C2&lt;&gt;"",$N2&lt;$C2),"notified before aware; ","")&amp;IF(AND($L2="Yes",$N2="",$U2="Closed"),"closed without DPC notification; ","")&amp;IF(AND($N2&lt;&gt;"",$L2&lt;&gt;"Yes"),"notified although assessed not notifiable - confirm; ","")&amp;IF(AND($U2="Closed",$V2=""),"closed without closed date; ","")&amp;IF(AND($V2&lt;&gt;"",$C2&lt;&gt;"",$V2&lt;INT($C2)),"closed before aware; ","")&amp;IF(AND($C2&lt;&gt;"",$C2&gt;=ReportDate+1),"aware after snapshot date; ","")))</f>
        <v>OK</v>
      </c>
      <c r="X2" s="22" t="s">
        <v>247</v>
      </c>
    </row>
    <row r="3" spans="1:24" x14ac:dyDescent="0.35">
      <c r="A3" s="22" t="s">
        <v>248</v>
      </c>
      <c r="B3" s="23">
        <v>46166</v>
      </c>
      <c r="C3" s="25">
        <v>46168.385416999998</v>
      </c>
      <c r="D3" s="22" t="s">
        <v>91</v>
      </c>
      <c r="E3" s="22" t="s">
        <v>116</v>
      </c>
      <c r="F3" s="22" t="s">
        <v>85</v>
      </c>
      <c r="G3" s="22" t="s">
        <v>86</v>
      </c>
      <c r="H3" s="22">
        <v>2814</v>
      </c>
      <c r="I3" s="20" t="str">
        <f>IF(OR($A3="",$H3=""),"",VLOOKUP($H3,SubjectBands,2,TRUE))</f>
        <v>1k to 10k</v>
      </c>
      <c r="J3" s="22" t="s">
        <v>42</v>
      </c>
      <c r="K3" s="22" t="s">
        <v>98</v>
      </c>
      <c r="L3" s="20" t="str">
        <f t="shared" si="0"/>
        <v>Yes</v>
      </c>
      <c r="M3" s="24">
        <f>IF($L3="Yes",$C3+NotifyHours/24,"")</f>
        <v>46171.385416999998</v>
      </c>
      <c r="N3" s="25">
        <v>46169.71875</v>
      </c>
      <c r="O3" s="20">
        <f t="shared" si="1"/>
        <v>32</v>
      </c>
      <c r="P3" s="20" t="str">
        <f>IF($O3="","",VLOOKUP($O3,TimeBands,2,TRUE))</f>
        <v>24 hours to 72 hours</v>
      </c>
      <c r="Q3" s="20" t="str">
        <f>IF($L3&lt;&gt;"Yes","",IF($N3="",IF(ReportDate&gt;$M3,"Overdue","Pending"),IF($N3&lt;=$M3,"Y","N")))</f>
        <v>Y</v>
      </c>
      <c r="R3" s="20" t="str">
        <f t="shared" si="2"/>
        <v>Yes (Art 34)</v>
      </c>
      <c r="S3" s="22" t="s">
        <v>249</v>
      </c>
      <c r="T3" s="22" t="s">
        <v>97</v>
      </c>
      <c r="U3" s="22" t="s">
        <v>102</v>
      </c>
      <c r="V3" s="23">
        <v>46188</v>
      </c>
      <c r="W3" s="20" t="str">
        <f>IF($A3="","",IF(IF(OR($C3="",$E3="",$F3="",$K3="",$T3="",$U3=""),"missing required field; ","")&amp;IF(COUNTIF($A$2:$A$101,$A3)&gt;1,"duplicate ID; ","")&amp;IF($H3="","subjects affected missing; ","")&amp;IF(AND($B3&lt;&gt;"",$C3&lt;&gt;"",INT($C3)&lt;$B3),"aware before occurred; ","")&amp;IF(AND($N3&lt;&gt;"",$C3&lt;&gt;"",$N3&lt;$C3),"notified before aware; ","")&amp;IF(AND($L3="Yes",$N3="",$U3="Closed"),"closed without DPC notification; ","")&amp;IF(AND($N3&lt;&gt;"",$L3&lt;&gt;"Yes"),"notified although assessed not notifiable - confirm; ","")&amp;IF(AND($U3="Closed",$V3=""),"closed without closed date; ","")&amp;IF(AND($V3&lt;&gt;"",$C3&lt;&gt;"",$V3&lt;INT($C3)),"closed before aware; ","")&amp;IF(AND($C3&lt;&gt;"",$C3&gt;=ReportDate+1),"aware after snapshot date; ","")="","OK","Check: "&amp;IF(OR($C3="",$E3="",$F3="",$K3="",$T3="",$U3=""),"missing required field; ","")&amp;IF(COUNTIF($A$2:$A$101,$A3)&gt;1,"duplicate ID; ","")&amp;IF($H3="","subjects affected missing; ","")&amp;IF(AND($B3&lt;&gt;"",$C3&lt;&gt;"",INT($C3)&lt;$B3),"aware before occurred; ","")&amp;IF(AND($N3&lt;&gt;"",$C3&lt;&gt;"",$N3&lt;$C3),"notified before aware; ","")&amp;IF(AND($L3="Yes",$N3="",$U3="Closed"),"closed without DPC notification; ","")&amp;IF(AND($N3&lt;&gt;"",$L3&lt;&gt;"Yes"),"notified although assessed not notifiable - confirm; ","")&amp;IF(AND($U3="Closed",$V3=""),"closed without closed date; ","")&amp;IF(AND($V3&lt;&gt;"",$C3&lt;&gt;"",$V3&lt;INT($C3)),"closed before aware; ","")&amp;IF(AND($C3&lt;&gt;"",$C3&gt;=ReportDate+1),"aware after snapshot date; ","")))</f>
        <v>OK</v>
      </c>
      <c r="X3" s="22" t="s">
        <v>250</v>
      </c>
    </row>
    <row r="4" spans="1:24" x14ac:dyDescent="0.35">
      <c r="A4" s="22" t="s">
        <v>251</v>
      </c>
      <c r="B4" s="23">
        <v>46180</v>
      </c>
      <c r="C4" s="25">
        <v>46183.666666999998</v>
      </c>
      <c r="D4" s="22" t="s">
        <v>91</v>
      </c>
      <c r="E4" s="22" t="s">
        <v>118</v>
      </c>
      <c r="F4" s="22" t="s">
        <v>76</v>
      </c>
      <c r="G4" s="22" t="s">
        <v>86</v>
      </c>
      <c r="H4" s="22">
        <v>97</v>
      </c>
      <c r="I4" s="20" t="str">
        <f>IF(OR($A4="",$H4=""),"",VLOOKUP($H4,SubjectBands,2,TRUE))</f>
        <v>10 to 99</v>
      </c>
      <c r="J4" s="22" t="s">
        <v>57</v>
      </c>
      <c r="K4" s="22" t="s">
        <v>92</v>
      </c>
      <c r="L4" s="20" t="str">
        <f t="shared" si="0"/>
        <v>Yes</v>
      </c>
      <c r="M4" s="24">
        <f>IF($L4="Yes",$C4+NotifyHours/24,"")</f>
        <v>46186.666666999998</v>
      </c>
      <c r="N4" s="25">
        <v>46188.583334000003</v>
      </c>
      <c r="O4" s="20">
        <f t="shared" si="1"/>
        <v>118</v>
      </c>
      <c r="P4" s="20" t="str">
        <f>IF($O4="","",VLOOKUP($O4,TimeBands,2,TRUE))</f>
        <v>72 hours to 1 week</v>
      </c>
      <c r="Q4" s="20" t="str">
        <f>IF($L4&lt;&gt;"Yes","",IF($N4="",IF(ReportDate&gt;$M4,"Overdue","Pending"),IF($N4&lt;=$M4,"Y","N")))</f>
        <v>N</v>
      </c>
      <c r="R4" s="20" t="str">
        <f t="shared" si="2"/>
        <v>No</v>
      </c>
      <c r="S4" s="22" t="s">
        <v>252</v>
      </c>
      <c r="T4" s="22" t="s">
        <v>97</v>
      </c>
      <c r="U4" s="22" t="s">
        <v>102</v>
      </c>
      <c r="V4" s="23">
        <v>46195</v>
      </c>
      <c r="W4" s="20" t="str">
        <f>IF($A4="","",IF(IF(OR($C4="",$E4="",$F4="",$K4="",$T4="",$U4=""),"missing required field; ","")&amp;IF(COUNTIF($A$2:$A$101,$A4)&gt;1,"duplicate ID; ","")&amp;IF($H4="","subjects affected missing; ","")&amp;IF(AND($B4&lt;&gt;"",$C4&lt;&gt;"",INT($C4)&lt;$B4),"aware before occurred; ","")&amp;IF(AND($N4&lt;&gt;"",$C4&lt;&gt;"",$N4&lt;$C4),"notified before aware; ","")&amp;IF(AND($L4="Yes",$N4="",$U4="Closed"),"closed without DPC notification; ","")&amp;IF(AND($N4&lt;&gt;"",$L4&lt;&gt;"Yes"),"notified although assessed not notifiable - confirm; ","")&amp;IF(AND($U4="Closed",$V4=""),"closed without closed date; ","")&amp;IF(AND($V4&lt;&gt;"",$C4&lt;&gt;"",$V4&lt;INT($C4)),"closed before aware; ","")&amp;IF(AND($C4&lt;&gt;"",$C4&gt;=ReportDate+1),"aware after snapshot date; ","")="","OK","Check: "&amp;IF(OR($C4="",$E4="",$F4="",$K4="",$T4="",$U4=""),"missing required field; ","")&amp;IF(COUNTIF($A$2:$A$101,$A4)&gt;1,"duplicate ID; ","")&amp;IF($H4="","subjects affected missing; ","")&amp;IF(AND($B4&lt;&gt;"",$C4&lt;&gt;"",INT($C4)&lt;$B4),"aware before occurred; ","")&amp;IF(AND($N4&lt;&gt;"",$C4&lt;&gt;"",$N4&lt;$C4),"notified before aware; ","")&amp;IF(AND($L4="Yes",$N4="",$U4="Closed"),"closed without DPC notification; ","")&amp;IF(AND($N4&lt;&gt;"",$L4&lt;&gt;"Yes"),"notified although assessed not notifiable - confirm; ","")&amp;IF(AND($U4="Closed",$V4=""),"closed without closed date; ","")&amp;IF(AND($V4&lt;&gt;"",$C4&lt;&gt;"",$V4&lt;INT($C4)),"closed before aware; ","")&amp;IF(AND($C4&lt;&gt;"",$C4&gt;=ReportDate+1),"aware after snapshot date; ","")))</f>
        <v>OK</v>
      </c>
      <c r="X4" s="22" t="s">
        <v>253</v>
      </c>
    </row>
    <row r="5" spans="1:24" x14ac:dyDescent="0.35">
      <c r="A5" s="22" t="s">
        <v>254</v>
      </c>
      <c r="B5" s="23">
        <v>46200</v>
      </c>
      <c r="C5" s="25">
        <v>46202.458333000002</v>
      </c>
      <c r="D5" s="22" t="s">
        <v>91</v>
      </c>
      <c r="E5" s="22" t="s">
        <v>120</v>
      </c>
      <c r="F5" s="22" t="s">
        <v>85</v>
      </c>
      <c r="G5" s="22" t="s">
        <v>86</v>
      </c>
      <c r="H5" s="22">
        <v>42</v>
      </c>
      <c r="I5" s="20" t="str">
        <f>IF(OR($A5="",$H5=""),"",VLOOKUP($H5,SubjectBands,2,TRUE))</f>
        <v>10 to 99</v>
      </c>
      <c r="J5" s="22" t="s">
        <v>57</v>
      </c>
      <c r="K5" s="22" t="s">
        <v>92</v>
      </c>
      <c r="L5" s="20" t="str">
        <f t="shared" si="0"/>
        <v>Yes</v>
      </c>
      <c r="M5" s="24">
        <f>IF($L5="Yes",$C5+NotifyHours/24,"")</f>
        <v>46205.458333000002</v>
      </c>
      <c r="N5" s="25">
        <v>46214.875</v>
      </c>
      <c r="O5" s="20">
        <f t="shared" si="1"/>
        <v>298</v>
      </c>
      <c r="P5" s="20" t="str">
        <f>IF($O5="","",VLOOKUP($O5,TimeBands,2,TRUE))</f>
        <v>More than 1 week</v>
      </c>
      <c r="Q5" s="20" t="str">
        <f>IF($L5&lt;&gt;"Yes","",IF($N5="",IF(ReportDate&gt;$M5,"Overdue","Pending"),IF($N5&lt;=$M5,"Y","N")))</f>
        <v>N</v>
      </c>
      <c r="R5" s="20" t="str">
        <f t="shared" si="2"/>
        <v>No</v>
      </c>
      <c r="S5" s="22" t="s">
        <v>255</v>
      </c>
      <c r="T5" s="22" t="s">
        <v>97</v>
      </c>
      <c r="U5" s="22" t="s">
        <v>102</v>
      </c>
      <c r="V5" s="23">
        <v>46219</v>
      </c>
      <c r="W5" s="20" t="str">
        <f>IF($A5="","",IF(IF(OR($C5="",$E5="",$F5="",$K5="",$T5="",$U5=""),"missing required field; ","")&amp;IF(COUNTIF($A$2:$A$101,$A5)&gt;1,"duplicate ID; ","")&amp;IF($H5="","subjects affected missing; ","")&amp;IF(AND($B5&lt;&gt;"",$C5&lt;&gt;"",INT($C5)&lt;$B5),"aware before occurred; ","")&amp;IF(AND($N5&lt;&gt;"",$C5&lt;&gt;"",$N5&lt;$C5),"notified before aware; ","")&amp;IF(AND($L5="Yes",$N5="",$U5="Closed"),"closed without DPC notification; ","")&amp;IF(AND($N5&lt;&gt;"",$L5&lt;&gt;"Yes"),"notified although assessed not notifiable - confirm; ","")&amp;IF(AND($U5="Closed",$V5=""),"closed without closed date; ","")&amp;IF(AND($V5&lt;&gt;"",$C5&lt;&gt;"",$V5&lt;INT($C5)),"closed before aware; ","")&amp;IF(AND($C5&lt;&gt;"",$C5&gt;=ReportDate+1),"aware after snapshot date; ","")="","OK","Check: "&amp;IF(OR($C5="",$E5="",$F5="",$K5="",$T5="",$U5=""),"missing required field; ","")&amp;IF(COUNTIF($A$2:$A$101,$A5)&gt;1,"duplicate ID; ","")&amp;IF($H5="","subjects affected missing; ","")&amp;IF(AND($B5&lt;&gt;"",$C5&lt;&gt;"",INT($C5)&lt;$B5),"aware before occurred; ","")&amp;IF(AND($N5&lt;&gt;"",$C5&lt;&gt;"",$N5&lt;$C5),"notified before aware; ","")&amp;IF(AND($L5="Yes",$N5="",$U5="Closed"),"closed without DPC notification; ","")&amp;IF(AND($N5&lt;&gt;"",$L5&lt;&gt;"Yes"),"notified although assessed not notifiable - confirm; ","")&amp;IF(AND($U5="Closed",$V5=""),"closed without closed date; ","")&amp;IF(AND($V5&lt;&gt;"",$C5&lt;&gt;"",$V5&lt;INT($C5)),"closed before aware; ","")&amp;IF(AND($C5&lt;&gt;"",$C5&gt;=ReportDate+1),"aware after snapshot date; ","")))</f>
        <v>OK</v>
      </c>
      <c r="X5" s="22" t="s">
        <v>256</v>
      </c>
    </row>
    <row r="6" spans="1:24" x14ac:dyDescent="0.35">
      <c r="A6" s="22" t="s">
        <v>257</v>
      </c>
      <c r="B6" s="23">
        <v>46217</v>
      </c>
      <c r="C6" s="25">
        <v>46217.361110999998</v>
      </c>
      <c r="D6" s="22" t="s">
        <v>81</v>
      </c>
      <c r="E6" s="22" t="s">
        <v>117</v>
      </c>
      <c r="F6" s="22" t="s">
        <v>85</v>
      </c>
      <c r="G6" s="22" t="s">
        <v>77</v>
      </c>
      <c r="H6" s="22">
        <v>863</v>
      </c>
      <c r="I6" s="20" t="str">
        <f>IF(OR($A6="",$H6=""),"",VLOOKUP($H6,SubjectBands,2,TRUE))</f>
        <v>100 to 1k</v>
      </c>
      <c r="J6" s="22" t="s">
        <v>57</v>
      </c>
      <c r="K6" s="22" t="s">
        <v>98</v>
      </c>
      <c r="L6" s="20" t="str">
        <f t="shared" si="0"/>
        <v>Yes</v>
      </c>
      <c r="M6" s="24">
        <f>IF($L6="Yes",$C6+NotifyHours/24,"")</f>
        <v>46220.361110999998</v>
      </c>
      <c r="N6" s="25">
        <v>46222.402778000003</v>
      </c>
      <c r="O6" s="20">
        <f t="shared" si="1"/>
        <v>121</v>
      </c>
      <c r="P6" s="20" t="str">
        <f>IF($O6="","",VLOOKUP($O6,TimeBands,2,TRUE))</f>
        <v>72 hours to 1 week</v>
      </c>
      <c r="Q6" s="20" t="str">
        <f>IF($L6&lt;&gt;"Yes","",IF($N6="",IF(ReportDate&gt;$M6,"Overdue","Pending"),IF($N6&lt;=$M6,"Y","N")))</f>
        <v>N</v>
      </c>
      <c r="R6" s="20" t="str">
        <f t="shared" si="2"/>
        <v>Yes (Art 34)</v>
      </c>
      <c r="S6" s="22" t="s">
        <v>258</v>
      </c>
      <c r="T6" s="22" t="s">
        <v>97</v>
      </c>
      <c r="U6" s="22" t="s">
        <v>102</v>
      </c>
      <c r="V6" s="23">
        <v>46225</v>
      </c>
      <c r="W6" s="20" t="str">
        <f>IF($A6="","",IF(IF(OR($C6="",$E6="",$F6="",$K6="",$T6="",$U6=""),"missing required field; ","")&amp;IF(COUNTIF($A$2:$A$101,$A6)&gt;1,"duplicate ID; ","")&amp;IF($H6="","subjects affected missing; ","")&amp;IF(AND($B6&lt;&gt;"",$C6&lt;&gt;"",INT($C6)&lt;$B6),"aware before occurred; ","")&amp;IF(AND($N6&lt;&gt;"",$C6&lt;&gt;"",$N6&lt;$C6),"notified before aware; ","")&amp;IF(AND($L6="Yes",$N6="",$U6="Closed"),"closed without DPC notification; ","")&amp;IF(AND($N6&lt;&gt;"",$L6&lt;&gt;"Yes"),"notified although assessed not notifiable - confirm; ","")&amp;IF(AND($U6="Closed",$V6=""),"closed without closed date; ","")&amp;IF(AND($V6&lt;&gt;"",$C6&lt;&gt;"",$V6&lt;INT($C6)),"closed before aware; ","")&amp;IF(AND($C6&lt;&gt;"",$C6&gt;=ReportDate+1),"aware after snapshot date; ","")="","OK","Check: "&amp;IF(OR($C6="",$E6="",$F6="",$K6="",$T6="",$U6=""),"missing required field; ","")&amp;IF(COUNTIF($A$2:$A$101,$A6)&gt;1,"duplicate ID; ","")&amp;IF($H6="","subjects affected missing; ","")&amp;IF(AND($B6&lt;&gt;"",$C6&lt;&gt;"",INT($C6)&lt;$B6),"aware before occurred; ","")&amp;IF(AND($N6&lt;&gt;"",$C6&lt;&gt;"",$N6&lt;$C6),"notified before aware; ","")&amp;IF(AND($L6="Yes",$N6="",$U6="Closed"),"closed without DPC notification; ","")&amp;IF(AND($N6&lt;&gt;"",$L6&lt;&gt;"Yes"),"notified although assessed not notifiable - confirm; ","")&amp;IF(AND($U6="Closed",$V6=""),"closed without closed date; ","")&amp;IF(AND($V6&lt;&gt;"",$C6&lt;&gt;"",$V6&lt;INT($C6)),"closed before aware; ","")&amp;IF(AND($C6&lt;&gt;"",$C6&gt;=ReportDate+1),"aware after snapshot date; ","")))</f>
        <v>OK</v>
      </c>
      <c r="X6" s="22" t="s">
        <v>259</v>
      </c>
    </row>
    <row r="7" spans="1:24" x14ac:dyDescent="0.35">
      <c r="A7" s="22" t="s">
        <v>260</v>
      </c>
      <c r="B7" s="23">
        <v>46231</v>
      </c>
      <c r="C7" s="25">
        <v>46233.638889000002</v>
      </c>
      <c r="D7" s="22" t="s">
        <v>91</v>
      </c>
      <c r="E7" s="22" t="s">
        <v>120</v>
      </c>
      <c r="F7" s="22" t="s">
        <v>85</v>
      </c>
      <c r="G7" s="22" t="s">
        <v>86</v>
      </c>
      <c r="H7" s="22">
        <v>78</v>
      </c>
      <c r="I7" s="20" t="str">
        <f>IF(OR($A7="",$H7=""),"",VLOOKUP($H7,SubjectBands,2,TRUE))</f>
        <v>10 to 99</v>
      </c>
      <c r="J7" s="22" t="s">
        <v>57</v>
      </c>
      <c r="K7" s="22" t="s">
        <v>92</v>
      </c>
      <c r="L7" s="20" t="str">
        <f t="shared" si="0"/>
        <v>Yes</v>
      </c>
      <c r="M7" s="24">
        <f>IF($L7="Yes",$C7+NotifyHours/24,"")</f>
        <v>46236.638889000002</v>
      </c>
      <c r="N7" s="25">
        <v>46235.472221999997</v>
      </c>
      <c r="O7" s="20">
        <f t="shared" si="1"/>
        <v>44</v>
      </c>
      <c r="P7" s="20" t="str">
        <f>IF($O7="","",VLOOKUP($O7,TimeBands,2,TRUE))</f>
        <v>24 hours to 72 hours</v>
      </c>
      <c r="Q7" s="20" t="str">
        <f>IF($L7&lt;&gt;"Yes","",IF($N7="",IF(ReportDate&gt;$M7,"Overdue","Pending"),IF($N7&lt;=$M7,"Y","N")))</f>
        <v>Y</v>
      </c>
      <c r="R7" s="20" t="str">
        <f t="shared" si="2"/>
        <v>No</v>
      </c>
      <c r="S7" s="22" t="s">
        <v>255</v>
      </c>
      <c r="T7" s="22" t="s">
        <v>97</v>
      </c>
      <c r="U7" s="22" t="s">
        <v>102</v>
      </c>
      <c r="V7" s="23">
        <v>46253</v>
      </c>
      <c r="W7" s="20" t="str">
        <f>IF($A7="","",IF(IF(OR($C7="",$E7="",$F7="",$K7="",$T7="",$U7=""),"missing required field; ","")&amp;IF(COUNTIF($A$2:$A$101,$A7)&gt;1,"duplicate ID; ","")&amp;IF($H7="","subjects affected missing; ","")&amp;IF(AND($B7&lt;&gt;"",$C7&lt;&gt;"",INT($C7)&lt;$B7),"aware before occurred; ","")&amp;IF(AND($N7&lt;&gt;"",$C7&lt;&gt;"",$N7&lt;$C7),"notified before aware; ","")&amp;IF(AND($L7="Yes",$N7="",$U7="Closed"),"closed without DPC notification; ","")&amp;IF(AND($N7&lt;&gt;"",$L7&lt;&gt;"Yes"),"notified although assessed not notifiable - confirm; ","")&amp;IF(AND($U7="Closed",$V7=""),"closed without closed date; ","")&amp;IF(AND($V7&lt;&gt;"",$C7&lt;&gt;"",$V7&lt;INT($C7)),"closed before aware; ","")&amp;IF(AND($C7&lt;&gt;"",$C7&gt;=ReportDate+1),"aware after snapshot date; ","")="","OK","Check: "&amp;IF(OR($C7="",$E7="",$F7="",$K7="",$T7="",$U7=""),"missing required field; ","")&amp;IF(COUNTIF($A$2:$A$101,$A7)&gt;1,"duplicate ID; ","")&amp;IF($H7="","subjects affected missing; ","")&amp;IF(AND($B7&lt;&gt;"",$C7&lt;&gt;"",INT($C7)&lt;$B7),"aware before occurred; ","")&amp;IF(AND($N7&lt;&gt;"",$C7&lt;&gt;"",$N7&lt;$C7),"notified before aware; ","")&amp;IF(AND($L7="Yes",$N7="",$U7="Closed"),"closed without DPC notification; ","")&amp;IF(AND($N7&lt;&gt;"",$L7&lt;&gt;"Yes"),"notified although assessed not notifiable - confirm; ","")&amp;IF(AND($U7="Closed",$V7=""),"closed without closed date; ","")&amp;IF(AND($V7&lt;&gt;"",$C7&lt;&gt;"",$V7&lt;INT($C7)),"closed before aware; ","")&amp;IF(AND($C7&lt;&gt;"",$C7&gt;=ReportDate+1),"aware after snapshot date; ","")))</f>
        <v>OK</v>
      </c>
      <c r="X7" s="22" t="s">
        <v>261</v>
      </c>
    </row>
    <row r="8" spans="1:24" x14ac:dyDescent="0.35">
      <c r="A8" s="22" t="s">
        <v>262</v>
      </c>
      <c r="B8" s="23">
        <v>46244</v>
      </c>
      <c r="C8" s="25">
        <v>46246.5</v>
      </c>
      <c r="D8" s="22" t="s">
        <v>90</v>
      </c>
      <c r="E8" s="22" t="s">
        <v>116</v>
      </c>
      <c r="F8" s="22" t="s">
        <v>85</v>
      </c>
      <c r="G8" s="22" t="s">
        <v>77</v>
      </c>
      <c r="H8" s="22">
        <v>92</v>
      </c>
      <c r="I8" s="20" t="str">
        <f>IF(OR($A8="",$H8=""),"",VLOOKUP($H8,SubjectBands,2,TRUE))</f>
        <v>10 to 99</v>
      </c>
      <c r="J8" s="22" t="s">
        <v>57</v>
      </c>
      <c r="K8" s="22" t="s">
        <v>92</v>
      </c>
      <c r="L8" s="20" t="str">
        <f t="shared" si="0"/>
        <v>Yes</v>
      </c>
      <c r="M8" s="24">
        <f>IF($L8="Yes",$C8+NotifyHours/24,"")</f>
        <v>46249.5</v>
      </c>
      <c r="N8" s="25">
        <v>46247.625</v>
      </c>
      <c r="O8" s="20">
        <f t="shared" si="1"/>
        <v>27</v>
      </c>
      <c r="P8" s="20" t="str">
        <f>IF($O8="","",VLOOKUP($O8,TimeBands,2,TRUE))</f>
        <v>24 hours to 72 hours</v>
      </c>
      <c r="Q8" s="20" t="str">
        <f>IF($L8&lt;&gt;"Yes","",IF($N8="",IF(ReportDate&gt;$M8,"Overdue","Pending"),IF($N8&lt;=$M8,"Y","N")))</f>
        <v>Y</v>
      </c>
      <c r="R8" s="20" t="str">
        <f t="shared" si="2"/>
        <v>No</v>
      </c>
      <c r="S8" s="22" t="s">
        <v>249</v>
      </c>
      <c r="T8" s="22" t="s">
        <v>97</v>
      </c>
      <c r="U8" s="22" t="s">
        <v>102</v>
      </c>
      <c r="V8" s="23">
        <v>46274</v>
      </c>
      <c r="W8" s="20" t="str">
        <f>IF($A8="","",IF(IF(OR($C8="",$E8="",$F8="",$K8="",$T8="",$U8=""),"missing required field; ","")&amp;IF(COUNTIF($A$2:$A$101,$A8)&gt;1,"duplicate ID; ","")&amp;IF($H8="","subjects affected missing; ","")&amp;IF(AND($B8&lt;&gt;"",$C8&lt;&gt;"",INT($C8)&lt;$B8),"aware before occurred; ","")&amp;IF(AND($N8&lt;&gt;"",$C8&lt;&gt;"",$N8&lt;$C8),"notified before aware; ","")&amp;IF(AND($L8="Yes",$N8="",$U8="Closed"),"closed without DPC notification; ","")&amp;IF(AND($N8&lt;&gt;"",$L8&lt;&gt;"Yes"),"notified although assessed not notifiable - confirm; ","")&amp;IF(AND($U8="Closed",$V8=""),"closed without closed date; ","")&amp;IF(AND($V8&lt;&gt;"",$C8&lt;&gt;"",$V8&lt;INT($C8)),"closed before aware; ","")&amp;IF(AND($C8&lt;&gt;"",$C8&gt;=ReportDate+1),"aware after snapshot date; ","")="","OK","Check: "&amp;IF(OR($C8="",$E8="",$F8="",$K8="",$T8="",$U8=""),"missing required field; ","")&amp;IF(COUNTIF($A$2:$A$101,$A8)&gt;1,"duplicate ID; ","")&amp;IF($H8="","subjects affected missing; ","")&amp;IF(AND($B8&lt;&gt;"",$C8&lt;&gt;"",INT($C8)&lt;$B8),"aware before occurred; ","")&amp;IF(AND($N8&lt;&gt;"",$C8&lt;&gt;"",$N8&lt;$C8),"notified before aware; ","")&amp;IF(AND($L8="Yes",$N8="",$U8="Closed"),"closed without DPC notification; ","")&amp;IF(AND($N8&lt;&gt;"",$L8&lt;&gt;"Yes"),"notified although assessed not notifiable - confirm; ","")&amp;IF(AND($U8="Closed",$V8=""),"closed without closed date; ","")&amp;IF(AND($V8&lt;&gt;"",$C8&lt;&gt;"",$V8&lt;INT($C8)),"closed before aware; ","")&amp;IF(AND($C8&lt;&gt;"",$C8&gt;=ReportDate+1),"aware after snapshot date; ","")))</f>
        <v>OK</v>
      </c>
      <c r="X8" s="22" t="s">
        <v>263</v>
      </c>
    </row>
    <row r="9" spans="1:24" x14ac:dyDescent="0.35">
      <c r="A9" s="22" t="s">
        <v>264</v>
      </c>
      <c r="B9" s="23">
        <v>46258</v>
      </c>
      <c r="C9" s="25">
        <v>46261.697916999998</v>
      </c>
      <c r="D9" s="22" t="s">
        <v>91</v>
      </c>
      <c r="E9" s="22" t="s">
        <v>115</v>
      </c>
      <c r="F9" s="22" t="s">
        <v>76</v>
      </c>
      <c r="G9" s="22" t="s">
        <v>86</v>
      </c>
      <c r="H9" s="22">
        <v>56</v>
      </c>
      <c r="I9" s="20" t="str">
        <f>IF(OR($A9="",$H9=""),"",VLOOKUP($H9,SubjectBands,2,TRUE))</f>
        <v>10 to 99</v>
      </c>
      <c r="J9" s="22" t="s">
        <v>57</v>
      </c>
      <c r="K9" s="22" t="s">
        <v>92</v>
      </c>
      <c r="L9" s="20" t="str">
        <f t="shared" si="0"/>
        <v>Yes</v>
      </c>
      <c r="M9" s="24">
        <f>IF($L9="Yes",$C9+NotifyHours/24,"")</f>
        <v>46264.697916999998</v>
      </c>
      <c r="N9" s="25">
        <v>46262.40625</v>
      </c>
      <c r="O9" s="20">
        <f t="shared" si="1"/>
        <v>17</v>
      </c>
      <c r="P9" s="20" t="str">
        <f>IF($O9="","",VLOOKUP($O9,TimeBands,2,TRUE))</f>
        <v>Less than 24 hours</v>
      </c>
      <c r="Q9" s="20" t="str">
        <f>IF($L9&lt;&gt;"Yes","",IF($N9="",IF(ReportDate&gt;$M9,"Overdue","Pending"),IF($N9&lt;=$M9,"Y","N")))</f>
        <v>Y</v>
      </c>
      <c r="R9" s="20" t="str">
        <f t="shared" si="2"/>
        <v>No</v>
      </c>
      <c r="S9" s="22" t="s">
        <v>265</v>
      </c>
      <c r="T9" s="22" t="s">
        <v>83</v>
      </c>
      <c r="U9" s="22" t="s">
        <v>102</v>
      </c>
      <c r="V9" s="23">
        <v>46269</v>
      </c>
      <c r="W9" s="20" t="str">
        <f>IF($A9="","",IF(IF(OR($C9="",$E9="",$F9="",$K9="",$T9="",$U9=""),"missing required field; ","")&amp;IF(COUNTIF($A$2:$A$101,$A9)&gt;1,"duplicate ID; ","")&amp;IF($H9="","subjects affected missing; ","")&amp;IF(AND($B9&lt;&gt;"",$C9&lt;&gt;"",INT($C9)&lt;$B9),"aware before occurred; ","")&amp;IF(AND($N9&lt;&gt;"",$C9&lt;&gt;"",$N9&lt;$C9),"notified before aware; ","")&amp;IF(AND($L9="Yes",$N9="",$U9="Closed"),"closed without DPC notification; ","")&amp;IF(AND($N9&lt;&gt;"",$L9&lt;&gt;"Yes"),"notified although assessed not notifiable - confirm; ","")&amp;IF(AND($U9="Closed",$V9=""),"closed without closed date; ","")&amp;IF(AND($V9&lt;&gt;"",$C9&lt;&gt;"",$V9&lt;INT($C9)),"closed before aware; ","")&amp;IF(AND($C9&lt;&gt;"",$C9&gt;=ReportDate+1),"aware after snapshot date; ","")="","OK","Check: "&amp;IF(OR($C9="",$E9="",$F9="",$K9="",$T9="",$U9=""),"missing required field; ","")&amp;IF(COUNTIF($A$2:$A$101,$A9)&gt;1,"duplicate ID; ","")&amp;IF($H9="","subjects affected missing; ","")&amp;IF(AND($B9&lt;&gt;"",$C9&lt;&gt;"",INT($C9)&lt;$B9),"aware before occurred; ","")&amp;IF(AND($N9&lt;&gt;"",$C9&lt;&gt;"",$N9&lt;$C9),"notified before aware; ","")&amp;IF(AND($L9="Yes",$N9="",$U9="Closed"),"closed without DPC notification; ","")&amp;IF(AND($N9&lt;&gt;"",$L9&lt;&gt;"Yes"),"notified although assessed not notifiable - confirm; ","")&amp;IF(AND($U9="Closed",$V9=""),"closed without closed date; ","")&amp;IF(AND($V9&lt;&gt;"",$C9&lt;&gt;"",$V9&lt;INT($C9)),"closed before aware; ","")&amp;IF(AND($C9&lt;&gt;"",$C9&gt;=ReportDate+1),"aware after snapshot date; ","")))</f>
        <v>OK</v>
      </c>
      <c r="X9" s="22" t="s">
        <v>266</v>
      </c>
    </row>
    <row r="10" spans="1:24" x14ac:dyDescent="0.35">
      <c r="A10" s="22" t="s">
        <v>267</v>
      </c>
      <c r="B10" s="23">
        <v>46272</v>
      </c>
      <c r="C10" s="25">
        <v>46275.416666999998</v>
      </c>
      <c r="D10" s="22" t="s">
        <v>81</v>
      </c>
      <c r="E10" s="22" t="s">
        <v>117</v>
      </c>
      <c r="F10" s="22" t="s">
        <v>85</v>
      </c>
      <c r="G10" s="22" t="s">
        <v>77</v>
      </c>
      <c r="H10" s="22">
        <v>84</v>
      </c>
      <c r="I10" s="20" t="str">
        <f>IF(OR($A10="",$H10=""),"",VLOOKUP($H10,SubjectBands,2,TRUE))</f>
        <v>10 to 99</v>
      </c>
      <c r="J10" s="22" t="s">
        <v>57</v>
      </c>
      <c r="K10" s="22" t="s">
        <v>92</v>
      </c>
      <c r="L10" s="20" t="str">
        <f t="shared" si="0"/>
        <v>Yes</v>
      </c>
      <c r="M10" s="24">
        <f>IF($L10="Yes",$C10+NotifyHours/24,"")</f>
        <v>46278.416666999998</v>
      </c>
      <c r="N10" s="25">
        <v>46276.791666999998</v>
      </c>
      <c r="O10" s="20">
        <f t="shared" si="1"/>
        <v>33</v>
      </c>
      <c r="P10" s="20" t="str">
        <f>IF($O10="","",VLOOKUP($O10,TimeBands,2,TRUE))</f>
        <v>24 hours to 72 hours</v>
      </c>
      <c r="Q10" s="20" t="str">
        <f>IF($L10&lt;&gt;"Yes","",IF($N10="",IF(ReportDate&gt;$M10,"Overdue","Pending"),IF($N10&lt;=$M10,"Y","N")))</f>
        <v>Y</v>
      </c>
      <c r="R10" s="20" t="str">
        <f t="shared" si="2"/>
        <v>No</v>
      </c>
      <c r="S10" s="22" t="s">
        <v>258</v>
      </c>
      <c r="T10" s="22" t="s">
        <v>97</v>
      </c>
      <c r="U10" s="22" t="s">
        <v>102</v>
      </c>
      <c r="V10" s="23">
        <v>46294</v>
      </c>
      <c r="W10" s="20" t="str">
        <f>IF($A10="","",IF(IF(OR($C10="",$E10="",$F10="",$K10="",$T10="",$U10=""),"missing required field; ","")&amp;IF(COUNTIF($A$2:$A$101,$A10)&gt;1,"duplicate ID; ","")&amp;IF($H10="","subjects affected missing; ","")&amp;IF(AND($B10&lt;&gt;"",$C10&lt;&gt;"",INT($C10)&lt;$B10),"aware before occurred; ","")&amp;IF(AND($N10&lt;&gt;"",$C10&lt;&gt;"",$N10&lt;$C10),"notified before aware; ","")&amp;IF(AND($L10="Yes",$N10="",$U10="Closed"),"closed without DPC notification; ","")&amp;IF(AND($N10&lt;&gt;"",$L10&lt;&gt;"Yes"),"notified although assessed not notifiable - confirm; ","")&amp;IF(AND($U10="Closed",$V10=""),"closed without closed date; ","")&amp;IF(AND($V10&lt;&gt;"",$C10&lt;&gt;"",$V10&lt;INT($C10)),"closed before aware; ","")&amp;IF(AND($C10&lt;&gt;"",$C10&gt;=ReportDate+1),"aware after snapshot date; ","")="","OK","Check: "&amp;IF(OR($C10="",$E10="",$F10="",$K10="",$T10="",$U10=""),"missing required field; ","")&amp;IF(COUNTIF($A$2:$A$101,$A10)&gt;1,"duplicate ID; ","")&amp;IF($H10="","subjects affected missing; ","")&amp;IF(AND($B10&lt;&gt;"",$C10&lt;&gt;"",INT($C10)&lt;$B10),"aware before occurred; ","")&amp;IF(AND($N10&lt;&gt;"",$C10&lt;&gt;"",$N10&lt;$C10),"notified before aware; ","")&amp;IF(AND($L10="Yes",$N10="",$U10="Closed"),"closed without DPC notification; ","")&amp;IF(AND($N10&lt;&gt;"",$L10&lt;&gt;"Yes"),"notified although assessed not notifiable - confirm; ","")&amp;IF(AND($U10="Closed",$V10=""),"closed without closed date; ","")&amp;IF(AND($V10&lt;&gt;"",$C10&lt;&gt;"",$V10&lt;INT($C10)),"closed before aware; ","")&amp;IF(AND($C10&lt;&gt;"",$C10&gt;=ReportDate+1),"aware after snapshot date; ","")))</f>
        <v>OK</v>
      </c>
      <c r="X10" s="22" t="s">
        <v>268</v>
      </c>
    </row>
    <row r="11" spans="1:24" x14ac:dyDescent="0.35">
      <c r="A11" s="22" t="s">
        <v>269</v>
      </c>
      <c r="B11" s="23">
        <v>46286</v>
      </c>
      <c r="C11" s="25">
        <v>46289.8125</v>
      </c>
      <c r="D11" s="22" t="s">
        <v>90</v>
      </c>
      <c r="E11" s="22" t="s">
        <v>116</v>
      </c>
      <c r="F11" s="22" t="s">
        <v>85</v>
      </c>
      <c r="G11" s="22" t="s">
        <v>77</v>
      </c>
      <c r="H11" s="22">
        <v>86</v>
      </c>
      <c r="I11" s="20" t="str">
        <f>IF(OR($A11="",$H11=""),"",VLOOKUP($H11,SubjectBands,2,TRUE))</f>
        <v>10 to 99</v>
      </c>
      <c r="J11" s="22" t="s">
        <v>57</v>
      </c>
      <c r="K11" s="22" t="s">
        <v>92</v>
      </c>
      <c r="L11" s="20" t="str">
        <f t="shared" si="0"/>
        <v>Yes</v>
      </c>
      <c r="M11" s="24">
        <f>IF($L11="Yes",$C11+NotifyHours/24,"")</f>
        <v>46292.8125</v>
      </c>
      <c r="N11" s="25">
        <v>46291.9375</v>
      </c>
      <c r="O11" s="20">
        <f t="shared" si="1"/>
        <v>51</v>
      </c>
      <c r="P11" s="20" t="str">
        <f>IF($O11="","",VLOOKUP($O11,TimeBands,2,TRUE))</f>
        <v>24 hours to 72 hours</v>
      </c>
      <c r="Q11" s="20" t="str">
        <f>IF($L11&lt;&gt;"Yes","",IF($N11="",IF(ReportDate&gt;$M11,"Overdue","Pending"),IF($N11&lt;=$M11,"Y","N")))</f>
        <v>Y</v>
      </c>
      <c r="R11" s="20" t="str">
        <f t="shared" si="2"/>
        <v>No</v>
      </c>
      <c r="S11" s="22" t="s">
        <v>249</v>
      </c>
      <c r="T11" s="22" t="s">
        <v>97</v>
      </c>
      <c r="U11" s="22" t="s">
        <v>102</v>
      </c>
      <c r="V11" s="23">
        <v>46311</v>
      </c>
      <c r="W11" s="20" t="str">
        <f>IF($A11="","",IF(IF(OR($C11="",$E11="",$F11="",$K11="",$T11="",$U11=""),"missing required field; ","")&amp;IF(COUNTIF($A$2:$A$101,$A11)&gt;1,"duplicate ID; ","")&amp;IF($H11="","subjects affected missing; ","")&amp;IF(AND($B11&lt;&gt;"",$C11&lt;&gt;"",INT($C11)&lt;$B11),"aware before occurred; ","")&amp;IF(AND($N11&lt;&gt;"",$C11&lt;&gt;"",$N11&lt;$C11),"notified before aware; ","")&amp;IF(AND($L11="Yes",$N11="",$U11="Closed"),"closed without DPC notification; ","")&amp;IF(AND($N11&lt;&gt;"",$L11&lt;&gt;"Yes"),"notified although assessed not notifiable - confirm; ","")&amp;IF(AND($U11="Closed",$V11=""),"closed without closed date; ","")&amp;IF(AND($V11&lt;&gt;"",$C11&lt;&gt;"",$V11&lt;INT($C11)),"closed before aware; ","")&amp;IF(AND($C11&lt;&gt;"",$C11&gt;=ReportDate+1),"aware after snapshot date; ","")="","OK","Check: "&amp;IF(OR($C11="",$E11="",$F11="",$K11="",$T11="",$U11=""),"missing required field; ","")&amp;IF(COUNTIF($A$2:$A$101,$A11)&gt;1,"duplicate ID; ","")&amp;IF($H11="","subjects affected missing; ","")&amp;IF(AND($B11&lt;&gt;"",$C11&lt;&gt;"",INT($C11)&lt;$B11),"aware before occurred; ","")&amp;IF(AND($N11&lt;&gt;"",$C11&lt;&gt;"",$N11&lt;$C11),"notified before aware; ","")&amp;IF(AND($L11="Yes",$N11="",$U11="Closed"),"closed without DPC notification; ","")&amp;IF(AND($N11&lt;&gt;"",$L11&lt;&gt;"Yes"),"notified although assessed not notifiable - confirm; ","")&amp;IF(AND($U11="Closed",$V11=""),"closed without closed date; ","")&amp;IF(AND($V11&lt;&gt;"",$C11&lt;&gt;"",$V11&lt;INT($C11)),"closed before aware; ","")&amp;IF(AND($C11&lt;&gt;"",$C11&gt;=ReportDate+1),"aware after snapshot date; ","")))</f>
        <v>OK</v>
      </c>
      <c r="X11" s="22" t="s">
        <v>270</v>
      </c>
    </row>
    <row r="12" spans="1:24" x14ac:dyDescent="0.35">
      <c r="A12" s="22" t="s">
        <v>271</v>
      </c>
      <c r="B12" s="23">
        <v>46301</v>
      </c>
      <c r="C12" s="25">
        <v>46304.590278000003</v>
      </c>
      <c r="D12" s="22" t="s">
        <v>81</v>
      </c>
      <c r="E12" s="22" t="s">
        <v>119</v>
      </c>
      <c r="F12" s="22" t="s">
        <v>76</v>
      </c>
      <c r="G12" s="22" t="s">
        <v>77</v>
      </c>
      <c r="H12" s="22">
        <v>964</v>
      </c>
      <c r="I12" s="20" t="str">
        <f>IF(OR($A12="",$H12=""),"",VLOOKUP($H12,SubjectBands,2,TRUE))</f>
        <v>100 to 1k</v>
      </c>
      <c r="J12" s="22" t="s">
        <v>57</v>
      </c>
      <c r="K12" s="22" t="s">
        <v>92</v>
      </c>
      <c r="L12" s="20" t="str">
        <f t="shared" si="0"/>
        <v>Yes</v>
      </c>
      <c r="M12" s="24">
        <f>IF($L12="Yes",$C12+NotifyHours/24,"")</f>
        <v>46307.590278000003</v>
      </c>
      <c r="N12" s="25">
        <v>46315.090278000003</v>
      </c>
      <c r="O12" s="20">
        <f t="shared" si="1"/>
        <v>252</v>
      </c>
      <c r="P12" s="20" t="str">
        <f>IF($O12="","",VLOOKUP($O12,TimeBands,2,TRUE))</f>
        <v>More than 1 week</v>
      </c>
      <c r="Q12" s="20" t="str">
        <f>IF($L12&lt;&gt;"Yes","",IF($N12="",IF(ReportDate&gt;$M12,"Overdue","Pending"),IF($N12&lt;=$M12,"Y","N")))</f>
        <v>N</v>
      </c>
      <c r="R12" s="20" t="str">
        <f t="shared" si="2"/>
        <v>No</v>
      </c>
      <c r="S12" s="22" t="s">
        <v>272</v>
      </c>
      <c r="T12" s="22" t="s">
        <v>105</v>
      </c>
      <c r="U12" s="22" t="s">
        <v>102</v>
      </c>
      <c r="V12" s="23">
        <v>46325</v>
      </c>
      <c r="W12" s="20" t="str">
        <f>IF($A12="","",IF(IF(OR($C12="",$E12="",$F12="",$K12="",$T12="",$U12=""),"missing required field; ","")&amp;IF(COUNTIF($A$2:$A$101,$A12)&gt;1,"duplicate ID; ","")&amp;IF($H12="","subjects affected missing; ","")&amp;IF(AND($B12&lt;&gt;"",$C12&lt;&gt;"",INT($C12)&lt;$B12),"aware before occurred; ","")&amp;IF(AND($N12&lt;&gt;"",$C12&lt;&gt;"",$N12&lt;$C12),"notified before aware; ","")&amp;IF(AND($L12="Yes",$N12="",$U12="Closed"),"closed without DPC notification; ","")&amp;IF(AND($N12&lt;&gt;"",$L12&lt;&gt;"Yes"),"notified although assessed not notifiable - confirm; ","")&amp;IF(AND($U12="Closed",$V12=""),"closed without closed date; ","")&amp;IF(AND($V12&lt;&gt;"",$C12&lt;&gt;"",$V12&lt;INT($C12)),"closed before aware; ","")&amp;IF(AND($C12&lt;&gt;"",$C12&gt;=ReportDate+1),"aware after snapshot date; ","")="","OK","Check: "&amp;IF(OR($C12="",$E12="",$F12="",$K12="",$T12="",$U12=""),"missing required field; ","")&amp;IF(COUNTIF($A$2:$A$101,$A12)&gt;1,"duplicate ID; ","")&amp;IF($H12="","subjects affected missing; ","")&amp;IF(AND($B12&lt;&gt;"",$C12&lt;&gt;"",INT($C12)&lt;$B12),"aware before occurred; ","")&amp;IF(AND($N12&lt;&gt;"",$C12&lt;&gt;"",$N12&lt;$C12),"notified before aware; ","")&amp;IF(AND($L12="Yes",$N12="",$U12="Closed"),"closed without DPC notification; ","")&amp;IF(AND($N12&lt;&gt;"",$L12&lt;&gt;"Yes"),"notified although assessed not notifiable - confirm; ","")&amp;IF(AND($U12="Closed",$V12=""),"closed without closed date; ","")&amp;IF(AND($V12&lt;&gt;"",$C12&lt;&gt;"",$V12&lt;INT($C12)),"closed before aware; ","")&amp;IF(AND($C12&lt;&gt;"",$C12&gt;=ReportDate+1),"aware after snapshot date; ","")))</f>
        <v>OK</v>
      </c>
      <c r="X12" s="22" t="s">
        <v>273</v>
      </c>
    </row>
    <row r="13" spans="1:24" x14ac:dyDescent="0.35">
      <c r="A13" s="22" t="s">
        <v>274</v>
      </c>
      <c r="B13" s="23">
        <v>46323</v>
      </c>
      <c r="C13" s="25">
        <v>46323.583333000002</v>
      </c>
      <c r="D13" s="22" t="s">
        <v>90</v>
      </c>
      <c r="E13" s="22" t="s">
        <v>109</v>
      </c>
      <c r="F13" s="22" t="s">
        <v>76</v>
      </c>
      <c r="G13" s="22" t="s">
        <v>77</v>
      </c>
      <c r="H13" s="22">
        <v>630</v>
      </c>
      <c r="I13" s="20" t="str">
        <f>IF(OR($A13="",$H13=""),"",VLOOKUP($H13,SubjectBands,2,TRUE))</f>
        <v>100 to 1k</v>
      </c>
      <c r="J13" s="22" t="s">
        <v>57</v>
      </c>
      <c r="K13" s="22" t="s">
        <v>92</v>
      </c>
      <c r="L13" s="20" t="str">
        <f t="shared" si="0"/>
        <v>Yes</v>
      </c>
      <c r="M13" s="24">
        <f>IF($L13="Yes",$C13+NotifyHours/24,"")</f>
        <v>46326.583333000002</v>
      </c>
      <c r="N13" s="25"/>
      <c r="O13" s="20" t="str">
        <f t="shared" si="1"/>
        <v/>
      </c>
      <c r="P13" s="20" t="str">
        <f>IF($O13="","",VLOOKUP($O13,TimeBands,2,TRUE))</f>
        <v/>
      </c>
      <c r="Q13" s="20" t="str">
        <f>IF($L13&lt;&gt;"Yes","",IF($N13="",IF(ReportDate&gt;$M13,"Overdue","Pending"),IF($N13&lt;=$M13,"Y","N")))</f>
        <v>Pending</v>
      </c>
      <c r="R13" s="20" t="str">
        <f t="shared" si="2"/>
        <v>No</v>
      </c>
      <c r="S13" s="22" t="s">
        <v>275</v>
      </c>
      <c r="T13" s="22" t="s">
        <v>74</v>
      </c>
      <c r="U13" s="22" t="s">
        <v>78</v>
      </c>
      <c r="V13" s="23"/>
      <c r="W13" s="20" t="str">
        <f>IF($A13="","",IF(IF(OR($C13="",$E13="",$F13="",$K13="",$T13="",$U13=""),"missing required field; ","")&amp;IF(COUNTIF($A$2:$A$101,$A13)&gt;1,"duplicate ID; ","")&amp;IF($H13="","subjects affected missing; ","")&amp;IF(AND($B13&lt;&gt;"",$C13&lt;&gt;"",INT($C13)&lt;$B13),"aware before occurred; ","")&amp;IF(AND($N13&lt;&gt;"",$C13&lt;&gt;"",$N13&lt;$C13),"notified before aware; ","")&amp;IF(AND($L13="Yes",$N13="",$U13="Closed"),"closed without DPC notification; ","")&amp;IF(AND($N13&lt;&gt;"",$L13&lt;&gt;"Yes"),"notified although assessed not notifiable - confirm; ","")&amp;IF(AND($U13="Closed",$V13=""),"closed without closed date; ","")&amp;IF(AND($V13&lt;&gt;"",$C13&lt;&gt;"",$V13&lt;INT($C13)),"closed before aware; ","")&amp;IF(AND($C13&lt;&gt;"",$C13&gt;=ReportDate+1),"aware after snapshot date; ","")="","OK","Check: "&amp;IF(OR($C13="",$E13="",$F13="",$K13="",$T13="",$U13=""),"missing required field; ","")&amp;IF(COUNTIF($A$2:$A$101,$A13)&gt;1,"duplicate ID; ","")&amp;IF($H13="","subjects affected missing; ","")&amp;IF(AND($B13&lt;&gt;"",$C13&lt;&gt;"",INT($C13)&lt;$B13),"aware before occurred; ","")&amp;IF(AND($N13&lt;&gt;"",$C13&lt;&gt;"",$N13&lt;$C13),"notified before aware; ","")&amp;IF(AND($L13="Yes",$N13="",$U13="Closed"),"closed without DPC notification; ","")&amp;IF(AND($N13&lt;&gt;"",$L13&lt;&gt;"Yes"),"notified although assessed not notifiable - confirm; ","")&amp;IF(AND($U13="Closed",$V13=""),"closed without closed date; ","")&amp;IF(AND($V13&lt;&gt;"",$C13&lt;&gt;"",$V13&lt;INT($C13)),"closed before aware; ","")&amp;IF(AND($C13&lt;&gt;"",$C13&gt;=ReportDate+1),"aware after snapshot date; ","")))</f>
        <v>OK</v>
      </c>
      <c r="X13" s="22" t="s">
        <v>276</v>
      </c>
    </row>
    <row r="14" spans="1:24" x14ac:dyDescent="0.35">
      <c r="A14" s="22"/>
      <c r="B14" s="23"/>
      <c r="C14" s="25"/>
      <c r="D14" s="22"/>
      <c r="E14" s="22"/>
      <c r="F14" s="22"/>
      <c r="G14" s="22"/>
      <c r="H14" s="22"/>
      <c r="I14" s="20" t="str">
        <f>IF(OR($A14="",$H14=""),"",VLOOKUP($H14,SubjectBands,2,TRUE))</f>
        <v/>
      </c>
      <c r="J14" s="22"/>
      <c r="K14" s="22"/>
      <c r="L14" s="20" t="str">
        <f t="shared" si="0"/>
        <v/>
      </c>
      <c r="M14" s="24" t="str">
        <f>IF($L14="Yes",$C14+NotifyHours/24,"")</f>
        <v/>
      </c>
      <c r="N14" s="25"/>
      <c r="O14" s="20" t="str">
        <f t="shared" si="1"/>
        <v/>
      </c>
      <c r="P14" s="20" t="str">
        <f>IF($O14="","",VLOOKUP($O14,TimeBands,2,TRUE))</f>
        <v/>
      </c>
      <c r="Q14" s="20" t="str">
        <f>IF($L14&lt;&gt;"Yes","",IF($N14="",IF(ReportDate&gt;$M14,"Overdue","Pending"),IF($N14&lt;=$M14,"Y","N")))</f>
        <v/>
      </c>
      <c r="R14" s="20" t="str">
        <f t="shared" si="2"/>
        <v/>
      </c>
      <c r="S14" s="22"/>
      <c r="T14" s="22"/>
      <c r="U14" s="22"/>
      <c r="V14" s="23"/>
      <c r="W14" s="20" t="str">
        <f>IF($A14="","",IF(IF(OR($C14="",$E14="",$F14="",$K14="",$T14="",$U14=""),"missing required field; ","")&amp;IF(COUNTIF($A$2:$A$101,$A14)&gt;1,"duplicate ID; ","")&amp;IF($H14="","subjects affected missing; ","")&amp;IF(AND($B14&lt;&gt;"",$C14&lt;&gt;"",INT($C14)&lt;$B14),"aware before occurred; ","")&amp;IF(AND($N14&lt;&gt;"",$C14&lt;&gt;"",$N14&lt;$C14),"notified before aware; ","")&amp;IF(AND($L14="Yes",$N14="",$U14="Closed"),"closed without DPC notification; ","")&amp;IF(AND($N14&lt;&gt;"",$L14&lt;&gt;"Yes"),"notified although assessed not notifiable - confirm; ","")&amp;IF(AND($U14="Closed",$V14=""),"closed without closed date; ","")&amp;IF(AND($V14&lt;&gt;"",$C14&lt;&gt;"",$V14&lt;INT($C14)),"closed before aware; ","")&amp;IF(AND($C14&lt;&gt;"",$C14&gt;=ReportDate+1),"aware after snapshot date; ","")="","OK","Check: "&amp;IF(OR($C14="",$E14="",$F14="",$K14="",$T14="",$U14=""),"missing required field; ","")&amp;IF(COUNTIF($A$2:$A$101,$A14)&gt;1,"duplicate ID; ","")&amp;IF($H14="","subjects affected missing; ","")&amp;IF(AND($B14&lt;&gt;"",$C14&lt;&gt;"",INT($C14)&lt;$B14),"aware before occurred; ","")&amp;IF(AND($N14&lt;&gt;"",$C14&lt;&gt;"",$N14&lt;$C14),"notified before aware; ","")&amp;IF(AND($L14="Yes",$N14="",$U14="Closed"),"closed without DPC notification; ","")&amp;IF(AND($N14&lt;&gt;"",$L14&lt;&gt;"Yes"),"notified although assessed not notifiable - confirm; ","")&amp;IF(AND($U14="Closed",$V14=""),"closed without closed date; ","")&amp;IF(AND($V14&lt;&gt;"",$C14&lt;&gt;"",$V14&lt;INT($C14)),"closed before aware; ","")&amp;IF(AND($C14&lt;&gt;"",$C14&gt;=ReportDate+1),"aware after snapshot date; ","")))</f>
        <v/>
      </c>
      <c r="X14" s="22"/>
    </row>
    <row r="15" spans="1:24" x14ac:dyDescent="0.35">
      <c r="A15" s="22"/>
      <c r="B15" s="23"/>
      <c r="C15" s="25"/>
      <c r="D15" s="22"/>
      <c r="E15" s="22"/>
      <c r="F15" s="22"/>
      <c r="G15" s="22"/>
      <c r="H15" s="22"/>
      <c r="I15" s="20" t="str">
        <f>IF(OR($A15="",$H15=""),"",VLOOKUP($H15,SubjectBands,2,TRUE))</f>
        <v/>
      </c>
      <c r="J15" s="22"/>
      <c r="K15" s="22"/>
      <c r="L15" s="20" t="str">
        <f t="shared" si="0"/>
        <v/>
      </c>
      <c r="M15" s="24" t="str">
        <f>IF($L15="Yes",$C15+NotifyHours/24,"")</f>
        <v/>
      </c>
      <c r="N15" s="25"/>
      <c r="O15" s="20" t="str">
        <f t="shared" si="1"/>
        <v/>
      </c>
      <c r="P15" s="20" t="str">
        <f>IF($O15="","",VLOOKUP($O15,TimeBands,2,TRUE))</f>
        <v/>
      </c>
      <c r="Q15" s="20" t="str">
        <f>IF($L15&lt;&gt;"Yes","",IF($N15="",IF(ReportDate&gt;$M15,"Overdue","Pending"),IF($N15&lt;=$M15,"Y","N")))</f>
        <v/>
      </c>
      <c r="R15" s="20" t="str">
        <f t="shared" si="2"/>
        <v/>
      </c>
      <c r="S15" s="22"/>
      <c r="T15" s="22"/>
      <c r="U15" s="22"/>
      <c r="V15" s="23"/>
      <c r="W15" s="20" t="str">
        <f>IF($A15="","",IF(IF(OR($C15="",$E15="",$F15="",$K15="",$T15="",$U15=""),"missing required field; ","")&amp;IF(COUNTIF($A$2:$A$101,$A15)&gt;1,"duplicate ID; ","")&amp;IF($H15="","subjects affected missing; ","")&amp;IF(AND($B15&lt;&gt;"",$C15&lt;&gt;"",INT($C15)&lt;$B15),"aware before occurred; ","")&amp;IF(AND($N15&lt;&gt;"",$C15&lt;&gt;"",$N15&lt;$C15),"notified before aware; ","")&amp;IF(AND($L15="Yes",$N15="",$U15="Closed"),"closed without DPC notification; ","")&amp;IF(AND($N15&lt;&gt;"",$L15&lt;&gt;"Yes"),"notified although assessed not notifiable - confirm; ","")&amp;IF(AND($U15="Closed",$V15=""),"closed without closed date; ","")&amp;IF(AND($V15&lt;&gt;"",$C15&lt;&gt;"",$V15&lt;INT($C15)),"closed before aware; ","")&amp;IF(AND($C15&lt;&gt;"",$C15&gt;=ReportDate+1),"aware after snapshot date; ","")="","OK","Check: "&amp;IF(OR($C15="",$E15="",$F15="",$K15="",$T15="",$U15=""),"missing required field; ","")&amp;IF(COUNTIF($A$2:$A$101,$A15)&gt;1,"duplicate ID; ","")&amp;IF($H15="","subjects affected missing; ","")&amp;IF(AND($B15&lt;&gt;"",$C15&lt;&gt;"",INT($C15)&lt;$B15),"aware before occurred; ","")&amp;IF(AND($N15&lt;&gt;"",$C15&lt;&gt;"",$N15&lt;$C15),"notified before aware; ","")&amp;IF(AND($L15="Yes",$N15="",$U15="Closed"),"closed without DPC notification; ","")&amp;IF(AND($N15&lt;&gt;"",$L15&lt;&gt;"Yes"),"notified although assessed not notifiable - confirm; ","")&amp;IF(AND($U15="Closed",$V15=""),"closed without closed date; ","")&amp;IF(AND($V15&lt;&gt;"",$C15&lt;&gt;"",$V15&lt;INT($C15)),"closed before aware; ","")&amp;IF(AND($C15&lt;&gt;"",$C15&gt;=ReportDate+1),"aware after snapshot date; ","")))</f>
        <v/>
      </c>
      <c r="X15" s="22"/>
    </row>
    <row r="16" spans="1:24" x14ac:dyDescent="0.35">
      <c r="A16" s="22"/>
      <c r="B16" s="23"/>
      <c r="C16" s="25"/>
      <c r="D16" s="22"/>
      <c r="E16" s="22"/>
      <c r="F16" s="22"/>
      <c r="G16" s="22"/>
      <c r="H16" s="22"/>
      <c r="I16" s="20" t="str">
        <f>IF(OR($A16="",$H16=""),"",VLOOKUP($H16,SubjectBands,2,TRUE))</f>
        <v/>
      </c>
      <c r="J16" s="22"/>
      <c r="K16" s="22"/>
      <c r="L16" s="20" t="str">
        <f t="shared" si="0"/>
        <v/>
      </c>
      <c r="M16" s="24" t="str">
        <f>IF($L16="Yes",$C16+NotifyHours/24,"")</f>
        <v/>
      </c>
      <c r="N16" s="25"/>
      <c r="O16" s="20" t="str">
        <f t="shared" si="1"/>
        <v/>
      </c>
      <c r="P16" s="20" t="str">
        <f>IF($O16="","",VLOOKUP($O16,TimeBands,2,TRUE))</f>
        <v/>
      </c>
      <c r="Q16" s="20" t="str">
        <f>IF($L16&lt;&gt;"Yes","",IF($N16="",IF(ReportDate&gt;$M16,"Overdue","Pending"),IF($N16&lt;=$M16,"Y","N")))</f>
        <v/>
      </c>
      <c r="R16" s="20" t="str">
        <f t="shared" si="2"/>
        <v/>
      </c>
      <c r="S16" s="22"/>
      <c r="T16" s="22"/>
      <c r="U16" s="22"/>
      <c r="V16" s="23"/>
      <c r="W16" s="20" t="str">
        <f>IF($A16="","",IF(IF(OR($C16="",$E16="",$F16="",$K16="",$T16="",$U16=""),"missing required field; ","")&amp;IF(COUNTIF($A$2:$A$101,$A16)&gt;1,"duplicate ID; ","")&amp;IF($H16="","subjects affected missing; ","")&amp;IF(AND($B16&lt;&gt;"",$C16&lt;&gt;"",INT($C16)&lt;$B16),"aware before occurred; ","")&amp;IF(AND($N16&lt;&gt;"",$C16&lt;&gt;"",$N16&lt;$C16),"notified before aware; ","")&amp;IF(AND($L16="Yes",$N16="",$U16="Closed"),"closed without DPC notification; ","")&amp;IF(AND($N16&lt;&gt;"",$L16&lt;&gt;"Yes"),"notified although assessed not notifiable - confirm; ","")&amp;IF(AND($U16="Closed",$V16=""),"closed without closed date; ","")&amp;IF(AND($V16&lt;&gt;"",$C16&lt;&gt;"",$V16&lt;INT($C16)),"closed before aware; ","")&amp;IF(AND($C16&lt;&gt;"",$C16&gt;=ReportDate+1),"aware after snapshot date; ","")="","OK","Check: "&amp;IF(OR($C16="",$E16="",$F16="",$K16="",$T16="",$U16=""),"missing required field; ","")&amp;IF(COUNTIF($A$2:$A$101,$A16)&gt;1,"duplicate ID; ","")&amp;IF($H16="","subjects affected missing; ","")&amp;IF(AND($B16&lt;&gt;"",$C16&lt;&gt;"",INT($C16)&lt;$B16),"aware before occurred; ","")&amp;IF(AND($N16&lt;&gt;"",$C16&lt;&gt;"",$N16&lt;$C16),"notified before aware; ","")&amp;IF(AND($L16="Yes",$N16="",$U16="Closed"),"closed without DPC notification; ","")&amp;IF(AND($N16&lt;&gt;"",$L16&lt;&gt;"Yes"),"notified although assessed not notifiable - confirm; ","")&amp;IF(AND($U16="Closed",$V16=""),"closed without closed date; ","")&amp;IF(AND($V16&lt;&gt;"",$C16&lt;&gt;"",$V16&lt;INT($C16)),"closed before aware; ","")&amp;IF(AND($C16&lt;&gt;"",$C16&gt;=ReportDate+1),"aware after snapshot date; ","")))</f>
        <v/>
      </c>
      <c r="X16" s="22"/>
    </row>
    <row r="17" spans="1:24" x14ac:dyDescent="0.35">
      <c r="A17" s="22"/>
      <c r="B17" s="23"/>
      <c r="C17" s="25"/>
      <c r="D17" s="22"/>
      <c r="E17" s="22"/>
      <c r="F17" s="22"/>
      <c r="G17" s="22"/>
      <c r="H17" s="22"/>
      <c r="I17" s="20" t="str">
        <f>IF(OR($A17="",$H17=""),"",VLOOKUP($H17,SubjectBands,2,TRUE))</f>
        <v/>
      </c>
      <c r="J17" s="22"/>
      <c r="K17" s="22"/>
      <c r="L17" s="20" t="str">
        <f t="shared" si="0"/>
        <v/>
      </c>
      <c r="M17" s="24" t="str">
        <f>IF($L17="Yes",$C17+NotifyHours/24,"")</f>
        <v/>
      </c>
      <c r="N17" s="25"/>
      <c r="O17" s="20" t="str">
        <f t="shared" si="1"/>
        <v/>
      </c>
      <c r="P17" s="20" t="str">
        <f>IF($O17="","",VLOOKUP($O17,TimeBands,2,TRUE))</f>
        <v/>
      </c>
      <c r="Q17" s="20" t="str">
        <f>IF($L17&lt;&gt;"Yes","",IF($N17="",IF(ReportDate&gt;$M17,"Overdue","Pending"),IF($N17&lt;=$M17,"Y","N")))</f>
        <v/>
      </c>
      <c r="R17" s="20" t="str">
        <f t="shared" si="2"/>
        <v/>
      </c>
      <c r="S17" s="22"/>
      <c r="T17" s="22"/>
      <c r="U17" s="22"/>
      <c r="V17" s="23"/>
      <c r="W17" s="20" t="str">
        <f>IF($A17="","",IF(IF(OR($C17="",$E17="",$F17="",$K17="",$T17="",$U17=""),"missing required field; ","")&amp;IF(COUNTIF($A$2:$A$101,$A17)&gt;1,"duplicate ID; ","")&amp;IF($H17="","subjects affected missing; ","")&amp;IF(AND($B17&lt;&gt;"",$C17&lt;&gt;"",INT($C17)&lt;$B17),"aware before occurred; ","")&amp;IF(AND($N17&lt;&gt;"",$C17&lt;&gt;"",$N17&lt;$C17),"notified before aware; ","")&amp;IF(AND($L17="Yes",$N17="",$U17="Closed"),"closed without DPC notification; ","")&amp;IF(AND($N17&lt;&gt;"",$L17&lt;&gt;"Yes"),"notified although assessed not notifiable - confirm; ","")&amp;IF(AND($U17="Closed",$V17=""),"closed without closed date; ","")&amp;IF(AND($V17&lt;&gt;"",$C17&lt;&gt;"",$V17&lt;INT($C17)),"closed before aware; ","")&amp;IF(AND($C17&lt;&gt;"",$C17&gt;=ReportDate+1),"aware after snapshot date; ","")="","OK","Check: "&amp;IF(OR($C17="",$E17="",$F17="",$K17="",$T17="",$U17=""),"missing required field; ","")&amp;IF(COUNTIF($A$2:$A$101,$A17)&gt;1,"duplicate ID; ","")&amp;IF($H17="","subjects affected missing; ","")&amp;IF(AND($B17&lt;&gt;"",$C17&lt;&gt;"",INT($C17)&lt;$B17),"aware before occurred; ","")&amp;IF(AND($N17&lt;&gt;"",$C17&lt;&gt;"",$N17&lt;$C17),"notified before aware; ","")&amp;IF(AND($L17="Yes",$N17="",$U17="Closed"),"closed without DPC notification; ","")&amp;IF(AND($N17&lt;&gt;"",$L17&lt;&gt;"Yes"),"notified although assessed not notifiable - confirm; ","")&amp;IF(AND($U17="Closed",$V17=""),"closed without closed date; ","")&amp;IF(AND($V17&lt;&gt;"",$C17&lt;&gt;"",$V17&lt;INT($C17)),"closed before aware; ","")&amp;IF(AND($C17&lt;&gt;"",$C17&gt;=ReportDate+1),"aware after snapshot date; ","")))</f>
        <v/>
      </c>
      <c r="X17" s="22"/>
    </row>
    <row r="18" spans="1:24" x14ac:dyDescent="0.35">
      <c r="A18" s="22"/>
      <c r="B18" s="23"/>
      <c r="C18" s="25"/>
      <c r="D18" s="22"/>
      <c r="E18" s="22"/>
      <c r="F18" s="22"/>
      <c r="G18" s="22"/>
      <c r="H18" s="22"/>
      <c r="I18" s="20" t="str">
        <f>IF(OR($A18="",$H18=""),"",VLOOKUP($H18,SubjectBands,2,TRUE))</f>
        <v/>
      </c>
      <c r="J18" s="22"/>
      <c r="K18" s="22"/>
      <c r="L18" s="20" t="str">
        <f t="shared" si="0"/>
        <v/>
      </c>
      <c r="M18" s="24" t="str">
        <f>IF($L18="Yes",$C18+NotifyHours/24,"")</f>
        <v/>
      </c>
      <c r="N18" s="25"/>
      <c r="O18" s="20" t="str">
        <f t="shared" si="1"/>
        <v/>
      </c>
      <c r="P18" s="20" t="str">
        <f>IF($O18="","",VLOOKUP($O18,TimeBands,2,TRUE))</f>
        <v/>
      </c>
      <c r="Q18" s="20" t="str">
        <f>IF($L18&lt;&gt;"Yes","",IF($N18="",IF(ReportDate&gt;$M18,"Overdue","Pending"),IF($N18&lt;=$M18,"Y","N")))</f>
        <v/>
      </c>
      <c r="R18" s="20" t="str">
        <f t="shared" si="2"/>
        <v/>
      </c>
      <c r="S18" s="22"/>
      <c r="T18" s="22"/>
      <c r="U18" s="22"/>
      <c r="V18" s="23"/>
      <c r="W18" s="20" t="str">
        <f>IF($A18="","",IF(IF(OR($C18="",$E18="",$F18="",$K18="",$T18="",$U18=""),"missing required field; ","")&amp;IF(COUNTIF($A$2:$A$101,$A18)&gt;1,"duplicate ID; ","")&amp;IF($H18="","subjects affected missing; ","")&amp;IF(AND($B18&lt;&gt;"",$C18&lt;&gt;"",INT($C18)&lt;$B18),"aware before occurred; ","")&amp;IF(AND($N18&lt;&gt;"",$C18&lt;&gt;"",$N18&lt;$C18),"notified before aware; ","")&amp;IF(AND($L18="Yes",$N18="",$U18="Closed"),"closed without DPC notification; ","")&amp;IF(AND($N18&lt;&gt;"",$L18&lt;&gt;"Yes"),"notified although assessed not notifiable - confirm; ","")&amp;IF(AND($U18="Closed",$V18=""),"closed without closed date; ","")&amp;IF(AND($V18&lt;&gt;"",$C18&lt;&gt;"",$V18&lt;INT($C18)),"closed before aware; ","")&amp;IF(AND($C18&lt;&gt;"",$C18&gt;=ReportDate+1),"aware after snapshot date; ","")="","OK","Check: "&amp;IF(OR($C18="",$E18="",$F18="",$K18="",$T18="",$U18=""),"missing required field; ","")&amp;IF(COUNTIF($A$2:$A$101,$A18)&gt;1,"duplicate ID; ","")&amp;IF($H18="","subjects affected missing; ","")&amp;IF(AND($B18&lt;&gt;"",$C18&lt;&gt;"",INT($C18)&lt;$B18),"aware before occurred; ","")&amp;IF(AND($N18&lt;&gt;"",$C18&lt;&gt;"",$N18&lt;$C18),"notified before aware; ","")&amp;IF(AND($L18="Yes",$N18="",$U18="Closed"),"closed without DPC notification; ","")&amp;IF(AND($N18&lt;&gt;"",$L18&lt;&gt;"Yes"),"notified although assessed not notifiable - confirm; ","")&amp;IF(AND($U18="Closed",$V18=""),"closed without closed date; ","")&amp;IF(AND($V18&lt;&gt;"",$C18&lt;&gt;"",$V18&lt;INT($C18)),"closed before aware; ","")&amp;IF(AND($C18&lt;&gt;"",$C18&gt;=ReportDate+1),"aware after snapshot date; ","")))</f>
        <v/>
      </c>
      <c r="X18" s="22"/>
    </row>
    <row r="19" spans="1:24" x14ac:dyDescent="0.35">
      <c r="A19" s="22"/>
      <c r="B19" s="23"/>
      <c r="C19" s="25"/>
      <c r="D19" s="22"/>
      <c r="E19" s="22"/>
      <c r="F19" s="22"/>
      <c r="G19" s="22"/>
      <c r="H19" s="22"/>
      <c r="I19" s="20" t="str">
        <f>IF(OR($A19="",$H19=""),"",VLOOKUP($H19,SubjectBands,2,TRUE))</f>
        <v/>
      </c>
      <c r="J19" s="22"/>
      <c r="K19" s="22"/>
      <c r="L19" s="20" t="str">
        <f t="shared" si="0"/>
        <v/>
      </c>
      <c r="M19" s="24" t="str">
        <f>IF($L19="Yes",$C19+NotifyHours/24,"")</f>
        <v/>
      </c>
      <c r="N19" s="25"/>
      <c r="O19" s="20" t="str">
        <f t="shared" si="1"/>
        <v/>
      </c>
      <c r="P19" s="20" t="str">
        <f>IF($O19="","",VLOOKUP($O19,TimeBands,2,TRUE))</f>
        <v/>
      </c>
      <c r="Q19" s="20" t="str">
        <f>IF($L19&lt;&gt;"Yes","",IF($N19="",IF(ReportDate&gt;$M19,"Overdue","Pending"),IF($N19&lt;=$M19,"Y","N")))</f>
        <v/>
      </c>
      <c r="R19" s="20" t="str">
        <f t="shared" si="2"/>
        <v/>
      </c>
      <c r="S19" s="22"/>
      <c r="T19" s="22"/>
      <c r="U19" s="22"/>
      <c r="V19" s="23"/>
      <c r="W19" s="20" t="str">
        <f>IF($A19="","",IF(IF(OR($C19="",$E19="",$F19="",$K19="",$T19="",$U19=""),"missing required field; ","")&amp;IF(COUNTIF($A$2:$A$101,$A19)&gt;1,"duplicate ID; ","")&amp;IF($H19="","subjects affected missing; ","")&amp;IF(AND($B19&lt;&gt;"",$C19&lt;&gt;"",INT($C19)&lt;$B19),"aware before occurred; ","")&amp;IF(AND($N19&lt;&gt;"",$C19&lt;&gt;"",$N19&lt;$C19),"notified before aware; ","")&amp;IF(AND($L19="Yes",$N19="",$U19="Closed"),"closed without DPC notification; ","")&amp;IF(AND($N19&lt;&gt;"",$L19&lt;&gt;"Yes"),"notified although assessed not notifiable - confirm; ","")&amp;IF(AND($U19="Closed",$V19=""),"closed without closed date; ","")&amp;IF(AND($V19&lt;&gt;"",$C19&lt;&gt;"",$V19&lt;INT($C19)),"closed before aware; ","")&amp;IF(AND($C19&lt;&gt;"",$C19&gt;=ReportDate+1),"aware after snapshot date; ","")="","OK","Check: "&amp;IF(OR($C19="",$E19="",$F19="",$K19="",$T19="",$U19=""),"missing required field; ","")&amp;IF(COUNTIF($A$2:$A$101,$A19)&gt;1,"duplicate ID; ","")&amp;IF($H19="","subjects affected missing; ","")&amp;IF(AND($B19&lt;&gt;"",$C19&lt;&gt;"",INT($C19)&lt;$B19),"aware before occurred; ","")&amp;IF(AND($N19&lt;&gt;"",$C19&lt;&gt;"",$N19&lt;$C19),"notified before aware; ","")&amp;IF(AND($L19="Yes",$N19="",$U19="Closed"),"closed without DPC notification; ","")&amp;IF(AND($N19&lt;&gt;"",$L19&lt;&gt;"Yes"),"notified although assessed not notifiable - confirm; ","")&amp;IF(AND($U19="Closed",$V19=""),"closed without closed date; ","")&amp;IF(AND($V19&lt;&gt;"",$C19&lt;&gt;"",$V19&lt;INT($C19)),"closed before aware; ","")&amp;IF(AND($C19&lt;&gt;"",$C19&gt;=ReportDate+1),"aware after snapshot date; ","")))</f>
        <v/>
      </c>
      <c r="X19" s="22"/>
    </row>
    <row r="20" spans="1:24" x14ac:dyDescent="0.35">
      <c r="A20" s="22"/>
      <c r="B20" s="23"/>
      <c r="C20" s="25"/>
      <c r="D20" s="22"/>
      <c r="E20" s="22"/>
      <c r="F20" s="22"/>
      <c r="G20" s="22"/>
      <c r="H20" s="22"/>
      <c r="I20" s="20" t="str">
        <f>IF(OR($A20="",$H20=""),"",VLOOKUP($H20,SubjectBands,2,TRUE))</f>
        <v/>
      </c>
      <c r="J20" s="22"/>
      <c r="K20" s="22"/>
      <c r="L20" s="20" t="str">
        <f t="shared" si="0"/>
        <v/>
      </c>
      <c r="M20" s="24" t="str">
        <f>IF($L20="Yes",$C20+NotifyHours/24,"")</f>
        <v/>
      </c>
      <c r="N20" s="25"/>
      <c r="O20" s="20" t="str">
        <f t="shared" si="1"/>
        <v/>
      </c>
      <c r="P20" s="20" t="str">
        <f>IF($O20="","",VLOOKUP($O20,TimeBands,2,TRUE))</f>
        <v/>
      </c>
      <c r="Q20" s="20" t="str">
        <f>IF($L20&lt;&gt;"Yes","",IF($N20="",IF(ReportDate&gt;$M20,"Overdue","Pending"),IF($N20&lt;=$M20,"Y","N")))</f>
        <v/>
      </c>
      <c r="R20" s="20" t="str">
        <f t="shared" si="2"/>
        <v/>
      </c>
      <c r="S20" s="22"/>
      <c r="T20" s="22"/>
      <c r="U20" s="22"/>
      <c r="V20" s="23"/>
      <c r="W20" s="20" t="str">
        <f>IF($A20="","",IF(IF(OR($C20="",$E20="",$F20="",$K20="",$T20="",$U20=""),"missing required field; ","")&amp;IF(COUNTIF($A$2:$A$101,$A20)&gt;1,"duplicate ID; ","")&amp;IF($H20="","subjects affected missing; ","")&amp;IF(AND($B20&lt;&gt;"",$C20&lt;&gt;"",INT($C20)&lt;$B20),"aware before occurred; ","")&amp;IF(AND($N20&lt;&gt;"",$C20&lt;&gt;"",$N20&lt;$C20),"notified before aware; ","")&amp;IF(AND($L20="Yes",$N20="",$U20="Closed"),"closed without DPC notification; ","")&amp;IF(AND($N20&lt;&gt;"",$L20&lt;&gt;"Yes"),"notified although assessed not notifiable - confirm; ","")&amp;IF(AND($U20="Closed",$V20=""),"closed without closed date; ","")&amp;IF(AND($V20&lt;&gt;"",$C20&lt;&gt;"",$V20&lt;INT($C20)),"closed before aware; ","")&amp;IF(AND($C20&lt;&gt;"",$C20&gt;=ReportDate+1),"aware after snapshot date; ","")="","OK","Check: "&amp;IF(OR($C20="",$E20="",$F20="",$K20="",$T20="",$U20=""),"missing required field; ","")&amp;IF(COUNTIF($A$2:$A$101,$A20)&gt;1,"duplicate ID; ","")&amp;IF($H20="","subjects affected missing; ","")&amp;IF(AND($B20&lt;&gt;"",$C20&lt;&gt;"",INT($C20)&lt;$B20),"aware before occurred; ","")&amp;IF(AND($N20&lt;&gt;"",$C20&lt;&gt;"",$N20&lt;$C20),"notified before aware; ","")&amp;IF(AND($L20="Yes",$N20="",$U20="Closed"),"closed without DPC notification; ","")&amp;IF(AND($N20&lt;&gt;"",$L20&lt;&gt;"Yes"),"notified although assessed not notifiable - confirm; ","")&amp;IF(AND($U20="Closed",$V20=""),"closed without closed date; ","")&amp;IF(AND($V20&lt;&gt;"",$C20&lt;&gt;"",$V20&lt;INT($C20)),"closed before aware; ","")&amp;IF(AND($C20&lt;&gt;"",$C20&gt;=ReportDate+1),"aware after snapshot date; ","")))</f>
        <v/>
      </c>
      <c r="X20" s="22"/>
    </row>
    <row r="21" spans="1:24" x14ac:dyDescent="0.35">
      <c r="A21" s="22"/>
      <c r="B21" s="23"/>
      <c r="C21" s="25"/>
      <c r="D21" s="22"/>
      <c r="E21" s="22"/>
      <c r="F21" s="22"/>
      <c r="G21" s="22"/>
      <c r="H21" s="22"/>
      <c r="I21" s="20" t="str">
        <f>IF(OR($A21="",$H21=""),"",VLOOKUP($H21,SubjectBands,2,TRUE))</f>
        <v/>
      </c>
      <c r="J21" s="22"/>
      <c r="K21" s="22"/>
      <c r="L21" s="20" t="str">
        <f t="shared" si="0"/>
        <v/>
      </c>
      <c r="M21" s="24" t="str">
        <f>IF($L21="Yes",$C21+NotifyHours/24,"")</f>
        <v/>
      </c>
      <c r="N21" s="25"/>
      <c r="O21" s="20" t="str">
        <f t="shared" si="1"/>
        <v/>
      </c>
      <c r="P21" s="20" t="str">
        <f>IF($O21="","",VLOOKUP($O21,TimeBands,2,TRUE))</f>
        <v/>
      </c>
      <c r="Q21" s="20" t="str">
        <f>IF($L21&lt;&gt;"Yes","",IF($N21="",IF(ReportDate&gt;$M21,"Overdue","Pending"),IF($N21&lt;=$M21,"Y","N")))</f>
        <v/>
      </c>
      <c r="R21" s="20" t="str">
        <f t="shared" si="2"/>
        <v/>
      </c>
      <c r="S21" s="22"/>
      <c r="T21" s="22"/>
      <c r="U21" s="22"/>
      <c r="V21" s="23"/>
      <c r="W21" s="20" t="str">
        <f>IF($A21="","",IF(IF(OR($C21="",$E21="",$F21="",$K21="",$T21="",$U21=""),"missing required field; ","")&amp;IF(COUNTIF($A$2:$A$101,$A21)&gt;1,"duplicate ID; ","")&amp;IF($H21="","subjects affected missing; ","")&amp;IF(AND($B21&lt;&gt;"",$C21&lt;&gt;"",INT($C21)&lt;$B21),"aware before occurred; ","")&amp;IF(AND($N21&lt;&gt;"",$C21&lt;&gt;"",$N21&lt;$C21),"notified before aware; ","")&amp;IF(AND($L21="Yes",$N21="",$U21="Closed"),"closed without DPC notification; ","")&amp;IF(AND($N21&lt;&gt;"",$L21&lt;&gt;"Yes"),"notified although assessed not notifiable - confirm; ","")&amp;IF(AND($U21="Closed",$V21=""),"closed without closed date; ","")&amp;IF(AND($V21&lt;&gt;"",$C21&lt;&gt;"",$V21&lt;INT($C21)),"closed before aware; ","")&amp;IF(AND($C21&lt;&gt;"",$C21&gt;=ReportDate+1),"aware after snapshot date; ","")="","OK","Check: "&amp;IF(OR($C21="",$E21="",$F21="",$K21="",$T21="",$U21=""),"missing required field; ","")&amp;IF(COUNTIF($A$2:$A$101,$A21)&gt;1,"duplicate ID; ","")&amp;IF($H21="","subjects affected missing; ","")&amp;IF(AND($B21&lt;&gt;"",$C21&lt;&gt;"",INT($C21)&lt;$B21),"aware before occurred; ","")&amp;IF(AND($N21&lt;&gt;"",$C21&lt;&gt;"",$N21&lt;$C21),"notified before aware; ","")&amp;IF(AND($L21="Yes",$N21="",$U21="Closed"),"closed without DPC notification; ","")&amp;IF(AND($N21&lt;&gt;"",$L21&lt;&gt;"Yes"),"notified although assessed not notifiable - confirm; ","")&amp;IF(AND($U21="Closed",$V21=""),"closed without closed date; ","")&amp;IF(AND($V21&lt;&gt;"",$C21&lt;&gt;"",$V21&lt;INT($C21)),"closed before aware; ","")&amp;IF(AND($C21&lt;&gt;"",$C21&gt;=ReportDate+1),"aware after snapshot date; ","")))</f>
        <v/>
      </c>
      <c r="X21" s="22"/>
    </row>
    <row r="22" spans="1:24" x14ac:dyDescent="0.35">
      <c r="A22" s="22"/>
      <c r="B22" s="23"/>
      <c r="C22" s="25"/>
      <c r="D22" s="22"/>
      <c r="E22" s="22"/>
      <c r="F22" s="22"/>
      <c r="G22" s="22"/>
      <c r="H22" s="22"/>
      <c r="I22" s="20" t="str">
        <f>IF(OR($A22="",$H22=""),"",VLOOKUP($H22,SubjectBands,2,TRUE))</f>
        <v/>
      </c>
      <c r="J22" s="22"/>
      <c r="K22" s="22"/>
      <c r="L22" s="20" t="str">
        <f t="shared" si="0"/>
        <v/>
      </c>
      <c r="M22" s="24" t="str">
        <f>IF($L22="Yes",$C22+NotifyHours/24,"")</f>
        <v/>
      </c>
      <c r="N22" s="25"/>
      <c r="O22" s="20" t="str">
        <f t="shared" si="1"/>
        <v/>
      </c>
      <c r="P22" s="20" t="str">
        <f>IF($O22="","",VLOOKUP($O22,TimeBands,2,TRUE))</f>
        <v/>
      </c>
      <c r="Q22" s="20" t="str">
        <f>IF($L22&lt;&gt;"Yes","",IF($N22="",IF(ReportDate&gt;$M22,"Overdue","Pending"),IF($N22&lt;=$M22,"Y","N")))</f>
        <v/>
      </c>
      <c r="R22" s="20" t="str">
        <f t="shared" si="2"/>
        <v/>
      </c>
      <c r="S22" s="22"/>
      <c r="T22" s="22"/>
      <c r="U22" s="22"/>
      <c r="V22" s="23"/>
      <c r="W22" s="20" t="str">
        <f>IF($A22="","",IF(IF(OR($C22="",$E22="",$F22="",$K22="",$T22="",$U22=""),"missing required field; ","")&amp;IF(COUNTIF($A$2:$A$101,$A22)&gt;1,"duplicate ID; ","")&amp;IF($H22="","subjects affected missing; ","")&amp;IF(AND($B22&lt;&gt;"",$C22&lt;&gt;"",INT($C22)&lt;$B22),"aware before occurred; ","")&amp;IF(AND($N22&lt;&gt;"",$C22&lt;&gt;"",$N22&lt;$C22),"notified before aware; ","")&amp;IF(AND($L22="Yes",$N22="",$U22="Closed"),"closed without DPC notification; ","")&amp;IF(AND($N22&lt;&gt;"",$L22&lt;&gt;"Yes"),"notified although assessed not notifiable - confirm; ","")&amp;IF(AND($U22="Closed",$V22=""),"closed without closed date; ","")&amp;IF(AND($V22&lt;&gt;"",$C22&lt;&gt;"",$V22&lt;INT($C22)),"closed before aware; ","")&amp;IF(AND($C22&lt;&gt;"",$C22&gt;=ReportDate+1),"aware after snapshot date; ","")="","OK","Check: "&amp;IF(OR($C22="",$E22="",$F22="",$K22="",$T22="",$U22=""),"missing required field; ","")&amp;IF(COUNTIF($A$2:$A$101,$A22)&gt;1,"duplicate ID; ","")&amp;IF($H22="","subjects affected missing; ","")&amp;IF(AND($B22&lt;&gt;"",$C22&lt;&gt;"",INT($C22)&lt;$B22),"aware before occurred; ","")&amp;IF(AND($N22&lt;&gt;"",$C22&lt;&gt;"",$N22&lt;$C22),"notified before aware; ","")&amp;IF(AND($L22="Yes",$N22="",$U22="Closed"),"closed without DPC notification; ","")&amp;IF(AND($N22&lt;&gt;"",$L22&lt;&gt;"Yes"),"notified although assessed not notifiable - confirm; ","")&amp;IF(AND($U22="Closed",$V22=""),"closed without closed date; ","")&amp;IF(AND($V22&lt;&gt;"",$C22&lt;&gt;"",$V22&lt;INT($C22)),"closed before aware; ","")&amp;IF(AND($C22&lt;&gt;"",$C22&gt;=ReportDate+1),"aware after snapshot date; ","")))</f>
        <v/>
      </c>
      <c r="X22" s="22"/>
    </row>
    <row r="23" spans="1:24" x14ac:dyDescent="0.35">
      <c r="A23" s="22"/>
      <c r="B23" s="23"/>
      <c r="C23" s="25"/>
      <c r="D23" s="22"/>
      <c r="E23" s="22"/>
      <c r="F23" s="22"/>
      <c r="G23" s="22"/>
      <c r="H23" s="22"/>
      <c r="I23" s="20" t="str">
        <f>IF(OR($A23="",$H23=""),"",VLOOKUP($H23,SubjectBands,2,TRUE))</f>
        <v/>
      </c>
      <c r="J23" s="22"/>
      <c r="K23" s="22"/>
      <c r="L23" s="20" t="str">
        <f t="shared" si="0"/>
        <v/>
      </c>
      <c r="M23" s="24" t="str">
        <f>IF($L23="Yes",$C23+NotifyHours/24,"")</f>
        <v/>
      </c>
      <c r="N23" s="25"/>
      <c r="O23" s="20" t="str">
        <f t="shared" si="1"/>
        <v/>
      </c>
      <c r="P23" s="20" t="str">
        <f>IF($O23="","",VLOOKUP($O23,TimeBands,2,TRUE))</f>
        <v/>
      </c>
      <c r="Q23" s="20" t="str">
        <f>IF($L23&lt;&gt;"Yes","",IF($N23="",IF(ReportDate&gt;$M23,"Overdue","Pending"),IF($N23&lt;=$M23,"Y","N")))</f>
        <v/>
      </c>
      <c r="R23" s="20" t="str">
        <f t="shared" si="2"/>
        <v/>
      </c>
      <c r="S23" s="22"/>
      <c r="T23" s="22"/>
      <c r="U23" s="22"/>
      <c r="V23" s="23"/>
      <c r="W23" s="20" t="str">
        <f>IF($A23="","",IF(IF(OR($C23="",$E23="",$F23="",$K23="",$T23="",$U23=""),"missing required field; ","")&amp;IF(COUNTIF($A$2:$A$101,$A23)&gt;1,"duplicate ID; ","")&amp;IF($H23="","subjects affected missing; ","")&amp;IF(AND($B23&lt;&gt;"",$C23&lt;&gt;"",INT($C23)&lt;$B23),"aware before occurred; ","")&amp;IF(AND($N23&lt;&gt;"",$C23&lt;&gt;"",$N23&lt;$C23),"notified before aware; ","")&amp;IF(AND($L23="Yes",$N23="",$U23="Closed"),"closed without DPC notification; ","")&amp;IF(AND($N23&lt;&gt;"",$L23&lt;&gt;"Yes"),"notified although assessed not notifiable - confirm; ","")&amp;IF(AND($U23="Closed",$V23=""),"closed without closed date; ","")&amp;IF(AND($V23&lt;&gt;"",$C23&lt;&gt;"",$V23&lt;INT($C23)),"closed before aware; ","")&amp;IF(AND($C23&lt;&gt;"",$C23&gt;=ReportDate+1),"aware after snapshot date; ","")="","OK","Check: "&amp;IF(OR($C23="",$E23="",$F23="",$K23="",$T23="",$U23=""),"missing required field; ","")&amp;IF(COUNTIF($A$2:$A$101,$A23)&gt;1,"duplicate ID; ","")&amp;IF($H23="","subjects affected missing; ","")&amp;IF(AND($B23&lt;&gt;"",$C23&lt;&gt;"",INT($C23)&lt;$B23),"aware before occurred; ","")&amp;IF(AND($N23&lt;&gt;"",$C23&lt;&gt;"",$N23&lt;$C23),"notified before aware; ","")&amp;IF(AND($L23="Yes",$N23="",$U23="Closed"),"closed without DPC notification; ","")&amp;IF(AND($N23&lt;&gt;"",$L23&lt;&gt;"Yes"),"notified although assessed not notifiable - confirm; ","")&amp;IF(AND($U23="Closed",$V23=""),"closed without closed date; ","")&amp;IF(AND($V23&lt;&gt;"",$C23&lt;&gt;"",$V23&lt;INT($C23)),"closed before aware; ","")&amp;IF(AND($C23&lt;&gt;"",$C23&gt;=ReportDate+1),"aware after snapshot date; ","")))</f>
        <v/>
      </c>
      <c r="X23" s="22"/>
    </row>
    <row r="24" spans="1:24" x14ac:dyDescent="0.35">
      <c r="A24" s="22"/>
      <c r="B24" s="23"/>
      <c r="C24" s="25"/>
      <c r="D24" s="22"/>
      <c r="E24" s="22"/>
      <c r="F24" s="22"/>
      <c r="G24" s="22"/>
      <c r="H24" s="22"/>
      <c r="I24" s="20" t="str">
        <f>IF(OR($A24="",$H24=""),"",VLOOKUP($H24,SubjectBands,2,TRUE))</f>
        <v/>
      </c>
      <c r="J24" s="22"/>
      <c r="K24" s="22"/>
      <c r="L24" s="20" t="str">
        <f t="shared" si="0"/>
        <v/>
      </c>
      <c r="M24" s="24" t="str">
        <f>IF($L24="Yes",$C24+NotifyHours/24,"")</f>
        <v/>
      </c>
      <c r="N24" s="25"/>
      <c r="O24" s="20" t="str">
        <f t="shared" si="1"/>
        <v/>
      </c>
      <c r="P24" s="20" t="str">
        <f>IF($O24="","",VLOOKUP($O24,TimeBands,2,TRUE))</f>
        <v/>
      </c>
      <c r="Q24" s="20" t="str">
        <f>IF($L24&lt;&gt;"Yes","",IF($N24="",IF(ReportDate&gt;$M24,"Overdue","Pending"),IF($N24&lt;=$M24,"Y","N")))</f>
        <v/>
      </c>
      <c r="R24" s="20" t="str">
        <f t="shared" si="2"/>
        <v/>
      </c>
      <c r="S24" s="22"/>
      <c r="T24" s="22"/>
      <c r="U24" s="22"/>
      <c r="V24" s="23"/>
      <c r="W24" s="20" t="str">
        <f>IF($A24="","",IF(IF(OR($C24="",$E24="",$F24="",$K24="",$T24="",$U24=""),"missing required field; ","")&amp;IF(COUNTIF($A$2:$A$101,$A24)&gt;1,"duplicate ID; ","")&amp;IF($H24="","subjects affected missing; ","")&amp;IF(AND($B24&lt;&gt;"",$C24&lt;&gt;"",INT($C24)&lt;$B24),"aware before occurred; ","")&amp;IF(AND($N24&lt;&gt;"",$C24&lt;&gt;"",$N24&lt;$C24),"notified before aware; ","")&amp;IF(AND($L24="Yes",$N24="",$U24="Closed"),"closed without DPC notification; ","")&amp;IF(AND($N24&lt;&gt;"",$L24&lt;&gt;"Yes"),"notified although assessed not notifiable - confirm; ","")&amp;IF(AND($U24="Closed",$V24=""),"closed without closed date; ","")&amp;IF(AND($V24&lt;&gt;"",$C24&lt;&gt;"",$V24&lt;INT($C24)),"closed before aware; ","")&amp;IF(AND($C24&lt;&gt;"",$C24&gt;=ReportDate+1),"aware after snapshot date; ","")="","OK","Check: "&amp;IF(OR($C24="",$E24="",$F24="",$K24="",$T24="",$U24=""),"missing required field; ","")&amp;IF(COUNTIF($A$2:$A$101,$A24)&gt;1,"duplicate ID; ","")&amp;IF($H24="","subjects affected missing; ","")&amp;IF(AND($B24&lt;&gt;"",$C24&lt;&gt;"",INT($C24)&lt;$B24),"aware before occurred; ","")&amp;IF(AND($N24&lt;&gt;"",$C24&lt;&gt;"",$N24&lt;$C24),"notified before aware; ","")&amp;IF(AND($L24="Yes",$N24="",$U24="Closed"),"closed without DPC notification; ","")&amp;IF(AND($N24&lt;&gt;"",$L24&lt;&gt;"Yes"),"notified although assessed not notifiable - confirm; ","")&amp;IF(AND($U24="Closed",$V24=""),"closed without closed date; ","")&amp;IF(AND($V24&lt;&gt;"",$C24&lt;&gt;"",$V24&lt;INT($C24)),"closed before aware; ","")&amp;IF(AND($C24&lt;&gt;"",$C24&gt;=ReportDate+1),"aware after snapshot date; ","")))</f>
        <v/>
      </c>
      <c r="X24" s="22"/>
    </row>
    <row r="25" spans="1:24" x14ac:dyDescent="0.35">
      <c r="A25" s="22"/>
      <c r="B25" s="23"/>
      <c r="C25" s="25"/>
      <c r="D25" s="22"/>
      <c r="E25" s="22"/>
      <c r="F25" s="22"/>
      <c r="G25" s="22"/>
      <c r="H25" s="22"/>
      <c r="I25" s="20" t="str">
        <f>IF(OR($A25="",$H25=""),"",VLOOKUP($H25,SubjectBands,2,TRUE))</f>
        <v/>
      </c>
      <c r="J25" s="22"/>
      <c r="K25" s="22"/>
      <c r="L25" s="20" t="str">
        <f t="shared" si="0"/>
        <v/>
      </c>
      <c r="M25" s="24" t="str">
        <f>IF($L25="Yes",$C25+NotifyHours/24,"")</f>
        <v/>
      </c>
      <c r="N25" s="25"/>
      <c r="O25" s="20" t="str">
        <f t="shared" si="1"/>
        <v/>
      </c>
      <c r="P25" s="20" t="str">
        <f>IF($O25="","",VLOOKUP($O25,TimeBands,2,TRUE))</f>
        <v/>
      </c>
      <c r="Q25" s="20" t="str">
        <f>IF($L25&lt;&gt;"Yes","",IF($N25="",IF(ReportDate&gt;$M25,"Overdue","Pending"),IF($N25&lt;=$M25,"Y","N")))</f>
        <v/>
      </c>
      <c r="R25" s="20" t="str">
        <f t="shared" si="2"/>
        <v/>
      </c>
      <c r="S25" s="22"/>
      <c r="T25" s="22"/>
      <c r="U25" s="22"/>
      <c r="V25" s="23"/>
      <c r="W25" s="20" t="str">
        <f>IF($A25="","",IF(IF(OR($C25="",$E25="",$F25="",$K25="",$T25="",$U25=""),"missing required field; ","")&amp;IF(COUNTIF($A$2:$A$101,$A25)&gt;1,"duplicate ID; ","")&amp;IF($H25="","subjects affected missing; ","")&amp;IF(AND($B25&lt;&gt;"",$C25&lt;&gt;"",INT($C25)&lt;$B25),"aware before occurred; ","")&amp;IF(AND($N25&lt;&gt;"",$C25&lt;&gt;"",$N25&lt;$C25),"notified before aware; ","")&amp;IF(AND($L25="Yes",$N25="",$U25="Closed"),"closed without DPC notification; ","")&amp;IF(AND($N25&lt;&gt;"",$L25&lt;&gt;"Yes"),"notified although assessed not notifiable - confirm; ","")&amp;IF(AND($U25="Closed",$V25=""),"closed without closed date; ","")&amp;IF(AND($V25&lt;&gt;"",$C25&lt;&gt;"",$V25&lt;INT($C25)),"closed before aware; ","")&amp;IF(AND($C25&lt;&gt;"",$C25&gt;=ReportDate+1),"aware after snapshot date; ","")="","OK","Check: "&amp;IF(OR($C25="",$E25="",$F25="",$K25="",$T25="",$U25=""),"missing required field; ","")&amp;IF(COUNTIF($A$2:$A$101,$A25)&gt;1,"duplicate ID; ","")&amp;IF($H25="","subjects affected missing; ","")&amp;IF(AND($B25&lt;&gt;"",$C25&lt;&gt;"",INT($C25)&lt;$B25),"aware before occurred; ","")&amp;IF(AND($N25&lt;&gt;"",$C25&lt;&gt;"",$N25&lt;$C25),"notified before aware; ","")&amp;IF(AND($L25="Yes",$N25="",$U25="Closed"),"closed without DPC notification; ","")&amp;IF(AND($N25&lt;&gt;"",$L25&lt;&gt;"Yes"),"notified although assessed not notifiable - confirm; ","")&amp;IF(AND($U25="Closed",$V25=""),"closed without closed date; ","")&amp;IF(AND($V25&lt;&gt;"",$C25&lt;&gt;"",$V25&lt;INT($C25)),"closed before aware; ","")&amp;IF(AND($C25&lt;&gt;"",$C25&gt;=ReportDate+1),"aware after snapshot date; ","")))</f>
        <v/>
      </c>
      <c r="X25" s="22"/>
    </row>
    <row r="26" spans="1:24" x14ac:dyDescent="0.35">
      <c r="A26" s="22"/>
      <c r="B26" s="23"/>
      <c r="C26" s="25"/>
      <c r="D26" s="22"/>
      <c r="E26" s="22"/>
      <c r="F26" s="22"/>
      <c r="G26" s="22"/>
      <c r="H26" s="22"/>
      <c r="I26" s="20" t="str">
        <f>IF(OR($A26="",$H26=""),"",VLOOKUP($H26,SubjectBands,2,TRUE))</f>
        <v/>
      </c>
      <c r="J26" s="22"/>
      <c r="K26" s="22"/>
      <c r="L26" s="20" t="str">
        <f t="shared" si="0"/>
        <v/>
      </c>
      <c r="M26" s="24" t="str">
        <f>IF($L26="Yes",$C26+NotifyHours/24,"")</f>
        <v/>
      </c>
      <c r="N26" s="25"/>
      <c r="O26" s="20" t="str">
        <f t="shared" si="1"/>
        <v/>
      </c>
      <c r="P26" s="20" t="str">
        <f>IF($O26="","",VLOOKUP($O26,TimeBands,2,TRUE))</f>
        <v/>
      </c>
      <c r="Q26" s="20" t="str">
        <f>IF($L26&lt;&gt;"Yes","",IF($N26="",IF(ReportDate&gt;$M26,"Overdue","Pending"),IF($N26&lt;=$M26,"Y","N")))</f>
        <v/>
      </c>
      <c r="R26" s="20" t="str">
        <f t="shared" si="2"/>
        <v/>
      </c>
      <c r="S26" s="22"/>
      <c r="T26" s="22"/>
      <c r="U26" s="22"/>
      <c r="V26" s="23"/>
      <c r="W26" s="20" t="str">
        <f>IF($A26="","",IF(IF(OR($C26="",$E26="",$F26="",$K26="",$T26="",$U26=""),"missing required field; ","")&amp;IF(COUNTIF($A$2:$A$101,$A26)&gt;1,"duplicate ID; ","")&amp;IF($H26="","subjects affected missing; ","")&amp;IF(AND($B26&lt;&gt;"",$C26&lt;&gt;"",INT($C26)&lt;$B26),"aware before occurred; ","")&amp;IF(AND($N26&lt;&gt;"",$C26&lt;&gt;"",$N26&lt;$C26),"notified before aware; ","")&amp;IF(AND($L26="Yes",$N26="",$U26="Closed"),"closed without DPC notification; ","")&amp;IF(AND($N26&lt;&gt;"",$L26&lt;&gt;"Yes"),"notified although assessed not notifiable - confirm; ","")&amp;IF(AND($U26="Closed",$V26=""),"closed without closed date; ","")&amp;IF(AND($V26&lt;&gt;"",$C26&lt;&gt;"",$V26&lt;INT($C26)),"closed before aware; ","")&amp;IF(AND($C26&lt;&gt;"",$C26&gt;=ReportDate+1),"aware after snapshot date; ","")="","OK","Check: "&amp;IF(OR($C26="",$E26="",$F26="",$K26="",$T26="",$U26=""),"missing required field; ","")&amp;IF(COUNTIF($A$2:$A$101,$A26)&gt;1,"duplicate ID; ","")&amp;IF($H26="","subjects affected missing; ","")&amp;IF(AND($B26&lt;&gt;"",$C26&lt;&gt;"",INT($C26)&lt;$B26),"aware before occurred; ","")&amp;IF(AND($N26&lt;&gt;"",$C26&lt;&gt;"",$N26&lt;$C26),"notified before aware; ","")&amp;IF(AND($L26="Yes",$N26="",$U26="Closed"),"closed without DPC notification; ","")&amp;IF(AND($N26&lt;&gt;"",$L26&lt;&gt;"Yes"),"notified although assessed not notifiable - confirm; ","")&amp;IF(AND($U26="Closed",$V26=""),"closed without closed date; ","")&amp;IF(AND($V26&lt;&gt;"",$C26&lt;&gt;"",$V26&lt;INT($C26)),"closed before aware; ","")&amp;IF(AND($C26&lt;&gt;"",$C26&gt;=ReportDate+1),"aware after snapshot date; ","")))</f>
        <v/>
      </c>
      <c r="X26" s="22"/>
    </row>
    <row r="27" spans="1:24" x14ac:dyDescent="0.35">
      <c r="A27" s="22"/>
      <c r="B27" s="23"/>
      <c r="C27" s="25"/>
      <c r="D27" s="22"/>
      <c r="E27" s="22"/>
      <c r="F27" s="22"/>
      <c r="G27" s="22"/>
      <c r="H27" s="22"/>
      <c r="I27" s="20" t="str">
        <f>IF(OR($A27="",$H27=""),"",VLOOKUP($H27,SubjectBands,2,TRUE))</f>
        <v/>
      </c>
      <c r="J27" s="22"/>
      <c r="K27" s="22"/>
      <c r="L27" s="20" t="str">
        <f t="shared" si="0"/>
        <v/>
      </c>
      <c r="M27" s="24" t="str">
        <f>IF($L27="Yes",$C27+NotifyHours/24,"")</f>
        <v/>
      </c>
      <c r="N27" s="25"/>
      <c r="O27" s="20" t="str">
        <f t="shared" si="1"/>
        <v/>
      </c>
      <c r="P27" s="20" t="str">
        <f>IF($O27="","",VLOOKUP($O27,TimeBands,2,TRUE))</f>
        <v/>
      </c>
      <c r="Q27" s="20" t="str">
        <f>IF($L27&lt;&gt;"Yes","",IF($N27="",IF(ReportDate&gt;$M27,"Overdue","Pending"),IF($N27&lt;=$M27,"Y","N")))</f>
        <v/>
      </c>
      <c r="R27" s="20" t="str">
        <f t="shared" si="2"/>
        <v/>
      </c>
      <c r="S27" s="22"/>
      <c r="T27" s="22"/>
      <c r="U27" s="22"/>
      <c r="V27" s="23"/>
      <c r="W27" s="20" t="str">
        <f>IF($A27="","",IF(IF(OR($C27="",$E27="",$F27="",$K27="",$T27="",$U27=""),"missing required field; ","")&amp;IF(COUNTIF($A$2:$A$101,$A27)&gt;1,"duplicate ID; ","")&amp;IF($H27="","subjects affected missing; ","")&amp;IF(AND($B27&lt;&gt;"",$C27&lt;&gt;"",INT($C27)&lt;$B27),"aware before occurred; ","")&amp;IF(AND($N27&lt;&gt;"",$C27&lt;&gt;"",$N27&lt;$C27),"notified before aware; ","")&amp;IF(AND($L27="Yes",$N27="",$U27="Closed"),"closed without DPC notification; ","")&amp;IF(AND($N27&lt;&gt;"",$L27&lt;&gt;"Yes"),"notified although assessed not notifiable - confirm; ","")&amp;IF(AND($U27="Closed",$V27=""),"closed without closed date; ","")&amp;IF(AND($V27&lt;&gt;"",$C27&lt;&gt;"",$V27&lt;INT($C27)),"closed before aware; ","")&amp;IF(AND($C27&lt;&gt;"",$C27&gt;=ReportDate+1),"aware after snapshot date; ","")="","OK","Check: "&amp;IF(OR($C27="",$E27="",$F27="",$K27="",$T27="",$U27=""),"missing required field; ","")&amp;IF(COUNTIF($A$2:$A$101,$A27)&gt;1,"duplicate ID; ","")&amp;IF($H27="","subjects affected missing; ","")&amp;IF(AND($B27&lt;&gt;"",$C27&lt;&gt;"",INT($C27)&lt;$B27),"aware before occurred; ","")&amp;IF(AND($N27&lt;&gt;"",$C27&lt;&gt;"",$N27&lt;$C27),"notified before aware; ","")&amp;IF(AND($L27="Yes",$N27="",$U27="Closed"),"closed without DPC notification; ","")&amp;IF(AND($N27&lt;&gt;"",$L27&lt;&gt;"Yes"),"notified although assessed not notifiable - confirm; ","")&amp;IF(AND($U27="Closed",$V27=""),"closed without closed date; ","")&amp;IF(AND($V27&lt;&gt;"",$C27&lt;&gt;"",$V27&lt;INT($C27)),"closed before aware; ","")&amp;IF(AND($C27&lt;&gt;"",$C27&gt;=ReportDate+1),"aware after snapshot date; ","")))</f>
        <v/>
      </c>
      <c r="X27" s="22"/>
    </row>
    <row r="28" spans="1:24" x14ac:dyDescent="0.35">
      <c r="A28" s="22"/>
      <c r="B28" s="23"/>
      <c r="C28" s="25"/>
      <c r="D28" s="22"/>
      <c r="E28" s="22"/>
      <c r="F28" s="22"/>
      <c r="G28" s="22"/>
      <c r="H28" s="22"/>
      <c r="I28" s="20" t="str">
        <f>IF(OR($A28="",$H28=""),"",VLOOKUP($H28,SubjectBands,2,TRUE))</f>
        <v/>
      </c>
      <c r="J28" s="22"/>
      <c r="K28" s="22"/>
      <c r="L28" s="20" t="str">
        <f t="shared" si="0"/>
        <v/>
      </c>
      <c r="M28" s="24" t="str">
        <f>IF($L28="Yes",$C28+NotifyHours/24,"")</f>
        <v/>
      </c>
      <c r="N28" s="25"/>
      <c r="O28" s="20" t="str">
        <f t="shared" si="1"/>
        <v/>
      </c>
      <c r="P28" s="20" t="str">
        <f>IF($O28="","",VLOOKUP($O28,TimeBands,2,TRUE))</f>
        <v/>
      </c>
      <c r="Q28" s="20" t="str">
        <f>IF($L28&lt;&gt;"Yes","",IF($N28="",IF(ReportDate&gt;$M28,"Overdue","Pending"),IF($N28&lt;=$M28,"Y","N")))</f>
        <v/>
      </c>
      <c r="R28" s="20" t="str">
        <f t="shared" si="2"/>
        <v/>
      </c>
      <c r="S28" s="22"/>
      <c r="T28" s="22"/>
      <c r="U28" s="22"/>
      <c r="V28" s="23"/>
      <c r="W28" s="20" t="str">
        <f>IF($A28="","",IF(IF(OR($C28="",$E28="",$F28="",$K28="",$T28="",$U28=""),"missing required field; ","")&amp;IF(COUNTIF($A$2:$A$101,$A28)&gt;1,"duplicate ID; ","")&amp;IF($H28="","subjects affected missing; ","")&amp;IF(AND($B28&lt;&gt;"",$C28&lt;&gt;"",INT($C28)&lt;$B28),"aware before occurred; ","")&amp;IF(AND($N28&lt;&gt;"",$C28&lt;&gt;"",$N28&lt;$C28),"notified before aware; ","")&amp;IF(AND($L28="Yes",$N28="",$U28="Closed"),"closed without DPC notification; ","")&amp;IF(AND($N28&lt;&gt;"",$L28&lt;&gt;"Yes"),"notified although assessed not notifiable - confirm; ","")&amp;IF(AND($U28="Closed",$V28=""),"closed without closed date; ","")&amp;IF(AND($V28&lt;&gt;"",$C28&lt;&gt;"",$V28&lt;INT($C28)),"closed before aware; ","")&amp;IF(AND($C28&lt;&gt;"",$C28&gt;=ReportDate+1),"aware after snapshot date; ","")="","OK","Check: "&amp;IF(OR($C28="",$E28="",$F28="",$K28="",$T28="",$U28=""),"missing required field; ","")&amp;IF(COUNTIF($A$2:$A$101,$A28)&gt;1,"duplicate ID; ","")&amp;IF($H28="","subjects affected missing; ","")&amp;IF(AND($B28&lt;&gt;"",$C28&lt;&gt;"",INT($C28)&lt;$B28),"aware before occurred; ","")&amp;IF(AND($N28&lt;&gt;"",$C28&lt;&gt;"",$N28&lt;$C28),"notified before aware; ","")&amp;IF(AND($L28="Yes",$N28="",$U28="Closed"),"closed without DPC notification; ","")&amp;IF(AND($N28&lt;&gt;"",$L28&lt;&gt;"Yes"),"notified although assessed not notifiable - confirm; ","")&amp;IF(AND($U28="Closed",$V28=""),"closed without closed date; ","")&amp;IF(AND($V28&lt;&gt;"",$C28&lt;&gt;"",$V28&lt;INT($C28)),"closed before aware; ","")&amp;IF(AND($C28&lt;&gt;"",$C28&gt;=ReportDate+1),"aware after snapshot date; ","")))</f>
        <v/>
      </c>
      <c r="X28" s="22"/>
    </row>
    <row r="29" spans="1:24" x14ac:dyDescent="0.35">
      <c r="A29" s="22"/>
      <c r="B29" s="23"/>
      <c r="C29" s="25"/>
      <c r="D29" s="22"/>
      <c r="E29" s="22"/>
      <c r="F29" s="22"/>
      <c r="G29" s="22"/>
      <c r="H29" s="22"/>
      <c r="I29" s="20" t="str">
        <f>IF(OR($A29="",$H29=""),"",VLOOKUP($H29,SubjectBands,2,TRUE))</f>
        <v/>
      </c>
      <c r="J29" s="22"/>
      <c r="K29" s="22"/>
      <c r="L29" s="20" t="str">
        <f t="shared" si="0"/>
        <v/>
      </c>
      <c r="M29" s="24" t="str">
        <f>IF($L29="Yes",$C29+NotifyHours/24,"")</f>
        <v/>
      </c>
      <c r="N29" s="25"/>
      <c r="O29" s="20" t="str">
        <f t="shared" si="1"/>
        <v/>
      </c>
      <c r="P29" s="20" t="str">
        <f>IF($O29="","",VLOOKUP($O29,TimeBands,2,TRUE))</f>
        <v/>
      </c>
      <c r="Q29" s="20" t="str">
        <f>IF($L29&lt;&gt;"Yes","",IF($N29="",IF(ReportDate&gt;$M29,"Overdue","Pending"),IF($N29&lt;=$M29,"Y","N")))</f>
        <v/>
      </c>
      <c r="R29" s="20" t="str">
        <f t="shared" si="2"/>
        <v/>
      </c>
      <c r="S29" s="22"/>
      <c r="T29" s="22"/>
      <c r="U29" s="22"/>
      <c r="V29" s="23"/>
      <c r="W29" s="20" t="str">
        <f>IF($A29="","",IF(IF(OR($C29="",$E29="",$F29="",$K29="",$T29="",$U29=""),"missing required field; ","")&amp;IF(COUNTIF($A$2:$A$101,$A29)&gt;1,"duplicate ID; ","")&amp;IF($H29="","subjects affected missing; ","")&amp;IF(AND($B29&lt;&gt;"",$C29&lt;&gt;"",INT($C29)&lt;$B29),"aware before occurred; ","")&amp;IF(AND($N29&lt;&gt;"",$C29&lt;&gt;"",$N29&lt;$C29),"notified before aware; ","")&amp;IF(AND($L29="Yes",$N29="",$U29="Closed"),"closed without DPC notification; ","")&amp;IF(AND($N29&lt;&gt;"",$L29&lt;&gt;"Yes"),"notified although assessed not notifiable - confirm; ","")&amp;IF(AND($U29="Closed",$V29=""),"closed without closed date; ","")&amp;IF(AND($V29&lt;&gt;"",$C29&lt;&gt;"",$V29&lt;INT($C29)),"closed before aware; ","")&amp;IF(AND($C29&lt;&gt;"",$C29&gt;=ReportDate+1),"aware after snapshot date; ","")="","OK","Check: "&amp;IF(OR($C29="",$E29="",$F29="",$K29="",$T29="",$U29=""),"missing required field; ","")&amp;IF(COUNTIF($A$2:$A$101,$A29)&gt;1,"duplicate ID; ","")&amp;IF($H29="","subjects affected missing; ","")&amp;IF(AND($B29&lt;&gt;"",$C29&lt;&gt;"",INT($C29)&lt;$B29),"aware before occurred; ","")&amp;IF(AND($N29&lt;&gt;"",$C29&lt;&gt;"",$N29&lt;$C29),"notified before aware; ","")&amp;IF(AND($L29="Yes",$N29="",$U29="Closed"),"closed without DPC notification; ","")&amp;IF(AND($N29&lt;&gt;"",$L29&lt;&gt;"Yes"),"notified although assessed not notifiable - confirm; ","")&amp;IF(AND($U29="Closed",$V29=""),"closed without closed date; ","")&amp;IF(AND($V29&lt;&gt;"",$C29&lt;&gt;"",$V29&lt;INT($C29)),"closed before aware; ","")&amp;IF(AND($C29&lt;&gt;"",$C29&gt;=ReportDate+1),"aware after snapshot date; ","")))</f>
        <v/>
      </c>
      <c r="X29" s="22"/>
    </row>
    <row r="30" spans="1:24" x14ac:dyDescent="0.35">
      <c r="A30" s="22"/>
      <c r="B30" s="23"/>
      <c r="C30" s="25"/>
      <c r="D30" s="22"/>
      <c r="E30" s="22"/>
      <c r="F30" s="22"/>
      <c r="G30" s="22"/>
      <c r="H30" s="22"/>
      <c r="I30" s="20" t="str">
        <f>IF(OR($A30="",$H30=""),"",VLOOKUP($H30,SubjectBands,2,TRUE))</f>
        <v/>
      </c>
      <c r="J30" s="22"/>
      <c r="K30" s="22"/>
      <c r="L30" s="20" t="str">
        <f t="shared" si="0"/>
        <v/>
      </c>
      <c r="M30" s="24" t="str">
        <f>IF($L30="Yes",$C30+NotifyHours/24,"")</f>
        <v/>
      </c>
      <c r="N30" s="25"/>
      <c r="O30" s="20" t="str">
        <f t="shared" si="1"/>
        <v/>
      </c>
      <c r="P30" s="20" t="str">
        <f>IF($O30="","",VLOOKUP($O30,TimeBands,2,TRUE))</f>
        <v/>
      </c>
      <c r="Q30" s="20" t="str">
        <f>IF($L30&lt;&gt;"Yes","",IF($N30="",IF(ReportDate&gt;$M30,"Overdue","Pending"),IF($N30&lt;=$M30,"Y","N")))</f>
        <v/>
      </c>
      <c r="R30" s="20" t="str">
        <f t="shared" si="2"/>
        <v/>
      </c>
      <c r="S30" s="22"/>
      <c r="T30" s="22"/>
      <c r="U30" s="22"/>
      <c r="V30" s="23"/>
      <c r="W30" s="20" t="str">
        <f>IF($A30="","",IF(IF(OR($C30="",$E30="",$F30="",$K30="",$T30="",$U30=""),"missing required field; ","")&amp;IF(COUNTIF($A$2:$A$101,$A30)&gt;1,"duplicate ID; ","")&amp;IF($H30="","subjects affected missing; ","")&amp;IF(AND($B30&lt;&gt;"",$C30&lt;&gt;"",INT($C30)&lt;$B30),"aware before occurred; ","")&amp;IF(AND($N30&lt;&gt;"",$C30&lt;&gt;"",$N30&lt;$C30),"notified before aware; ","")&amp;IF(AND($L30="Yes",$N30="",$U30="Closed"),"closed without DPC notification; ","")&amp;IF(AND($N30&lt;&gt;"",$L30&lt;&gt;"Yes"),"notified although assessed not notifiable - confirm; ","")&amp;IF(AND($U30="Closed",$V30=""),"closed without closed date; ","")&amp;IF(AND($V30&lt;&gt;"",$C30&lt;&gt;"",$V30&lt;INT($C30)),"closed before aware; ","")&amp;IF(AND($C30&lt;&gt;"",$C30&gt;=ReportDate+1),"aware after snapshot date; ","")="","OK","Check: "&amp;IF(OR($C30="",$E30="",$F30="",$K30="",$T30="",$U30=""),"missing required field; ","")&amp;IF(COUNTIF($A$2:$A$101,$A30)&gt;1,"duplicate ID; ","")&amp;IF($H30="","subjects affected missing; ","")&amp;IF(AND($B30&lt;&gt;"",$C30&lt;&gt;"",INT($C30)&lt;$B30),"aware before occurred; ","")&amp;IF(AND($N30&lt;&gt;"",$C30&lt;&gt;"",$N30&lt;$C30),"notified before aware; ","")&amp;IF(AND($L30="Yes",$N30="",$U30="Closed"),"closed without DPC notification; ","")&amp;IF(AND($N30&lt;&gt;"",$L30&lt;&gt;"Yes"),"notified although assessed not notifiable - confirm; ","")&amp;IF(AND($U30="Closed",$V30=""),"closed without closed date; ","")&amp;IF(AND($V30&lt;&gt;"",$C30&lt;&gt;"",$V30&lt;INT($C30)),"closed before aware; ","")&amp;IF(AND($C30&lt;&gt;"",$C30&gt;=ReportDate+1),"aware after snapshot date; ","")))</f>
        <v/>
      </c>
      <c r="X30" s="22"/>
    </row>
    <row r="31" spans="1:24" x14ac:dyDescent="0.35">
      <c r="A31" s="22"/>
      <c r="B31" s="23"/>
      <c r="C31" s="25"/>
      <c r="D31" s="22"/>
      <c r="E31" s="22"/>
      <c r="F31" s="22"/>
      <c r="G31" s="22"/>
      <c r="H31" s="22"/>
      <c r="I31" s="20" t="str">
        <f>IF(OR($A31="",$H31=""),"",VLOOKUP($H31,SubjectBands,2,TRUE))</f>
        <v/>
      </c>
      <c r="J31" s="22"/>
      <c r="K31" s="22"/>
      <c r="L31" s="20" t="str">
        <f t="shared" si="0"/>
        <v/>
      </c>
      <c r="M31" s="24" t="str">
        <f>IF($L31="Yes",$C31+NotifyHours/24,"")</f>
        <v/>
      </c>
      <c r="N31" s="25"/>
      <c r="O31" s="20" t="str">
        <f t="shared" si="1"/>
        <v/>
      </c>
      <c r="P31" s="20" t="str">
        <f>IF($O31="","",VLOOKUP($O31,TimeBands,2,TRUE))</f>
        <v/>
      </c>
      <c r="Q31" s="20" t="str">
        <f>IF($L31&lt;&gt;"Yes","",IF($N31="",IF(ReportDate&gt;$M31,"Overdue","Pending"),IF($N31&lt;=$M31,"Y","N")))</f>
        <v/>
      </c>
      <c r="R31" s="20" t="str">
        <f t="shared" si="2"/>
        <v/>
      </c>
      <c r="S31" s="22"/>
      <c r="T31" s="22"/>
      <c r="U31" s="22"/>
      <c r="V31" s="23"/>
      <c r="W31" s="20" t="str">
        <f>IF($A31="","",IF(IF(OR($C31="",$E31="",$F31="",$K31="",$T31="",$U31=""),"missing required field; ","")&amp;IF(COUNTIF($A$2:$A$101,$A31)&gt;1,"duplicate ID; ","")&amp;IF($H31="","subjects affected missing; ","")&amp;IF(AND($B31&lt;&gt;"",$C31&lt;&gt;"",INT($C31)&lt;$B31),"aware before occurred; ","")&amp;IF(AND($N31&lt;&gt;"",$C31&lt;&gt;"",$N31&lt;$C31),"notified before aware; ","")&amp;IF(AND($L31="Yes",$N31="",$U31="Closed"),"closed without DPC notification; ","")&amp;IF(AND($N31&lt;&gt;"",$L31&lt;&gt;"Yes"),"notified although assessed not notifiable - confirm; ","")&amp;IF(AND($U31="Closed",$V31=""),"closed without closed date; ","")&amp;IF(AND($V31&lt;&gt;"",$C31&lt;&gt;"",$V31&lt;INT($C31)),"closed before aware; ","")&amp;IF(AND($C31&lt;&gt;"",$C31&gt;=ReportDate+1),"aware after snapshot date; ","")="","OK","Check: "&amp;IF(OR($C31="",$E31="",$F31="",$K31="",$T31="",$U31=""),"missing required field; ","")&amp;IF(COUNTIF($A$2:$A$101,$A31)&gt;1,"duplicate ID; ","")&amp;IF($H31="","subjects affected missing; ","")&amp;IF(AND($B31&lt;&gt;"",$C31&lt;&gt;"",INT($C31)&lt;$B31),"aware before occurred; ","")&amp;IF(AND($N31&lt;&gt;"",$C31&lt;&gt;"",$N31&lt;$C31),"notified before aware; ","")&amp;IF(AND($L31="Yes",$N31="",$U31="Closed"),"closed without DPC notification; ","")&amp;IF(AND($N31&lt;&gt;"",$L31&lt;&gt;"Yes"),"notified although assessed not notifiable - confirm; ","")&amp;IF(AND($U31="Closed",$V31=""),"closed without closed date; ","")&amp;IF(AND($V31&lt;&gt;"",$C31&lt;&gt;"",$V31&lt;INT($C31)),"closed before aware; ","")&amp;IF(AND($C31&lt;&gt;"",$C31&gt;=ReportDate+1),"aware after snapshot date; ","")))</f>
        <v/>
      </c>
      <c r="X31" s="22"/>
    </row>
    <row r="32" spans="1:24" x14ac:dyDescent="0.35">
      <c r="A32" s="22"/>
      <c r="B32" s="23"/>
      <c r="C32" s="25"/>
      <c r="D32" s="22"/>
      <c r="E32" s="22"/>
      <c r="F32" s="22"/>
      <c r="G32" s="22"/>
      <c r="H32" s="22"/>
      <c r="I32" s="20" t="str">
        <f>IF(OR($A32="",$H32=""),"",VLOOKUP($H32,SubjectBands,2,TRUE))</f>
        <v/>
      </c>
      <c r="J32" s="22"/>
      <c r="K32" s="22"/>
      <c r="L32" s="20" t="str">
        <f t="shared" si="0"/>
        <v/>
      </c>
      <c r="M32" s="24" t="str">
        <f>IF($L32="Yes",$C32+NotifyHours/24,"")</f>
        <v/>
      </c>
      <c r="N32" s="25"/>
      <c r="O32" s="20" t="str">
        <f t="shared" si="1"/>
        <v/>
      </c>
      <c r="P32" s="20" t="str">
        <f>IF($O32="","",VLOOKUP($O32,TimeBands,2,TRUE))</f>
        <v/>
      </c>
      <c r="Q32" s="20" t="str">
        <f>IF($L32&lt;&gt;"Yes","",IF($N32="",IF(ReportDate&gt;$M32,"Overdue","Pending"),IF($N32&lt;=$M32,"Y","N")))</f>
        <v/>
      </c>
      <c r="R32" s="20" t="str">
        <f t="shared" si="2"/>
        <v/>
      </c>
      <c r="S32" s="22"/>
      <c r="T32" s="22"/>
      <c r="U32" s="22"/>
      <c r="V32" s="23"/>
      <c r="W32" s="20" t="str">
        <f>IF($A32="","",IF(IF(OR($C32="",$E32="",$F32="",$K32="",$T32="",$U32=""),"missing required field; ","")&amp;IF(COUNTIF($A$2:$A$101,$A32)&gt;1,"duplicate ID; ","")&amp;IF($H32="","subjects affected missing; ","")&amp;IF(AND($B32&lt;&gt;"",$C32&lt;&gt;"",INT($C32)&lt;$B32),"aware before occurred; ","")&amp;IF(AND($N32&lt;&gt;"",$C32&lt;&gt;"",$N32&lt;$C32),"notified before aware; ","")&amp;IF(AND($L32="Yes",$N32="",$U32="Closed"),"closed without DPC notification; ","")&amp;IF(AND($N32&lt;&gt;"",$L32&lt;&gt;"Yes"),"notified although assessed not notifiable - confirm; ","")&amp;IF(AND($U32="Closed",$V32=""),"closed without closed date; ","")&amp;IF(AND($V32&lt;&gt;"",$C32&lt;&gt;"",$V32&lt;INT($C32)),"closed before aware; ","")&amp;IF(AND($C32&lt;&gt;"",$C32&gt;=ReportDate+1),"aware after snapshot date; ","")="","OK","Check: "&amp;IF(OR($C32="",$E32="",$F32="",$K32="",$T32="",$U32=""),"missing required field; ","")&amp;IF(COUNTIF($A$2:$A$101,$A32)&gt;1,"duplicate ID; ","")&amp;IF($H32="","subjects affected missing; ","")&amp;IF(AND($B32&lt;&gt;"",$C32&lt;&gt;"",INT($C32)&lt;$B32),"aware before occurred; ","")&amp;IF(AND($N32&lt;&gt;"",$C32&lt;&gt;"",$N32&lt;$C32),"notified before aware; ","")&amp;IF(AND($L32="Yes",$N32="",$U32="Closed"),"closed without DPC notification; ","")&amp;IF(AND($N32&lt;&gt;"",$L32&lt;&gt;"Yes"),"notified although assessed not notifiable - confirm; ","")&amp;IF(AND($U32="Closed",$V32=""),"closed without closed date; ","")&amp;IF(AND($V32&lt;&gt;"",$C32&lt;&gt;"",$V32&lt;INT($C32)),"closed before aware; ","")&amp;IF(AND($C32&lt;&gt;"",$C32&gt;=ReportDate+1),"aware after snapshot date; ","")))</f>
        <v/>
      </c>
      <c r="X32" s="22"/>
    </row>
    <row r="33" spans="1:24" x14ac:dyDescent="0.35">
      <c r="A33" s="22"/>
      <c r="B33" s="23"/>
      <c r="C33" s="25"/>
      <c r="D33" s="22"/>
      <c r="E33" s="22"/>
      <c r="F33" s="22"/>
      <c r="G33" s="22"/>
      <c r="H33" s="22"/>
      <c r="I33" s="20" t="str">
        <f>IF(OR($A33="",$H33=""),"",VLOOKUP($H33,SubjectBands,2,TRUE))</f>
        <v/>
      </c>
      <c r="J33" s="22"/>
      <c r="K33" s="22"/>
      <c r="L33" s="20" t="str">
        <f t="shared" si="0"/>
        <v/>
      </c>
      <c r="M33" s="24" t="str">
        <f>IF($L33="Yes",$C33+NotifyHours/24,"")</f>
        <v/>
      </c>
      <c r="N33" s="25"/>
      <c r="O33" s="20" t="str">
        <f t="shared" si="1"/>
        <v/>
      </c>
      <c r="P33" s="20" t="str">
        <f>IF($O33="","",VLOOKUP($O33,TimeBands,2,TRUE))</f>
        <v/>
      </c>
      <c r="Q33" s="20" t="str">
        <f>IF($L33&lt;&gt;"Yes","",IF($N33="",IF(ReportDate&gt;$M33,"Overdue","Pending"),IF($N33&lt;=$M33,"Y","N")))</f>
        <v/>
      </c>
      <c r="R33" s="20" t="str">
        <f t="shared" si="2"/>
        <v/>
      </c>
      <c r="S33" s="22"/>
      <c r="T33" s="22"/>
      <c r="U33" s="22"/>
      <c r="V33" s="23"/>
      <c r="W33" s="20" t="str">
        <f>IF($A33="","",IF(IF(OR($C33="",$E33="",$F33="",$K33="",$T33="",$U33=""),"missing required field; ","")&amp;IF(COUNTIF($A$2:$A$101,$A33)&gt;1,"duplicate ID; ","")&amp;IF($H33="","subjects affected missing; ","")&amp;IF(AND($B33&lt;&gt;"",$C33&lt;&gt;"",INT($C33)&lt;$B33),"aware before occurred; ","")&amp;IF(AND($N33&lt;&gt;"",$C33&lt;&gt;"",$N33&lt;$C33),"notified before aware; ","")&amp;IF(AND($L33="Yes",$N33="",$U33="Closed"),"closed without DPC notification; ","")&amp;IF(AND($N33&lt;&gt;"",$L33&lt;&gt;"Yes"),"notified although assessed not notifiable - confirm; ","")&amp;IF(AND($U33="Closed",$V33=""),"closed without closed date; ","")&amp;IF(AND($V33&lt;&gt;"",$C33&lt;&gt;"",$V33&lt;INT($C33)),"closed before aware; ","")&amp;IF(AND($C33&lt;&gt;"",$C33&gt;=ReportDate+1),"aware after snapshot date; ","")="","OK","Check: "&amp;IF(OR($C33="",$E33="",$F33="",$K33="",$T33="",$U33=""),"missing required field; ","")&amp;IF(COUNTIF($A$2:$A$101,$A33)&gt;1,"duplicate ID; ","")&amp;IF($H33="","subjects affected missing; ","")&amp;IF(AND($B33&lt;&gt;"",$C33&lt;&gt;"",INT($C33)&lt;$B33),"aware before occurred; ","")&amp;IF(AND($N33&lt;&gt;"",$C33&lt;&gt;"",$N33&lt;$C33),"notified before aware; ","")&amp;IF(AND($L33="Yes",$N33="",$U33="Closed"),"closed without DPC notification; ","")&amp;IF(AND($N33&lt;&gt;"",$L33&lt;&gt;"Yes"),"notified although assessed not notifiable - confirm; ","")&amp;IF(AND($U33="Closed",$V33=""),"closed without closed date; ","")&amp;IF(AND($V33&lt;&gt;"",$C33&lt;&gt;"",$V33&lt;INT($C33)),"closed before aware; ","")&amp;IF(AND($C33&lt;&gt;"",$C33&gt;=ReportDate+1),"aware after snapshot date; ","")))</f>
        <v/>
      </c>
      <c r="X33" s="22"/>
    </row>
    <row r="34" spans="1:24" x14ac:dyDescent="0.35">
      <c r="A34" s="22"/>
      <c r="B34" s="23"/>
      <c r="C34" s="25"/>
      <c r="D34" s="22"/>
      <c r="E34" s="22"/>
      <c r="F34" s="22"/>
      <c r="G34" s="22"/>
      <c r="H34" s="22"/>
      <c r="I34" s="20" t="str">
        <f>IF(OR($A34="",$H34=""),"",VLOOKUP($H34,SubjectBands,2,TRUE))</f>
        <v/>
      </c>
      <c r="J34" s="22"/>
      <c r="K34" s="22"/>
      <c r="L34" s="20" t="str">
        <f t="shared" ref="L34:L65" si="3">IF(OR($A34="",$K34=""),"",IF(OR($K34="No risk",$K34="Low"),"No - record only","Yes"))</f>
        <v/>
      </c>
      <c r="M34" s="24" t="str">
        <f>IF($L34="Yes",$C34+NotifyHours/24,"")</f>
        <v/>
      </c>
      <c r="N34" s="25"/>
      <c r="O34" s="20" t="str">
        <f t="shared" ref="O34:O65" si="4">IF(OR($A34="",$N34=""),"",ROUND(($N34-$C34)*24,1))</f>
        <v/>
      </c>
      <c r="P34" s="20" t="str">
        <f>IF($O34="","",VLOOKUP($O34,TimeBands,2,TRUE))</f>
        <v/>
      </c>
      <c r="Q34" s="20" t="str">
        <f>IF($L34&lt;&gt;"Yes","",IF($N34="",IF(ReportDate&gt;$M34,"Overdue","Pending"),IF($N34&lt;=$M34,"Y","N")))</f>
        <v/>
      </c>
      <c r="R34" s="20" t="str">
        <f t="shared" ref="R34:R65" si="5">IF(OR($A34="",$K34=""),"",IF($K34="High","Yes (Art 34)","No"))</f>
        <v/>
      </c>
      <c r="S34" s="22"/>
      <c r="T34" s="22"/>
      <c r="U34" s="22"/>
      <c r="V34" s="23"/>
      <c r="W34" s="20" t="str">
        <f>IF($A34="","",IF(IF(OR($C34="",$E34="",$F34="",$K34="",$T34="",$U34=""),"missing required field; ","")&amp;IF(COUNTIF($A$2:$A$101,$A34)&gt;1,"duplicate ID; ","")&amp;IF($H34="","subjects affected missing; ","")&amp;IF(AND($B34&lt;&gt;"",$C34&lt;&gt;"",INT($C34)&lt;$B34),"aware before occurred; ","")&amp;IF(AND($N34&lt;&gt;"",$C34&lt;&gt;"",$N34&lt;$C34),"notified before aware; ","")&amp;IF(AND($L34="Yes",$N34="",$U34="Closed"),"closed without DPC notification; ","")&amp;IF(AND($N34&lt;&gt;"",$L34&lt;&gt;"Yes"),"notified although assessed not notifiable - confirm; ","")&amp;IF(AND($U34="Closed",$V34=""),"closed without closed date; ","")&amp;IF(AND($V34&lt;&gt;"",$C34&lt;&gt;"",$V34&lt;INT($C34)),"closed before aware; ","")&amp;IF(AND($C34&lt;&gt;"",$C34&gt;=ReportDate+1),"aware after snapshot date; ","")="","OK","Check: "&amp;IF(OR($C34="",$E34="",$F34="",$K34="",$T34="",$U34=""),"missing required field; ","")&amp;IF(COUNTIF($A$2:$A$101,$A34)&gt;1,"duplicate ID; ","")&amp;IF($H34="","subjects affected missing; ","")&amp;IF(AND($B34&lt;&gt;"",$C34&lt;&gt;"",INT($C34)&lt;$B34),"aware before occurred; ","")&amp;IF(AND($N34&lt;&gt;"",$C34&lt;&gt;"",$N34&lt;$C34),"notified before aware; ","")&amp;IF(AND($L34="Yes",$N34="",$U34="Closed"),"closed without DPC notification; ","")&amp;IF(AND($N34&lt;&gt;"",$L34&lt;&gt;"Yes"),"notified although assessed not notifiable - confirm; ","")&amp;IF(AND($U34="Closed",$V34=""),"closed without closed date; ","")&amp;IF(AND($V34&lt;&gt;"",$C34&lt;&gt;"",$V34&lt;INT($C34)),"closed before aware; ","")&amp;IF(AND($C34&lt;&gt;"",$C34&gt;=ReportDate+1),"aware after snapshot date; ","")))</f>
        <v/>
      </c>
      <c r="X34" s="22"/>
    </row>
    <row r="35" spans="1:24" x14ac:dyDescent="0.35">
      <c r="A35" s="22"/>
      <c r="B35" s="23"/>
      <c r="C35" s="25"/>
      <c r="D35" s="22"/>
      <c r="E35" s="22"/>
      <c r="F35" s="22"/>
      <c r="G35" s="22"/>
      <c r="H35" s="22"/>
      <c r="I35" s="20" t="str">
        <f>IF(OR($A35="",$H35=""),"",VLOOKUP($H35,SubjectBands,2,TRUE))</f>
        <v/>
      </c>
      <c r="J35" s="22"/>
      <c r="K35" s="22"/>
      <c r="L35" s="20" t="str">
        <f t="shared" si="3"/>
        <v/>
      </c>
      <c r="M35" s="24" t="str">
        <f>IF($L35="Yes",$C35+NotifyHours/24,"")</f>
        <v/>
      </c>
      <c r="N35" s="25"/>
      <c r="O35" s="20" t="str">
        <f t="shared" si="4"/>
        <v/>
      </c>
      <c r="P35" s="20" t="str">
        <f>IF($O35="","",VLOOKUP($O35,TimeBands,2,TRUE))</f>
        <v/>
      </c>
      <c r="Q35" s="20" t="str">
        <f>IF($L35&lt;&gt;"Yes","",IF($N35="",IF(ReportDate&gt;$M35,"Overdue","Pending"),IF($N35&lt;=$M35,"Y","N")))</f>
        <v/>
      </c>
      <c r="R35" s="20" t="str">
        <f t="shared" si="5"/>
        <v/>
      </c>
      <c r="S35" s="22"/>
      <c r="T35" s="22"/>
      <c r="U35" s="22"/>
      <c r="V35" s="23"/>
      <c r="W35" s="20" t="str">
        <f>IF($A35="","",IF(IF(OR($C35="",$E35="",$F35="",$K35="",$T35="",$U35=""),"missing required field; ","")&amp;IF(COUNTIF($A$2:$A$101,$A35)&gt;1,"duplicate ID; ","")&amp;IF($H35="","subjects affected missing; ","")&amp;IF(AND($B35&lt;&gt;"",$C35&lt;&gt;"",INT($C35)&lt;$B35),"aware before occurred; ","")&amp;IF(AND($N35&lt;&gt;"",$C35&lt;&gt;"",$N35&lt;$C35),"notified before aware; ","")&amp;IF(AND($L35="Yes",$N35="",$U35="Closed"),"closed without DPC notification; ","")&amp;IF(AND($N35&lt;&gt;"",$L35&lt;&gt;"Yes"),"notified although assessed not notifiable - confirm; ","")&amp;IF(AND($U35="Closed",$V35=""),"closed without closed date; ","")&amp;IF(AND($V35&lt;&gt;"",$C35&lt;&gt;"",$V35&lt;INT($C35)),"closed before aware; ","")&amp;IF(AND($C35&lt;&gt;"",$C35&gt;=ReportDate+1),"aware after snapshot date; ","")="","OK","Check: "&amp;IF(OR($C35="",$E35="",$F35="",$K35="",$T35="",$U35=""),"missing required field; ","")&amp;IF(COUNTIF($A$2:$A$101,$A35)&gt;1,"duplicate ID; ","")&amp;IF($H35="","subjects affected missing; ","")&amp;IF(AND($B35&lt;&gt;"",$C35&lt;&gt;"",INT($C35)&lt;$B35),"aware before occurred; ","")&amp;IF(AND($N35&lt;&gt;"",$C35&lt;&gt;"",$N35&lt;$C35),"notified before aware; ","")&amp;IF(AND($L35="Yes",$N35="",$U35="Closed"),"closed without DPC notification; ","")&amp;IF(AND($N35&lt;&gt;"",$L35&lt;&gt;"Yes"),"notified although assessed not notifiable - confirm; ","")&amp;IF(AND($U35="Closed",$V35=""),"closed without closed date; ","")&amp;IF(AND($V35&lt;&gt;"",$C35&lt;&gt;"",$V35&lt;INT($C35)),"closed before aware; ","")&amp;IF(AND($C35&lt;&gt;"",$C35&gt;=ReportDate+1),"aware after snapshot date; ","")))</f>
        <v/>
      </c>
      <c r="X35" s="22"/>
    </row>
    <row r="36" spans="1:24" x14ac:dyDescent="0.35">
      <c r="A36" s="22"/>
      <c r="B36" s="23"/>
      <c r="C36" s="25"/>
      <c r="D36" s="22"/>
      <c r="E36" s="22"/>
      <c r="F36" s="22"/>
      <c r="G36" s="22"/>
      <c r="H36" s="22"/>
      <c r="I36" s="20" t="str">
        <f>IF(OR($A36="",$H36=""),"",VLOOKUP($H36,SubjectBands,2,TRUE))</f>
        <v/>
      </c>
      <c r="J36" s="22"/>
      <c r="K36" s="22"/>
      <c r="L36" s="20" t="str">
        <f t="shared" si="3"/>
        <v/>
      </c>
      <c r="M36" s="24" t="str">
        <f>IF($L36="Yes",$C36+NotifyHours/24,"")</f>
        <v/>
      </c>
      <c r="N36" s="25"/>
      <c r="O36" s="20" t="str">
        <f t="shared" si="4"/>
        <v/>
      </c>
      <c r="P36" s="20" t="str">
        <f>IF($O36="","",VLOOKUP($O36,TimeBands,2,TRUE))</f>
        <v/>
      </c>
      <c r="Q36" s="20" t="str">
        <f>IF($L36&lt;&gt;"Yes","",IF($N36="",IF(ReportDate&gt;$M36,"Overdue","Pending"),IF($N36&lt;=$M36,"Y","N")))</f>
        <v/>
      </c>
      <c r="R36" s="20" t="str">
        <f t="shared" si="5"/>
        <v/>
      </c>
      <c r="S36" s="22"/>
      <c r="T36" s="22"/>
      <c r="U36" s="22"/>
      <c r="V36" s="23"/>
      <c r="W36" s="20" t="str">
        <f>IF($A36="","",IF(IF(OR($C36="",$E36="",$F36="",$K36="",$T36="",$U36=""),"missing required field; ","")&amp;IF(COUNTIF($A$2:$A$101,$A36)&gt;1,"duplicate ID; ","")&amp;IF($H36="","subjects affected missing; ","")&amp;IF(AND($B36&lt;&gt;"",$C36&lt;&gt;"",INT($C36)&lt;$B36),"aware before occurred; ","")&amp;IF(AND($N36&lt;&gt;"",$C36&lt;&gt;"",$N36&lt;$C36),"notified before aware; ","")&amp;IF(AND($L36="Yes",$N36="",$U36="Closed"),"closed without DPC notification; ","")&amp;IF(AND($N36&lt;&gt;"",$L36&lt;&gt;"Yes"),"notified although assessed not notifiable - confirm; ","")&amp;IF(AND($U36="Closed",$V36=""),"closed without closed date; ","")&amp;IF(AND($V36&lt;&gt;"",$C36&lt;&gt;"",$V36&lt;INT($C36)),"closed before aware; ","")&amp;IF(AND($C36&lt;&gt;"",$C36&gt;=ReportDate+1),"aware after snapshot date; ","")="","OK","Check: "&amp;IF(OR($C36="",$E36="",$F36="",$K36="",$T36="",$U36=""),"missing required field; ","")&amp;IF(COUNTIF($A$2:$A$101,$A36)&gt;1,"duplicate ID; ","")&amp;IF($H36="","subjects affected missing; ","")&amp;IF(AND($B36&lt;&gt;"",$C36&lt;&gt;"",INT($C36)&lt;$B36),"aware before occurred; ","")&amp;IF(AND($N36&lt;&gt;"",$C36&lt;&gt;"",$N36&lt;$C36),"notified before aware; ","")&amp;IF(AND($L36="Yes",$N36="",$U36="Closed"),"closed without DPC notification; ","")&amp;IF(AND($N36&lt;&gt;"",$L36&lt;&gt;"Yes"),"notified although assessed not notifiable - confirm; ","")&amp;IF(AND($U36="Closed",$V36=""),"closed without closed date; ","")&amp;IF(AND($V36&lt;&gt;"",$C36&lt;&gt;"",$V36&lt;INT($C36)),"closed before aware; ","")&amp;IF(AND($C36&lt;&gt;"",$C36&gt;=ReportDate+1),"aware after snapshot date; ","")))</f>
        <v/>
      </c>
      <c r="X36" s="22"/>
    </row>
    <row r="37" spans="1:24" x14ac:dyDescent="0.35">
      <c r="A37" s="22"/>
      <c r="B37" s="23"/>
      <c r="C37" s="25"/>
      <c r="D37" s="22"/>
      <c r="E37" s="22"/>
      <c r="F37" s="22"/>
      <c r="G37" s="22"/>
      <c r="H37" s="22"/>
      <c r="I37" s="20" t="str">
        <f>IF(OR($A37="",$H37=""),"",VLOOKUP($H37,SubjectBands,2,TRUE))</f>
        <v/>
      </c>
      <c r="J37" s="22"/>
      <c r="K37" s="22"/>
      <c r="L37" s="20" t="str">
        <f t="shared" si="3"/>
        <v/>
      </c>
      <c r="M37" s="24" t="str">
        <f>IF($L37="Yes",$C37+NotifyHours/24,"")</f>
        <v/>
      </c>
      <c r="N37" s="25"/>
      <c r="O37" s="20" t="str">
        <f t="shared" si="4"/>
        <v/>
      </c>
      <c r="P37" s="20" t="str">
        <f>IF($O37="","",VLOOKUP($O37,TimeBands,2,TRUE))</f>
        <v/>
      </c>
      <c r="Q37" s="20" t="str">
        <f>IF($L37&lt;&gt;"Yes","",IF($N37="",IF(ReportDate&gt;$M37,"Overdue","Pending"),IF($N37&lt;=$M37,"Y","N")))</f>
        <v/>
      </c>
      <c r="R37" s="20" t="str">
        <f t="shared" si="5"/>
        <v/>
      </c>
      <c r="S37" s="22"/>
      <c r="T37" s="22"/>
      <c r="U37" s="22"/>
      <c r="V37" s="23"/>
      <c r="W37" s="20" t="str">
        <f>IF($A37="","",IF(IF(OR($C37="",$E37="",$F37="",$K37="",$T37="",$U37=""),"missing required field; ","")&amp;IF(COUNTIF($A$2:$A$101,$A37)&gt;1,"duplicate ID; ","")&amp;IF($H37="","subjects affected missing; ","")&amp;IF(AND($B37&lt;&gt;"",$C37&lt;&gt;"",INT($C37)&lt;$B37),"aware before occurred; ","")&amp;IF(AND($N37&lt;&gt;"",$C37&lt;&gt;"",$N37&lt;$C37),"notified before aware; ","")&amp;IF(AND($L37="Yes",$N37="",$U37="Closed"),"closed without DPC notification; ","")&amp;IF(AND($N37&lt;&gt;"",$L37&lt;&gt;"Yes"),"notified although assessed not notifiable - confirm; ","")&amp;IF(AND($U37="Closed",$V37=""),"closed without closed date; ","")&amp;IF(AND($V37&lt;&gt;"",$C37&lt;&gt;"",$V37&lt;INT($C37)),"closed before aware; ","")&amp;IF(AND($C37&lt;&gt;"",$C37&gt;=ReportDate+1),"aware after snapshot date; ","")="","OK","Check: "&amp;IF(OR($C37="",$E37="",$F37="",$K37="",$T37="",$U37=""),"missing required field; ","")&amp;IF(COUNTIF($A$2:$A$101,$A37)&gt;1,"duplicate ID; ","")&amp;IF($H37="","subjects affected missing; ","")&amp;IF(AND($B37&lt;&gt;"",$C37&lt;&gt;"",INT($C37)&lt;$B37),"aware before occurred; ","")&amp;IF(AND($N37&lt;&gt;"",$C37&lt;&gt;"",$N37&lt;$C37),"notified before aware; ","")&amp;IF(AND($L37="Yes",$N37="",$U37="Closed"),"closed without DPC notification; ","")&amp;IF(AND($N37&lt;&gt;"",$L37&lt;&gt;"Yes"),"notified although assessed not notifiable - confirm; ","")&amp;IF(AND($U37="Closed",$V37=""),"closed without closed date; ","")&amp;IF(AND($V37&lt;&gt;"",$C37&lt;&gt;"",$V37&lt;INT($C37)),"closed before aware; ","")&amp;IF(AND($C37&lt;&gt;"",$C37&gt;=ReportDate+1),"aware after snapshot date; ","")))</f>
        <v/>
      </c>
      <c r="X37" s="22"/>
    </row>
    <row r="38" spans="1:24" x14ac:dyDescent="0.35">
      <c r="A38" s="22"/>
      <c r="B38" s="23"/>
      <c r="C38" s="25"/>
      <c r="D38" s="22"/>
      <c r="E38" s="22"/>
      <c r="F38" s="22"/>
      <c r="G38" s="22"/>
      <c r="H38" s="22"/>
      <c r="I38" s="20" t="str">
        <f>IF(OR($A38="",$H38=""),"",VLOOKUP($H38,SubjectBands,2,TRUE))</f>
        <v/>
      </c>
      <c r="J38" s="22"/>
      <c r="K38" s="22"/>
      <c r="L38" s="20" t="str">
        <f t="shared" si="3"/>
        <v/>
      </c>
      <c r="M38" s="24" t="str">
        <f>IF($L38="Yes",$C38+NotifyHours/24,"")</f>
        <v/>
      </c>
      <c r="N38" s="25"/>
      <c r="O38" s="20" t="str">
        <f t="shared" si="4"/>
        <v/>
      </c>
      <c r="P38" s="20" t="str">
        <f>IF($O38="","",VLOOKUP($O38,TimeBands,2,TRUE))</f>
        <v/>
      </c>
      <c r="Q38" s="20" t="str">
        <f>IF($L38&lt;&gt;"Yes","",IF($N38="",IF(ReportDate&gt;$M38,"Overdue","Pending"),IF($N38&lt;=$M38,"Y","N")))</f>
        <v/>
      </c>
      <c r="R38" s="20" t="str">
        <f t="shared" si="5"/>
        <v/>
      </c>
      <c r="S38" s="22"/>
      <c r="T38" s="22"/>
      <c r="U38" s="22"/>
      <c r="V38" s="23"/>
      <c r="W38" s="20" t="str">
        <f>IF($A38="","",IF(IF(OR($C38="",$E38="",$F38="",$K38="",$T38="",$U38=""),"missing required field; ","")&amp;IF(COUNTIF($A$2:$A$101,$A38)&gt;1,"duplicate ID; ","")&amp;IF($H38="","subjects affected missing; ","")&amp;IF(AND($B38&lt;&gt;"",$C38&lt;&gt;"",INT($C38)&lt;$B38),"aware before occurred; ","")&amp;IF(AND($N38&lt;&gt;"",$C38&lt;&gt;"",$N38&lt;$C38),"notified before aware; ","")&amp;IF(AND($L38="Yes",$N38="",$U38="Closed"),"closed without DPC notification; ","")&amp;IF(AND($N38&lt;&gt;"",$L38&lt;&gt;"Yes"),"notified although assessed not notifiable - confirm; ","")&amp;IF(AND($U38="Closed",$V38=""),"closed without closed date; ","")&amp;IF(AND($V38&lt;&gt;"",$C38&lt;&gt;"",$V38&lt;INT($C38)),"closed before aware; ","")&amp;IF(AND($C38&lt;&gt;"",$C38&gt;=ReportDate+1),"aware after snapshot date; ","")="","OK","Check: "&amp;IF(OR($C38="",$E38="",$F38="",$K38="",$T38="",$U38=""),"missing required field; ","")&amp;IF(COUNTIF($A$2:$A$101,$A38)&gt;1,"duplicate ID; ","")&amp;IF($H38="","subjects affected missing; ","")&amp;IF(AND($B38&lt;&gt;"",$C38&lt;&gt;"",INT($C38)&lt;$B38),"aware before occurred; ","")&amp;IF(AND($N38&lt;&gt;"",$C38&lt;&gt;"",$N38&lt;$C38),"notified before aware; ","")&amp;IF(AND($L38="Yes",$N38="",$U38="Closed"),"closed without DPC notification; ","")&amp;IF(AND($N38&lt;&gt;"",$L38&lt;&gt;"Yes"),"notified although assessed not notifiable - confirm; ","")&amp;IF(AND($U38="Closed",$V38=""),"closed without closed date; ","")&amp;IF(AND($V38&lt;&gt;"",$C38&lt;&gt;"",$V38&lt;INT($C38)),"closed before aware; ","")&amp;IF(AND($C38&lt;&gt;"",$C38&gt;=ReportDate+1),"aware after snapshot date; ","")))</f>
        <v/>
      </c>
      <c r="X38" s="22"/>
    </row>
    <row r="39" spans="1:24" x14ac:dyDescent="0.35">
      <c r="A39" s="22"/>
      <c r="B39" s="23"/>
      <c r="C39" s="25"/>
      <c r="D39" s="22"/>
      <c r="E39" s="22"/>
      <c r="F39" s="22"/>
      <c r="G39" s="22"/>
      <c r="H39" s="22"/>
      <c r="I39" s="20" t="str">
        <f>IF(OR($A39="",$H39=""),"",VLOOKUP($H39,SubjectBands,2,TRUE))</f>
        <v/>
      </c>
      <c r="J39" s="22"/>
      <c r="K39" s="22"/>
      <c r="L39" s="20" t="str">
        <f t="shared" si="3"/>
        <v/>
      </c>
      <c r="M39" s="24" t="str">
        <f>IF($L39="Yes",$C39+NotifyHours/24,"")</f>
        <v/>
      </c>
      <c r="N39" s="25"/>
      <c r="O39" s="20" t="str">
        <f t="shared" si="4"/>
        <v/>
      </c>
      <c r="P39" s="20" t="str">
        <f>IF($O39="","",VLOOKUP($O39,TimeBands,2,TRUE))</f>
        <v/>
      </c>
      <c r="Q39" s="20" t="str">
        <f>IF($L39&lt;&gt;"Yes","",IF($N39="",IF(ReportDate&gt;$M39,"Overdue","Pending"),IF($N39&lt;=$M39,"Y","N")))</f>
        <v/>
      </c>
      <c r="R39" s="20" t="str">
        <f t="shared" si="5"/>
        <v/>
      </c>
      <c r="S39" s="22"/>
      <c r="T39" s="22"/>
      <c r="U39" s="22"/>
      <c r="V39" s="23"/>
      <c r="W39" s="20" t="str">
        <f>IF($A39="","",IF(IF(OR($C39="",$E39="",$F39="",$K39="",$T39="",$U39=""),"missing required field; ","")&amp;IF(COUNTIF($A$2:$A$101,$A39)&gt;1,"duplicate ID; ","")&amp;IF($H39="","subjects affected missing; ","")&amp;IF(AND($B39&lt;&gt;"",$C39&lt;&gt;"",INT($C39)&lt;$B39),"aware before occurred; ","")&amp;IF(AND($N39&lt;&gt;"",$C39&lt;&gt;"",$N39&lt;$C39),"notified before aware; ","")&amp;IF(AND($L39="Yes",$N39="",$U39="Closed"),"closed without DPC notification; ","")&amp;IF(AND($N39&lt;&gt;"",$L39&lt;&gt;"Yes"),"notified although assessed not notifiable - confirm; ","")&amp;IF(AND($U39="Closed",$V39=""),"closed without closed date; ","")&amp;IF(AND($V39&lt;&gt;"",$C39&lt;&gt;"",$V39&lt;INT($C39)),"closed before aware; ","")&amp;IF(AND($C39&lt;&gt;"",$C39&gt;=ReportDate+1),"aware after snapshot date; ","")="","OK","Check: "&amp;IF(OR($C39="",$E39="",$F39="",$K39="",$T39="",$U39=""),"missing required field; ","")&amp;IF(COUNTIF($A$2:$A$101,$A39)&gt;1,"duplicate ID; ","")&amp;IF($H39="","subjects affected missing; ","")&amp;IF(AND($B39&lt;&gt;"",$C39&lt;&gt;"",INT($C39)&lt;$B39),"aware before occurred; ","")&amp;IF(AND($N39&lt;&gt;"",$C39&lt;&gt;"",$N39&lt;$C39),"notified before aware; ","")&amp;IF(AND($L39="Yes",$N39="",$U39="Closed"),"closed without DPC notification; ","")&amp;IF(AND($N39&lt;&gt;"",$L39&lt;&gt;"Yes"),"notified although assessed not notifiable - confirm; ","")&amp;IF(AND($U39="Closed",$V39=""),"closed without closed date; ","")&amp;IF(AND($V39&lt;&gt;"",$C39&lt;&gt;"",$V39&lt;INT($C39)),"closed before aware; ","")&amp;IF(AND($C39&lt;&gt;"",$C39&gt;=ReportDate+1),"aware after snapshot date; ","")))</f>
        <v/>
      </c>
      <c r="X39" s="22"/>
    </row>
    <row r="40" spans="1:24" x14ac:dyDescent="0.35">
      <c r="A40" s="22"/>
      <c r="B40" s="23"/>
      <c r="C40" s="25"/>
      <c r="D40" s="22"/>
      <c r="E40" s="22"/>
      <c r="F40" s="22"/>
      <c r="G40" s="22"/>
      <c r="H40" s="22"/>
      <c r="I40" s="20" t="str">
        <f>IF(OR($A40="",$H40=""),"",VLOOKUP($H40,SubjectBands,2,TRUE))</f>
        <v/>
      </c>
      <c r="J40" s="22"/>
      <c r="K40" s="22"/>
      <c r="L40" s="20" t="str">
        <f t="shared" si="3"/>
        <v/>
      </c>
      <c r="M40" s="24" t="str">
        <f>IF($L40="Yes",$C40+NotifyHours/24,"")</f>
        <v/>
      </c>
      <c r="N40" s="25"/>
      <c r="O40" s="20" t="str">
        <f t="shared" si="4"/>
        <v/>
      </c>
      <c r="P40" s="20" t="str">
        <f>IF($O40="","",VLOOKUP($O40,TimeBands,2,TRUE))</f>
        <v/>
      </c>
      <c r="Q40" s="20" t="str">
        <f>IF($L40&lt;&gt;"Yes","",IF($N40="",IF(ReportDate&gt;$M40,"Overdue","Pending"),IF($N40&lt;=$M40,"Y","N")))</f>
        <v/>
      </c>
      <c r="R40" s="20" t="str">
        <f t="shared" si="5"/>
        <v/>
      </c>
      <c r="S40" s="22"/>
      <c r="T40" s="22"/>
      <c r="U40" s="22"/>
      <c r="V40" s="23"/>
      <c r="W40" s="20" t="str">
        <f>IF($A40="","",IF(IF(OR($C40="",$E40="",$F40="",$K40="",$T40="",$U40=""),"missing required field; ","")&amp;IF(COUNTIF($A$2:$A$101,$A40)&gt;1,"duplicate ID; ","")&amp;IF($H40="","subjects affected missing; ","")&amp;IF(AND($B40&lt;&gt;"",$C40&lt;&gt;"",INT($C40)&lt;$B40),"aware before occurred; ","")&amp;IF(AND($N40&lt;&gt;"",$C40&lt;&gt;"",$N40&lt;$C40),"notified before aware; ","")&amp;IF(AND($L40="Yes",$N40="",$U40="Closed"),"closed without DPC notification; ","")&amp;IF(AND($N40&lt;&gt;"",$L40&lt;&gt;"Yes"),"notified although assessed not notifiable - confirm; ","")&amp;IF(AND($U40="Closed",$V40=""),"closed without closed date; ","")&amp;IF(AND($V40&lt;&gt;"",$C40&lt;&gt;"",$V40&lt;INT($C40)),"closed before aware; ","")&amp;IF(AND($C40&lt;&gt;"",$C40&gt;=ReportDate+1),"aware after snapshot date; ","")="","OK","Check: "&amp;IF(OR($C40="",$E40="",$F40="",$K40="",$T40="",$U40=""),"missing required field; ","")&amp;IF(COUNTIF($A$2:$A$101,$A40)&gt;1,"duplicate ID; ","")&amp;IF($H40="","subjects affected missing; ","")&amp;IF(AND($B40&lt;&gt;"",$C40&lt;&gt;"",INT($C40)&lt;$B40),"aware before occurred; ","")&amp;IF(AND($N40&lt;&gt;"",$C40&lt;&gt;"",$N40&lt;$C40),"notified before aware; ","")&amp;IF(AND($L40="Yes",$N40="",$U40="Closed"),"closed without DPC notification; ","")&amp;IF(AND($N40&lt;&gt;"",$L40&lt;&gt;"Yes"),"notified although assessed not notifiable - confirm; ","")&amp;IF(AND($U40="Closed",$V40=""),"closed without closed date; ","")&amp;IF(AND($V40&lt;&gt;"",$C40&lt;&gt;"",$V40&lt;INT($C40)),"closed before aware; ","")&amp;IF(AND($C40&lt;&gt;"",$C40&gt;=ReportDate+1),"aware after snapshot date; ","")))</f>
        <v/>
      </c>
      <c r="X40" s="22"/>
    </row>
    <row r="41" spans="1:24" x14ac:dyDescent="0.35">
      <c r="A41" s="22"/>
      <c r="B41" s="23"/>
      <c r="C41" s="25"/>
      <c r="D41" s="22"/>
      <c r="E41" s="22"/>
      <c r="F41" s="22"/>
      <c r="G41" s="22"/>
      <c r="H41" s="22"/>
      <c r="I41" s="20" t="str">
        <f>IF(OR($A41="",$H41=""),"",VLOOKUP($H41,SubjectBands,2,TRUE))</f>
        <v/>
      </c>
      <c r="J41" s="22"/>
      <c r="K41" s="22"/>
      <c r="L41" s="20" t="str">
        <f t="shared" si="3"/>
        <v/>
      </c>
      <c r="M41" s="24" t="str">
        <f>IF($L41="Yes",$C41+NotifyHours/24,"")</f>
        <v/>
      </c>
      <c r="N41" s="25"/>
      <c r="O41" s="20" t="str">
        <f t="shared" si="4"/>
        <v/>
      </c>
      <c r="P41" s="20" t="str">
        <f>IF($O41="","",VLOOKUP($O41,TimeBands,2,TRUE))</f>
        <v/>
      </c>
      <c r="Q41" s="20" t="str">
        <f>IF($L41&lt;&gt;"Yes","",IF($N41="",IF(ReportDate&gt;$M41,"Overdue","Pending"),IF($N41&lt;=$M41,"Y","N")))</f>
        <v/>
      </c>
      <c r="R41" s="20" t="str">
        <f t="shared" si="5"/>
        <v/>
      </c>
      <c r="S41" s="22"/>
      <c r="T41" s="22"/>
      <c r="U41" s="22"/>
      <c r="V41" s="23"/>
      <c r="W41" s="20" t="str">
        <f>IF($A41="","",IF(IF(OR($C41="",$E41="",$F41="",$K41="",$T41="",$U41=""),"missing required field; ","")&amp;IF(COUNTIF($A$2:$A$101,$A41)&gt;1,"duplicate ID; ","")&amp;IF($H41="","subjects affected missing; ","")&amp;IF(AND($B41&lt;&gt;"",$C41&lt;&gt;"",INT($C41)&lt;$B41),"aware before occurred; ","")&amp;IF(AND($N41&lt;&gt;"",$C41&lt;&gt;"",$N41&lt;$C41),"notified before aware; ","")&amp;IF(AND($L41="Yes",$N41="",$U41="Closed"),"closed without DPC notification; ","")&amp;IF(AND($N41&lt;&gt;"",$L41&lt;&gt;"Yes"),"notified although assessed not notifiable - confirm; ","")&amp;IF(AND($U41="Closed",$V41=""),"closed without closed date; ","")&amp;IF(AND($V41&lt;&gt;"",$C41&lt;&gt;"",$V41&lt;INT($C41)),"closed before aware; ","")&amp;IF(AND($C41&lt;&gt;"",$C41&gt;=ReportDate+1),"aware after snapshot date; ","")="","OK","Check: "&amp;IF(OR($C41="",$E41="",$F41="",$K41="",$T41="",$U41=""),"missing required field; ","")&amp;IF(COUNTIF($A$2:$A$101,$A41)&gt;1,"duplicate ID; ","")&amp;IF($H41="","subjects affected missing; ","")&amp;IF(AND($B41&lt;&gt;"",$C41&lt;&gt;"",INT($C41)&lt;$B41),"aware before occurred; ","")&amp;IF(AND($N41&lt;&gt;"",$C41&lt;&gt;"",$N41&lt;$C41),"notified before aware; ","")&amp;IF(AND($L41="Yes",$N41="",$U41="Closed"),"closed without DPC notification; ","")&amp;IF(AND($N41&lt;&gt;"",$L41&lt;&gt;"Yes"),"notified although assessed not notifiable - confirm; ","")&amp;IF(AND($U41="Closed",$V41=""),"closed without closed date; ","")&amp;IF(AND($V41&lt;&gt;"",$C41&lt;&gt;"",$V41&lt;INT($C41)),"closed before aware; ","")&amp;IF(AND($C41&lt;&gt;"",$C41&gt;=ReportDate+1),"aware after snapshot date; ","")))</f>
        <v/>
      </c>
      <c r="X41" s="22"/>
    </row>
    <row r="42" spans="1:24" x14ac:dyDescent="0.35">
      <c r="A42" s="22"/>
      <c r="B42" s="23"/>
      <c r="C42" s="25"/>
      <c r="D42" s="22"/>
      <c r="E42" s="22"/>
      <c r="F42" s="22"/>
      <c r="G42" s="22"/>
      <c r="H42" s="22"/>
      <c r="I42" s="20" t="str">
        <f>IF(OR($A42="",$H42=""),"",VLOOKUP($H42,SubjectBands,2,TRUE))</f>
        <v/>
      </c>
      <c r="J42" s="22"/>
      <c r="K42" s="22"/>
      <c r="L42" s="20" t="str">
        <f t="shared" si="3"/>
        <v/>
      </c>
      <c r="M42" s="24" t="str">
        <f>IF($L42="Yes",$C42+NotifyHours/24,"")</f>
        <v/>
      </c>
      <c r="N42" s="25"/>
      <c r="O42" s="20" t="str">
        <f t="shared" si="4"/>
        <v/>
      </c>
      <c r="P42" s="20" t="str">
        <f>IF($O42="","",VLOOKUP($O42,TimeBands,2,TRUE))</f>
        <v/>
      </c>
      <c r="Q42" s="20" t="str">
        <f>IF($L42&lt;&gt;"Yes","",IF($N42="",IF(ReportDate&gt;$M42,"Overdue","Pending"),IF($N42&lt;=$M42,"Y","N")))</f>
        <v/>
      </c>
      <c r="R42" s="20" t="str">
        <f t="shared" si="5"/>
        <v/>
      </c>
      <c r="S42" s="22"/>
      <c r="T42" s="22"/>
      <c r="U42" s="22"/>
      <c r="V42" s="23"/>
      <c r="W42" s="20" t="str">
        <f>IF($A42="","",IF(IF(OR($C42="",$E42="",$F42="",$K42="",$T42="",$U42=""),"missing required field; ","")&amp;IF(COUNTIF($A$2:$A$101,$A42)&gt;1,"duplicate ID; ","")&amp;IF($H42="","subjects affected missing; ","")&amp;IF(AND($B42&lt;&gt;"",$C42&lt;&gt;"",INT($C42)&lt;$B42),"aware before occurred; ","")&amp;IF(AND($N42&lt;&gt;"",$C42&lt;&gt;"",$N42&lt;$C42),"notified before aware; ","")&amp;IF(AND($L42="Yes",$N42="",$U42="Closed"),"closed without DPC notification; ","")&amp;IF(AND($N42&lt;&gt;"",$L42&lt;&gt;"Yes"),"notified although assessed not notifiable - confirm; ","")&amp;IF(AND($U42="Closed",$V42=""),"closed without closed date; ","")&amp;IF(AND($V42&lt;&gt;"",$C42&lt;&gt;"",$V42&lt;INT($C42)),"closed before aware; ","")&amp;IF(AND($C42&lt;&gt;"",$C42&gt;=ReportDate+1),"aware after snapshot date; ","")="","OK","Check: "&amp;IF(OR($C42="",$E42="",$F42="",$K42="",$T42="",$U42=""),"missing required field; ","")&amp;IF(COUNTIF($A$2:$A$101,$A42)&gt;1,"duplicate ID; ","")&amp;IF($H42="","subjects affected missing; ","")&amp;IF(AND($B42&lt;&gt;"",$C42&lt;&gt;"",INT($C42)&lt;$B42),"aware before occurred; ","")&amp;IF(AND($N42&lt;&gt;"",$C42&lt;&gt;"",$N42&lt;$C42),"notified before aware; ","")&amp;IF(AND($L42="Yes",$N42="",$U42="Closed"),"closed without DPC notification; ","")&amp;IF(AND($N42&lt;&gt;"",$L42&lt;&gt;"Yes"),"notified although assessed not notifiable - confirm; ","")&amp;IF(AND($U42="Closed",$V42=""),"closed without closed date; ","")&amp;IF(AND($V42&lt;&gt;"",$C42&lt;&gt;"",$V42&lt;INT($C42)),"closed before aware; ","")&amp;IF(AND($C42&lt;&gt;"",$C42&gt;=ReportDate+1),"aware after snapshot date; ","")))</f>
        <v/>
      </c>
      <c r="X42" s="22"/>
    </row>
    <row r="43" spans="1:24" x14ac:dyDescent="0.35">
      <c r="A43" s="22"/>
      <c r="B43" s="23"/>
      <c r="C43" s="25"/>
      <c r="D43" s="22"/>
      <c r="E43" s="22"/>
      <c r="F43" s="22"/>
      <c r="G43" s="22"/>
      <c r="H43" s="22"/>
      <c r="I43" s="20" t="str">
        <f>IF(OR($A43="",$H43=""),"",VLOOKUP($H43,SubjectBands,2,TRUE))</f>
        <v/>
      </c>
      <c r="J43" s="22"/>
      <c r="K43" s="22"/>
      <c r="L43" s="20" t="str">
        <f t="shared" si="3"/>
        <v/>
      </c>
      <c r="M43" s="24" t="str">
        <f>IF($L43="Yes",$C43+NotifyHours/24,"")</f>
        <v/>
      </c>
      <c r="N43" s="25"/>
      <c r="O43" s="20" t="str">
        <f t="shared" si="4"/>
        <v/>
      </c>
      <c r="P43" s="20" t="str">
        <f>IF($O43="","",VLOOKUP($O43,TimeBands,2,TRUE))</f>
        <v/>
      </c>
      <c r="Q43" s="20" t="str">
        <f>IF($L43&lt;&gt;"Yes","",IF($N43="",IF(ReportDate&gt;$M43,"Overdue","Pending"),IF($N43&lt;=$M43,"Y","N")))</f>
        <v/>
      </c>
      <c r="R43" s="20" t="str">
        <f t="shared" si="5"/>
        <v/>
      </c>
      <c r="S43" s="22"/>
      <c r="T43" s="22"/>
      <c r="U43" s="22"/>
      <c r="V43" s="23"/>
      <c r="W43" s="20" t="str">
        <f>IF($A43="","",IF(IF(OR($C43="",$E43="",$F43="",$K43="",$T43="",$U43=""),"missing required field; ","")&amp;IF(COUNTIF($A$2:$A$101,$A43)&gt;1,"duplicate ID; ","")&amp;IF($H43="","subjects affected missing; ","")&amp;IF(AND($B43&lt;&gt;"",$C43&lt;&gt;"",INT($C43)&lt;$B43),"aware before occurred; ","")&amp;IF(AND($N43&lt;&gt;"",$C43&lt;&gt;"",$N43&lt;$C43),"notified before aware; ","")&amp;IF(AND($L43="Yes",$N43="",$U43="Closed"),"closed without DPC notification; ","")&amp;IF(AND($N43&lt;&gt;"",$L43&lt;&gt;"Yes"),"notified although assessed not notifiable - confirm; ","")&amp;IF(AND($U43="Closed",$V43=""),"closed without closed date; ","")&amp;IF(AND($V43&lt;&gt;"",$C43&lt;&gt;"",$V43&lt;INT($C43)),"closed before aware; ","")&amp;IF(AND($C43&lt;&gt;"",$C43&gt;=ReportDate+1),"aware after snapshot date; ","")="","OK","Check: "&amp;IF(OR($C43="",$E43="",$F43="",$K43="",$T43="",$U43=""),"missing required field; ","")&amp;IF(COUNTIF($A$2:$A$101,$A43)&gt;1,"duplicate ID; ","")&amp;IF($H43="","subjects affected missing; ","")&amp;IF(AND($B43&lt;&gt;"",$C43&lt;&gt;"",INT($C43)&lt;$B43),"aware before occurred; ","")&amp;IF(AND($N43&lt;&gt;"",$C43&lt;&gt;"",$N43&lt;$C43),"notified before aware; ","")&amp;IF(AND($L43="Yes",$N43="",$U43="Closed"),"closed without DPC notification; ","")&amp;IF(AND($N43&lt;&gt;"",$L43&lt;&gt;"Yes"),"notified although assessed not notifiable - confirm; ","")&amp;IF(AND($U43="Closed",$V43=""),"closed without closed date; ","")&amp;IF(AND($V43&lt;&gt;"",$C43&lt;&gt;"",$V43&lt;INT($C43)),"closed before aware; ","")&amp;IF(AND($C43&lt;&gt;"",$C43&gt;=ReportDate+1),"aware after snapshot date; ","")))</f>
        <v/>
      </c>
      <c r="X43" s="22"/>
    </row>
    <row r="44" spans="1:24" x14ac:dyDescent="0.35">
      <c r="A44" s="22"/>
      <c r="B44" s="23"/>
      <c r="C44" s="25"/>
      <c r="D44" s="22"/>
      <c r="E44" s="22"/>
      <c r="F44" s="22"/>
      <c r="G44" s="22"/>
      <c r="H44" s="22"/>
      <c r="I44" s="20" t="str">
        <f>IF(OR($A44="",$H44=""),"",VLOOKUP($H44,SubjectBands,2,TRUE))</f>
        <v/>
      </c>
      <c r="J44" s="22"/>
      <c r="K44" s="22"/>
      <c r="L44" s="20" t="str">
        <f t="shared" si="3"/>
        <v/>
      </c>
      <c r="M44" s="24" t="str">
        <f>IF($L44="Yes",$C44+NotifyHours/24,"")</f>
        <v/>
      </c>
      <c r="N44" s="25"/>
      <c r="O44" s="20" t="str">
        <f t="shared" si="4"/>
        <v/>
      </c>
      <c r="P44" s="20" t="str">
        <f>IF($O44="","",VLOOKUP($O44,TimeBands,2,TRUE))</f>
        <v/>
      </c>
      <c r="Q44" s="20" t="str">
        <f>IF($L44&lt;&gt;"Yes","",IF($N44="",IF(ReportDate&gt;$M44,"Overdue","Pending"),IF($N44&lt;=$M44,"Y","N")))</f>
        <v/>
      </c>
      <c r="R44" s="20" t="str">
        <f t="shared" si="5"/>
        <v/>
      </c>
      <c r="S44" s="22"/>
      <c r="T44" s="22"/>
      <c r="U44" s="22"/>
      <c r="V44" s="23"/>
      <c r="W44" s="20" t="str">
        <f>IF($A44="","",IF(IF(OR($C44="",$E44="",$F44="",$K44="",$T44="",$U44=""),"missing required field; ","")&amp;IF(COUNTIF($A$2:$A$101,$A44)&gt;1,"duplicate ID; ","")&amp;IF($H44="","subjects affected missing; ","")&amp;IF(AND($B44&lt;&gt;"",$C44&lt;&gt;"",INT($C44)&lt;$B44),"aware before occurred; ","")&amp;IF(AND($N44&lt;&gt;"",$C44&lt;&gt;"",$N44&lt;$C44),"notified before aware; ","")&amp;IF(AND($L44="Yes",$N44="",$U44="Closed"),"closed without DPC notification; ","")&amp;IF(AND($N44&lt;&gt;"",$L44&lt;&gt;"Yes"),"notified although assessed not notifiable - confirm; ","")&amp;IF(AND($U44="Closed",$V44=""),"closed without closed date; ","")&amp;IF(AND($V44&lt;&gt;"",$C44&lt;&gt;"",$V44&lt;INT($C44)),"closed before aware; ","")&amp;IF(AND($C44&lt;&gt;"",$C44&gt;=ReportDate+1),"aware after snapshot date; ","")="","OK","Check: "&amp;IF(OR($C44="",$E44="",$F44="",$K44="",$T44="",$U44=""),"missing required field; ","")&amp;IF(COUNTIF($A$2:$A$101,$A44)&gt;1,"duplicate ID; ","")&amp;IF($H44="","subjects affected missing; ","")&amp;IF(AND($B44&lt;&gt;"",$C44&lt;&gt;"",INT($C44)&lt;$B44),"aware before occurred; ","")&amp;IF(AND($N44&lt;&gt;"",$C44&lt;&gt;"",$N44&lt;$C44),"notified before aware; ","")&amp;IF(AND($L44="Yes",$N44="",$U44="Closed"),"closed without DPC notification; ","")&amp;IF(AND($N44&lt;&gt;"",$L44&lt;&gt;"Yes"),"notified although assessed not notifiable - confirm; ","")&amp;IF(AND($U44="Closed",$V44=""),"closed without closed date; ","")&amp;IF(AND($V44&lt;&gt;"",$C44&lt;&gt;"",$V44&lt;INT($C44)),"closed before aware; ","")&amp;IF(AND($C44&lt;&gt;"",$C44&gt;=ReportDate+1),"aware after snapshot date; ","")))</f>
        <v/>
      </c>
      <c r="X44" s="22"/>
    </row>
    <row r="45" spans="1:24" x14ac:dyDescent="0.35">
      <c r="A45" s="22"/>
      <c r="B45" s="23"/>
      <c r="C45" s="25"/>
      <c r="D45" s="22"/>
      <c r="E45" s="22"/>
      <c r="F45" s="22"/>
      <c r="G45" s="22"/>
      <c r="H45" s="22"/>
      <c r="I45" s="20" t="str">
        <f>IF(OR($A45="",$H45=""),"",VLOOKUP($H45,SubjectBands,2,TRUE))</f>
        <v/>
      </c>
      <c r="J45" s="22"/>
      <c r="K45" s="22"/>
      <c r="L45" s="20" t="str">
        <f t="shared" si="3"/>
        <v/>
      </c>
      <c r="M45" s="24" t="str">
        <f>IF($L45="Yes",$C45+NotifyHours/24,"")</f>
        <v/>
      </c>
      <c r="N45" s="25"/>
      <c r="O45" s="20" t="str">
        <f t="shared" si="4"/>
        <v/>
      </c>
      <c r="P45" s="20" t="str">
        <f>IF($O45="","",VLOOKUP($O45,TimeBands,2,TRUE))</f>
        <v/>
      </c>
      <c r="Q45" s="20" t="str">
        <f>IF($L45&lt;&gt;"Yes","",IF($N45="",IF(ReportDate&gt;$M45,"Overdue","Pending"),IF($N45&lt;=$M45,"Y","N")))</f>
        <v/>
      </c>
      <c r="R45" s="20" t="str">
        <f t="shared" si="5"/>
        <v/>
      </c>
      <c r="S45" s="22"/>
      <c r="T45" s="22"/>
      <c r="U45" s="22"/>
      <c r="V45" s="23"/>
      <c r="W45" s="20" t="str">
        <f>IF($A45="","",IF(IF(OR($C45="",$E45="",$F45="",$K45="",$T45="",$U45=""),"missing required field; ","")&amp;IF(COUNTIF($A$2:$A$101,$A45)&gt;1,"duplicate ID; ","")&amp;IF($H45="","subjects affected missing; ","")&amp;IF(AND($B45&lt;&gt;"",$C45&lt;&gt;"",INT($C45)&lt;$B45),"aware before occurred; ","")&amp;IF(AND($N45&lt;&gt;"",$C45&lt;&gt;"",$N45&lt;$C45),"notified before aware; ","")&amp;IF(AND($L45="Yes",$N45="",$U45="Closed"),"closed without DPC notification; ","")&amp;IF(AND($N45&lt;&gt;"",$L45&lt;&gt;"Yes"),"notified although assessed not notifiable - confirm; ","")&amp;IF(AND($U45="Closed",$V45=""),"closed without closed date; ","")&amp;IF(AND($V45&lt;&gt;"",$C45&lt;&gt;"",$V45&lt;INT($C45)),"closed before aware; ","")&amp;IF(AND($C45&lt;&gt;"",$C45&gt;=ReportDate+1),"aware after snapshot date; ","")="","OK","Check: "&amp;IF(OR($C45="",$E45="",$F45="",$K45="",$T45="",$U45=""),"missing required field; ","")&amp;IF(COUNTIF($A$2:$A$101,$A45)&gt;1,"duplicate ID; ","")&amp;IF($H45="","subjects affected missing; ","")&amp;IF(AND($B45&lt;&gt;"",$C45&lt;&gt;"",INT($C45)&lt;$B45),"aware before occurred; ","")&amp;IF(AND($N45&lt;&gt;"",$C45&lt;&gt;"",$N45&lt;$C45),"notified before aware; ","")&amp;IF(AND($L45="Yes",$N45="",$U45="Closed"),"closed without DPC notification; ","")&amp;IF(AND($N45&lt;&gt;"",$L45&lt;&gt;"Yes"),"notified although assessed not notifiable - confirm; ","")&amp;IF(AND($U45="Closed",$V45=""),"closed without closed date; ","")&amp;IF(AND($V45&lt;&gt;"",$C45&lt;&gt;"",$V45&lt;INT($C45)),"closed before aware; ","")&amp;IF(AND($C45&lt;&gt;"",$C45&gt;=ReportDate+1),"aware after snapshot date; ","")))</f>
        <v/>
      </c>
      <c r="X45" s="22"/>
    </row>
    <row r="46" spans="1:24" x14ac:dyDescent="0.35">
      <c r="A46" s="22"/>
      <c r="B46" s="23"/>
      <c r="C46" s="25"/>
      <c r="D46" s="22"/>
      <c r="E46" s="22"/>
      <c r="F46" s="22"/>
      <c r="G46" s="22"/>
      <c r="H46" s="22"/>
      <c r="I46" s="20" t="str">
        <f>IF(OR($A46="",$H46=""),"",VLOOKUP($H46,SubjectBands,2,TRUE))</f>
        <v/>
      </c>
      <c r="J46" s="22"/>
      <c r="K46" s="22"/>
      <c r="L46" s="20" t="str">
        <f t="shared" si="3"/>
        <v/>
      </c>
      <c r="M46" s="24" t="str">
        <f>IF($L46="Yes",$C46+NotifyHours/24,"")</f>
        <v/>
      </c>
      <c r="N46" s="25"/>
      <c r="O46" s="20" t="str">
        <f t="shared" si="4"/>
        <v/>
      </c>
      <c r="P46" s="20" t="str">
        <f>IF($O46="","",VLOOKUP($O46,TimeBands,2,TRUE))</f>
        <v/>
      </c>
      <c r="Q46" s="20" t="str">
        <f>IF($L46&lt;&gt;"Yes","",IF($N46="",IF(ReportDate&gt;$M46,"Overdue","Pending"),IF($N46&lt;=$M46,"Y","N")))</f>
        <v/>
      </c>
      <c r="R46" s="20" t="str">
        <f t="shared" si="5"/>
        <v/>
      </c>
      <c r="S46" s="22"/>
      <c r="T46" s="22"/>
      <c r="U46" s="22"/>
      <c r="V46" s="23"/>
      <c r="W46" s="20" t="str">
        <f>IF($A46="","",IF(IF(OR($C46="",$E46="",$F46="",$K46="",$T46="",$U46=""),"missing required field; ","")&amp;IF(COUNTIF($A$2:$A$101,$A46)&gt;1,"duplicate ID; ","")&amp;IF($H46="","subjects affected missing; ","")&amp;IF(AND($B46&lt;&gt;"",$C46&lt;&gt;"",INT($C46)&lt;$B46),"aware before occurred; ","")&amp;IF(AND($N46&lt;&gt;"",$C46&lt;&gt;"",$N46&lt;$C46),"notified before aware; ","")&amp;IF(AND($L46="Yes",$N46="",$U46="Closed"),"closed without DPC notification; ","")&amp;IF(AND($N46&lt;&gt;"",$L46&lt;&gt;"Yes"),"notified although assessed not notifiable - confirm; ","")&amp;IF(AND($U46="Closed",$V46=""),"closed without closed date; ","")&amp;IF(AND($V46&lt;&gt;"",$C46&lt;&gt;"",$V46&lt;INT($C46)),"closed before aware; ","")&amp;IF(AND($C46&lt;&gt;"",$C46&gt;=ReportDate+1),"aware after snapshot date; ","")="","OK","Check: "&amp;IF(OR($C46="",$E46="",$F46="",$K46="",$T46="",$U46=""),"missing required field; ","")&amp;IF(COUNTIF($A$2:$A$101,$A46)&gt;1,"duplicate ID; ","")&amp;IF($H46="","subjects affected missing; ","")&amp;IF(AND($B46&lt;&gt;"",$C46&lt;&gt;"",INT($C46)&lt;$B46),"aware before occurred; ","")&amp;IF(AND($N46&lt;&gt;"",$C46&lt;&gt;"",$N46&lt;$C46),"notified before aware; ","")&amp;IF(AND($L46="Yes",$N46="",$U46="Closed"),"closed without DPC notification; ","")&amp;IF(AND($N46&lt;&gt;"",$L46&lt;&gt;"Yes"),"notified although assessed not notifiable - confirm; ","")&amp;IF(AND($U46="Closed",$V46=""),"closed without closed date; ","")&amp;IF(AND($V46&lt;&gt;"",$C46&lt;&gt;"",$V46&lt;INT($C46)),"closed before aware; ","")&amp;IF(AND($C46&lt;&gt;"",$C46&gt;=ReportDate+1),"aware after snapshot date; ","")))</f>
        <v/>
      </c>
      <c r="X46" s="22"/>
    </row>
    <row r="47" spans="1:24" x14ac:dyDescent="0.35">
      <c r="A47" s="22"/>
      <c r="B47" s="23"/>
      <c r="C47" s="25"/>
      <c r="D47" s="22"/>
      <c r="E47" s="22"/>
      <c r="F47" s="22"/>
      <c r="G47" s="22"/>
      <c r="H47" s="22"/>
      <c r="I47" s="20" t="str">
        <f>IF(OR($A47="",$H47=""),"",VLOOKUP($H47,SubjectBands,2,TRUE))</f>
        <v/>
      </c>
      <c r="J47" s="22"/>
      <c r="K47" s="22"/>
      <c r="L47" s="20" t="str">
        <f t="shared" si="3"/>
        <v/>
      </c>
      <c r="M47" s="24" t="str">
        <f>IF($L47="Yes",$C47+NotifyHours/24,"")</f>
        <v/>
      </c>
      <c r="N47" s="25"/>
      <c r="O47" s="20" t="str">
        <f t="shared" si="4"/>
        <v/>
      </c>
      <c r="P47" s="20" t="str">
        <f>IF($O47="","",VLOOKUP($O47,TimeBands,2,TRUE))</f>
        <v/>
      </c>
      <c r="Q47" s="20" t="str">
        <f>IF($L47&lt;&gt;"Yes","",IF($N47="",IF(ReportDate&gt;$M47,"Overdue","Pending"),IF($N47&lt;=$M47,"Y","N")))</f>
        <v/>
      </c>
      <c r="R47" s="20" t="str">
        <f t="shared" si="5"/>
        <v/>
      </c>
      <c r="S47" s="22"/>
      <c r="T47" s="22"/>
      <c r="U47" s="22"/>
      <c r="V47" s="23"/>
      <c r="W47" s="20" t="str">
        <f>IF($A47="","",IF(IF(OR($C47="",$E47="",$F47="",$K47="",$T47="",$U47=""),"missing required field; ","")&amp;IF(COUNTIF($A$2:$A$101,$A47)&gt;1,"duplicate ID; ","")&amp;IF($H47="","subjects affected missing; ","")&amp;IF(AND($B47&lt;&gt;"",$C47&lt;&gt;"",INT($C47)&lt;$B47),"aware before occurred; ","")&amp;IF(AND($N47&lt;&gt;"",$C47&lt;&gt;"",$N47&lt;$C47),"notified before aware; ","")&amp;IF(AND($L47="Yes",$N47="",$U47="Closed"),"closed without DPC notification; ","")&amp;IF(AND($N47&lt;&gt;"",$L47&lt;&gt;"Yes"),"notified although assessed not notifiable - confirm; ","")&amp;IF(AND($U47="Closed",$V47=""),"closed without closed date; ","")&amp;IF(AND($V47&lt;&gt;"",$C47&lt;&gt;"",$V47&lt;INT($C47)),"closed before aware; ","")&amp;IF(AND($C47&lt;&gt;"",$C47&gt;=ReportDate+1),"aware after snapshot date; ","")="","OK","Check: "&amp;IF(OR($C47="",$E47="",$F47="",$K47="",$T47="",$U47=""),"missing required field; ","")&amp;IF(COUNTIF($A$2:$A$101,$A47)&gt;1,"duplicate ID; ","")&amp;IF($H47="","subjects affected missing; ","")&amp;IF(AND($B47&lt;&gt;"",$C47&lt;&gt;"",INT($C47)&lt;$B47),"aware before occurred; ","")&amp;IF(AND($N47&lt;&gt;"",$C47&lt;&gt;"",$N47&lt;$C47),"notified before aware; ","")&amp;IF(AND($L47="Yes",$N47="",$U47="Closed"),"closed without DPC notification; ","")&amp;IF(AND($N47&lt;&gt;"",$L47&lt;&gt;"Yes"),"notified although assessed not notifiable - confirm; ","")&amp;IF(AND($U47="Closed",$V47=""),"closed without closed date; ","")&amp;IF(AND($V47&lt;&gt;"",$C47&lt;&gt;"",$V47&lt;INT($C47)),"closed before aware; ","")&amp;IF(AND($C47&lt;&gt;"",$C47&gt;=ReportDate+1),"aware after snapshot date; ","")))</f>
        <v/>
      </c>
      <c r="X47" s="22"/>
    </row>
    <row r="48" spans="1:24" x14ac:dyDescent="0.35">
      <c r="A48" s="22"/>
      <c r="B48" s="23"/>
      <c r="C48" s="25"/>
      <c r="D48" s="22"/>
      <c r="E48" s="22"/>
      <c r="F48" s="22"/>
      <c r="G48" s="22"/>
      <c r="H48" s="22"/>
      <c r="I48" s="20" t="str">
        <f>IF(OR($A48="",$H48=""),"",VLOOKUP($H48,SubjectBands,2,TRUE))</f>
        <v/>
      </c>
      <c r="J48" s="22"/>
      <c r="K48" s="22"/>
      <c r="L48" s="20" t="str">
        <f t="shared" si="3"/>
        <v/>
      </c>
      <c r="M48" s="24" t="str">
        <f>IF($L48="Yes",$C48+NotifyHours/24,"")</f>
        <v/>
      </c>
      <c r="N48" s="25"/>
      <c r="O48" s="20" t="str">
        <f t="shared" si="4"/>
        <v/>
      </c>
      <c r="P48" s="20" t="str">
        <f>IF($O48="","",VLOOKUP($O48,TimeBands,2,TRUE))</f>
        <v/>
      </c>
      <c r="Q48" s="20" t="str">
        <f>IF($L48&lt;&gt;"Yes","",IF($N48="",IF(ReportDate&gt;$M48,"Overdue","Pending"),IF($N48&lt;=$M48,"Y","N")))</f>
        <v/>
      </c>
      <c r="R48" s="20" t="str">
        <f t="shared" si="5"/>
        <v/>
      </c>
      <c r="S48" s="22"/>
      <c r="T48" s="22"/>
      <c r="U48" s="22"/>
      <c r="V48" s="23"/>
      <c r="W48" s="20" t="str">
        <f>IF($A48="","",IF(IF(OR($C48="",$E48="",$F48="",$K48="",$T48="",$U48=""),"missing required field; ","")&amp;IF(COUNTIF($A$2:$A$101,$A48)&gt;1,"duplicate ID; ","")&amp;IF($H48="","subjects affected missing; ","")&amp;IF(AND($B48&lt;&gt;"",$C48&lt;&gt;"",INT($C48)&lt;$B48),"aware before occurred; ","")&amp;IF(AND($N48&lt;&gt;"",$C48&lt;&gt;"",$N48&lt;$C48),"notified before aware; ","")&amp;IF(AND($L48="Yes",$N48="",$U48="Closed"),"closed without DPC notification; ","")&amp;IF(AND($N48&lt;&gt;"",$L48&lt;&gt;"Yes"),"notified although assessed not notifiable - confirm; ","")&amp;IF(AND($U48="Closed",$V48=""),"closed without closed date; ","")&amp;IF(AND($V48&lt;&gt;"",$C48&lt;&gt;"",$V48&lt;INT($C48)),"closed before aware; ","")&amp;IF(AND($C48&lt;&gt;"",$C48&gt;=ReportDate+1),"aware after snapshot date; ","")="","OK","Check: "&amp;IF(OR($C48="",$E48="",$F48="",$K48="",$T48="",$U48=""),"missing required field; ","")&amp;IF(COUNTIF($A$2:$A$101,$A48)&gt;1,"duplicate ID; ","")&amp;IF($H48="","subjects affected missing; ","")&amp;IF(AND($B48&lt;&gt;"",$C48&lt;&gt;"",INT($C48)&lt;$B48),"aware before occurred; ","")&amp;IF(AND($N48&lt;&gt;"",$C48&lt;&gt;"",$N48&lt;$C48),"notified before aware; ","")&amp;IF(AND($L48="Yes",$N48="",$U48="Closed"),"closed without DPC notification; ","")&amp;IF(AND($N48&lt;&gt;"",$L48&lt;&gt;"Yes"),"notified although assessed not notifiable - confirm; ","")&amp;IF(AND($U48="Closed",$V48=""),"closed without closed date; ","")&amp;IF(AND($V48&lt;&gt;"",$C48&lt;&gt;"",$V48&lt;INT($C48)),"closed before aware; ","")&amp;IF(AND($C48&lt;&gt;"",$C48&gt;=ReportDate+1),"aware after snapshot date; ","")))</f>
        <v/>
      </c>
      <c r="X48" s="22"/>
    </row>
    <row r="49" spans="1:24" x14ac:dyDescent="0.35">
      <c r="A49" s="22"/>
      <c r="B49" s="23"/>
      <c r="C49" s="25"/>
      <c r="D49" s="22"/>
      <c r="E49" s="22"/>
      <c r="F49" s="22"/>
      <c r="G49" s="22"/>
      <c r="H49" s="22"/>
      <c r="I49" s="20" t="str">
        <f>IF(OR($A49="",$H49=""),"",VLOOKUP($H49,SubjectBands,2,TRUE))</f>
        <v/>
      </c>
      <c r="J49" s="22"/>
      <c r="K49" s="22"/>
      <c r="L49" s="20" t="str">
        <f t="shared" si="3"/>
        <v/>
      </c>
      <c r="M49" s="24" t="str">
        <f>IF($L49="Yes",$C49+NotifyHours/24,"")</f>
        <v/>
      </c>
      <c r="N49" s="25"/>
      <c r="O49" s="20" t="str">
        <f t="shared" si="4"/>
        <v/>
      </c>
      <c r="P49" s="20" t="str">
        <f>IF($O49="","",VLOOKUP($O49,TimeBands,2,TRUE))</f>
        <v/>
      </c>
      <c r="Q49" s="20" t="str">
        <f>IF($L49&lt;&gt;"Yes","",IF($N49="",IF(ReportDate&gt;$M49,"Overdue","Pending"),IF($N49&lt;=$M49,"Y","N")))</f>
        <v/>
      </c>
      <c r="R49" s="20" t="str">
        <f t="shared" si="5"/>
        <v/>
      </c>
      <c r="S49" s="22"/>
      <c r="T49" s="22"/>
      <c r="U49" s="22"/>
      <c r="V49" s="23"/>
      <c r="W49" s="20" t="str">
        <f>IF($A49="","",IF(IF(OR($C49="",$E49="",$F49="",$K49="",$T49="",$U49=""),"missing required field; ","")&amp;IF(COUNTIF($A$2:$A$101,$A49)&gt;1,"duplicate ID; ","")&amp;IF($H49="","subjects affected missing; ","")&amp;IF(AND($B49&lt;&gt;"",$C49&lt;&gt;"",INT($C49)&lt;$B49),"aware before occurred; ","")&amp;IF(AND($N49&lt;&gt;"",$C49&lt;&gt;"",$N49&lt;$C49),"notified before aware; ","")&amp;IF(AND($L49="Yes",$N49="",$U49="Closed"),"closed without DPC notification; ","")&amp;IF(AND($N49&lt;&gt;"",$L49&lt;&gt;"Yes"),"notified although assessed not notifiable - confirm; ","")&amp;IF(AND($U49="Closed",$V49=""),"closed without closed date; ","")&amp;IF(AND($V49&lt;&gt;"",$C49&lt;&gt;"",$V49&lt;INT($C49)),"closed before aware; ","")&amp;IF(AND($C49&lt;&gt;"",$C49&gt;=ReportDate+1),"aware after snapshot date; ","")="","OK","Check: "&amp;IF(OR($C49="",$E49="",$F49="",$K49="",$T49="",$U49=""),"missing required field; ","")&amp;IF(COUNTIF($A$2:$A$101,$A49)&gt;1,"duplicate ID; ","")&amp;IF($H49="","subjects affected missing; ","")&amp;IF(AND($B49&lt;&gt;"",$C49&lt;&gt;"",INT($C49)&lt;$B49),"aware before occurred; ","")&amp;IF(AND($N49&lt;&gt;"",$C49&lt;&gt;"",$N49&lt;$C49),"notified before aware; ","")&amp;IF(AND($L49="Yes",$N49="",$U49="Closed"),"closed without DPC notification; ","")&amp;IF(AND($N49&lt;&gt;"",$L49&lt;&gt;"Yes"),"notified although assessed not notifiable - confirm; ","")&amp;IF(AND($U49="Closed",$V49=""),"closed without closed date; ","")&amp;IF(AND($V49&lt;&gt;"",$C49&lt;&gt;"",$V49&lt;INT($C49)),"closed before aware; ","")&amp;IF(AND($C49&lt;&gt;"",$C49&gt;=ReportDate+1),"aware after snapshot date; ","")))</f>
        <v/>
      </c>
      <c r="X49" s="22"/>
    </row>
    <row r="50" spans="1:24" x14ac:dyDescent="0.35">
      <c r="A50" s="22"/>
      <c r="B50" s="23"/>
      <c r="C50" s="25"/>
      <c r="D50" s="22"/>
      <c r="E50" s="22"/>
      <c r="F50" s="22"/>
      <c r="G50" s="22"/>
      <c r="H50" s="22"/>
      <c r="I50" s="20" t="str">
        <f>IF(OR($A50="",$H50=""),"",VLOOKUP($H50,SubjectBands,2,TRUE))</f>
        <v/>
      </c>
      <c r="J50" s="22"/>
      <c r="K50" s="22"/>
      <c r="L50" s="20" t="str">
        <f t="shared" si="3"/>
        <v/>
      </c>
      <c r="M50" s="24" t="str">
        <f>IF($L50="Yes",$C50+NotifyHours/24,"")</f>
        <v/>
      </c>
      <c r="N50" s="25"/>
      <c r="O50" s="20" t="str">
        <f t="shared" si="4"/>
        <v/>
      </c>
      <c r="P50" s="20" t="str">
        <f>IF($O50="","",VLOOKUP($O50,TimeBands,2,TRUE))</f>
        <v/>
      </c>
      <c r="Q50" s="20" t="str">
        <f>IF($L50&lt;&gt;"Yes","",IF($N50="",IF(ReportDate&gt;$M50,"Overdue","Pending"),IF($N50&lt;=$M50,"Y","N")))</f>
        <v/>
      </c>
      <c r="R50" s="20" t="str">
        <f t="shared" si="5"/>
        <v/>
      </c>
      <c r="S50" s="22"/>
      <c r="T50" s="22"/>
      <c r="U50" s="22"/>
      <c r="V50" s="23"/>
      <c r="W50" s="20" t="str">
        <f>IF($A50="","",IF(IF(OR($C50="",$E50="",$F50="",$K50="",$T50="",$U50=""),"missing required field; ","")&amp;IF(COUNTIF($A$2:$A$101,$A50)&gt;1,"duplicate ID; ","")&amp;IF($H50="","subjects affected missing; ","")&amp;IF(AND($B50&lt;&gt;"",$C50&lt;&gt;"",INT($C50)&lt;$B50),"aware before occurred; ","")&amp;IF(AND($N50&lt;&gt;"",$C50&lt;&gt;"",$N50&lt;$C50),"notified before aware; ","")&amp;IF(AND($L50="Yes",$N50="",$U50="Closed"),"closed without DPC notification; ","")&amp;IF(AND($N50&lt;&gt;"",$L50&lt;&gt;"Yes"),"notified although assessed not notifiable - confirm; ","")&amp;IF(AND($U50="Closed",$V50=""),"closed without closed date; ","")&amp;IF(AND($V50&lt;&gt;"",$C50&lt;&gt;"",$V50&lt;INT($C50)),"closed before aware; ","")&amp;IF(AND($C50&lt;&gt;"",$C50&gt;=ReportDate+1),"aware after snapshot date; ","")="","OK","Check: "&amp;IF(OR($C50="",$E50="",$F50="",$K50="",$T50="",$U50=""),"missing required field; ","")&amp;IF(COUNTIF($A$2:$A$101,$A50)&gt;1,"duplicate ID; ","")&amp;IF($H50="","subjects affected missing; ","")&amp;IF(AND($B50&lt;&gt;"",$C50&lt;&gt;"",INT($C50)&lt;$B50),"aware before occurred; ","")&amp;IF(AND($N50&lt;&gt;"",$C50&lt;&gt;"",$N50&lt;$C50),"notified before aware; ","")&amp;IF(AND($L50="Yes",$N50="",$U50="Closed"),"closed without DPC notification; ","")&amp;IF(AND($N50&lt;&gt;"",$L50&lt;&gt;"Yes"),"notified although assessed not notifiable - confirm; ","")&amp;IF(AND($U50="Closed",$V50=""),"closed without closed date; ","")&amp;IF(AND($V50&lt;&gt;"",$C50&lt;&gt;"",$V50&lt;INT($C50)),"closed before aware; ","")&amp;IF(AND($C50&lt;&gt;"",$C50&gt;=ReportDate+1),"aware after snapshot date; ","")))</f>
        <v/>
      </c>
      <c r="X50" s="22"/>
    </row>
    <row r="51" spans="1:24" x14ac:dyDescent="0.35">
      <c r="A51" s="22"/>
      <c r="B51" s="23"/>
      <c r="C51" s="25"/>
      <c r="D51" s="22"/>
      <c r="E51" s="22"/>
      <c r="F51" s="22"/>
      <c r="G51" s="22"/>
      <c r="H51" s="22"/>
      <c r="I51" s="20" t="str">
        <f>IF(OR($A51="",$H51=""),"",VLOOKUP($H51,SubjectBands,2,TRUE))</f>
        <v/>
      </c>
      <c r="J51" s="22"/>
      <c r="K51" s="22"/>
      <c r="L51" s="20" t="str">
        <f t="shared" si="3"/>
        <v/>
      </c>
      <c r="M51" s="24" t="str">
        <f>IF($L51="Yes",$C51+NotifyHours/24,"")</f>
        <v/>
      </c>
      <c r="N51" s="25"/>
      <c r="O51" s="20" t="str">
        <f t="shared" si="4"/>
        <v/>
      </c>
      <c r="P51" s="20" t="str">
        <f>IF($O51="","",VLOOKUP($O51,TimeBands,2,TRUE))</f>
        <v/>
      </c>
      <c r="Q51" s="20" t="str">
        <f>IF($L51&lt;&gt;"Yes","",IF($N51="",IF(ReportDate&gt;$M51,"Overdue","Pending"),IF($N51&lt;=$M51,"Y","N")))</f>
        <v/>
      </c>
      <c r="R51" s="20" t="str">
        <f t="shared" si="5"/>
        <v/>
      </c>
      <c r="S51" s="22"/>
      <c r="T51" s="22"/>
      <c r="U51" s="22"/>
      <c r="V51" s="23"/>
      <c r="W51" s="20" t="str">
        <f>IF($A51="","",IF(IF(OR($C51="",$E51="",$F51="",$K51="",$T51="",$U51=""),"missing required field; ","")&amp;IF(COUNTIF($A$2:$A$101,$A51)&gt;1,"duplicate ID; ","")&amp;IF($H51="","subjects affected missing; ","")&amp;IF(AND($B51&lt;&gt;"",$C51&lt;&gt;"",INT($C51)&lt;$B51),"aware before occurred; ","")&amp;IF(AND($N51&lt;&gt;"",$C51&lt;&gt;"",$N51&lt;$C51),"notified before aware; ","")&amp;IF(AND($L51="Yes",$N51="",$U51="Closed"),"closed without DPC notification; ","")&amp;IF(AND($N51&lt;&gt;"",$L51&lt;&gt;"Yes"),"notified although assessed not notifiable - confirm; ","")&amp;IF(AND($U51="Closed",$V51=""),"closed without closed date; ","")&amp;IF(AND($V51&lt;&gt;"",$C51&lt;&gt;"",$V51&lt;INT($C51)),"closed before aware; ","")&amp;IF(AND($C51&lt;&gt;"",$C51&gt;=ReportDate+1),"aware after snapshot date; ","")="","OK","Check: "&amp;IF(OR($C51="",$E51="",$F51="",$K51="",$T51="",$U51=""),"missing required field; ","")&amp;IF(COUNTIF($A$2:$A$101,$A51)&gt;1,"duplicate ID; ","")&amp;IF($H51="","subjects affected missing; ","")&amp;IF(AND($B51&lt;&gt;"",$C51&lt;&gt;"",INT($C51)&lt;$B51),"aware before occurred; ","")&amp;IF(AND($N51&lt;&gt;"",$C51&lt;&gt;"",$N51&lt;$C51),"notified before aware; ","")&amp;IF(AND($L51="Yes",$N51="",$U51="Closed"),"closed without DPC notification; ","")&amp;IF(AND($N51&lt;&gt;"",$L51&lt;&gt;"Yes"),"notified although assessed not notifiable - confirm; ","")&amp;IF(AND($U51="Closed",$V51=""),"closed without closed date; ","")&amp;IF(AND($V51&lt;&gt;"",$C51&lt;&gt;"",$V51&lt;INT($C51)),"closed before aware; ","")&amp;IF(AND($C51&lt;&gt;"",$C51&gt;=ReportDate+1),"aware after snapshot date; ","")))</f>
        <v/>
      </c>
      <c r="X51" s="22"/>
    </row>
    <row r="52" spans="1:24" x14ac:dyDescent="0.35">
      <c r="A52" s="22"/>
      <c r="B52" s="23"/>
      <c r="C52" s="25"/>
      <c r="D52" s="22"/>
      <c r="E52" s="22"/>
      <c r="F52" s="22"/>
      <c r="G52" s="22"/>
      <c r="H52" s="22"/>
      <c r="I52" s="20" t="str">
        <f>IF(OR($A52="",$H52=""),"",VLOOKUP($H52,SubjectBands,2,TRUE))</f>
        <v/>
      </c>
      <c r="J52" s="22"/>
      <c r="K52" s="22"/>
      <c r="L52" s="20" t="str">
        <f t="shared" si="3"/>
        <v/>
      </c>
      <c r="M52" s="24" t="str">
        <f>IF($L52="Yes",$C52+NotifyHours/24,"")</f>
        <v/>
      </c>
      <c r="N52" s="25"/>
      <c r="O52" s="20" t="str">
        <f t="shared" si="4"/>
        <v/>
      </c>
      <c r="P52" s="20" t="str">
        <f>IF($O52="","",VLOOKUP($O52,TimeBands,2,TRUE))</f>
        <v/>
      </c>
      <c r="Q52" s="20" t="str">
        <f>IF($L52&lt;&gt;"Yes","",IF($N52="",IF(ReportDate&gt;$M52,"Overdue","Pending"),IF($N52&lt;=$M52,"Y","N")))</f>
        <v/>
      </c>
      <c r="R52" s="20" t="str">
        <f t="shared" si="5"/>
        <v/>
      </c>
      <c r="S52" s="22"/>
      <c r="T52" s="22"/>
      <c r="U52" s="22"/>
      <c r="V52" s="23"/>
      <c r="W52" s="20" t="str">
        <f>IF($A52="","",IF(IF(OR($C52="",$E52="",$F52="",$K52="",$T52="",$U52=""),"missing required field; ","")&amp;IF(COUNTIF($A$2:$A$101,$A52)&gt;1,"duplicate ID; ","")&amp;IF($H52="","subjects affected missing; ","")&amp;IF(AND($B52&lt;&gt;"",$C52&lt;&gt;"",INT($C52)&lt;$B52),"aware before occurred; ","")&amp;IF(AND($N52&lt;&gt;"",$C52&lt;&gt;"",$N52&lt;$C52),"notified before aware; ","")&amp;IF(AND($L52="Yes",$N52="",$U52="Closed"),"closed without DPC notification; ","")&amp;IF(AND($N52&lt;&gt;"",$L52&lt;&gt;"Yes"),"notified although assessed not notifiable - confirm; ","")&amp;IF(AND($U52="Closed",$V52=""),"closed without closed date; ","")&amp;IF(AND($V52&lt;&gt;"",$C52&lt;&gt;"",$V52&lt;INT($C52)),"closed before aware; ","")&amp;IF(AND($C52&lt;&gt;"",$C52&gt;=ReportDate+1),"aware after snapshot date; ","")="","OK","Check: "&amp;IF(OR($C52="",$E52="",$F52="",$K52="",$T52="",$U52=""),"missing required field; ","")&amp;IF(COUNTIF($A$2:$A$101,$A52)&gt;1,"duplicate ID; ","")&amp;IF($H52="","subjects affected missing; ","")&amp;IF(AND($B52&lt;&gt;"",$C52&lt;&gt;"",INT($C52)&lt;$B52),"aware before occurred; ","")&amp;IF(AND($N52&lt;&gt;"",$C52&lt;&gt;"",$N52&lt;$C52),"notified before aware; ","")&amp;IF(AND($L52="Yes",$N52="",$U52="Closed"),"closed without DPC notification; ","")&amp;IF(AND($N52&lt;&gt;"",$L52&lt;&gt;"Yes"),"notified although assessed not notifiable - confirm; ","")&amp;IF(AND($U52="Closed",$V52=""),"closed without closed date; ","")&amp;IF(AND($V52&lt;&gt;"",$C52&lt;&gt;"",$V52&lt;INT($C52)),"closed before aware; ","")&amp;IF(AND($C52&lt;&gt;"",$C52&gt;=ReportDate+1),"aware after snapshot date; ","")))</f>
        <v/>
      </c>
      <c r="X52" s="22"/>
    </row>
    <row r="53" spans="1:24" x14ac:dyDescent="0.35">
      <c r="A53" s="22"/>
      <c r="B53" s="23"/>
      <c r="C53" s="25"/>
      <c r="D53" s="22"/>
      <c r="E53" s="22"/>
      <c r="F53" s="22"/>
      <c r="G53" s="22"/>
      <c r="H53" s="22"/>
      <c r="I53" s="20" t="str">
        <f>IF(OR($A53="",$H53=""),"",VLOOKUP($H53,SubjectBands,2,TRUE))</f>
        <v/>
      </c>
      <c r="J53" s="22"/>
      <c r="K53" s="22"/>
      <c r="L53" s="20" t="str">
        <f t="shared" si="3"/>
        <v/>
      </c>
      <c r="M53" s="24" t="str">
        <f>IF($L53="Yes",$C53+NotifyHours/24,"")</f>
        <v/>
      </c>
      <c r="N53" s="25"/>
      <c r="O53" s="20" t="str">
        <f t="shared" si="4"/>
        <v/>
      </c>
      <c r="P53" s="20" t="str">
        <f>IF($O53="","",VLOOKUP($O53,TimeBands,2,TRUE))</f>
        <v/>
      </c>
      <c r="Q53" s="20" t="str">
        <f>IF($L53&lt;&gt;"Yes","",IF($N53="",IF(ReportDate&gt;$M53,"Overdue","Pending"),IF($N53&lt;=$M53,"Y","N")))</f>
        <v/>
      </c>
      <c r="R53" s="20" t="str">
        <f t="shared" si="5"/>
        <v/>
      </c>
      <c r="S53" s="22"/>
      <c r="T53" s="22"/>
      <c r="U53" s="22"/>
      <c r="V53" s="23"/>
      <c r="W53" s="20" t="str">
        <f>IF($A53="","",IF(IF(OR($C53="",$E53="",$F53="",$K53="",$T53="",$U53=""),"missing required field; ","")&amp;IF(COUNTIF($A$2:$A$101,$A53)&gt;1,"duplicate ID; ","")&amp;IF($H53="","subjects affected missing; ","")&amp;IF(AND($B53&lt;&gt;"",$C53&lt;&gt;"",INT($C53)&lt;$B53),"aware before occurred; ","")&amp;IF(AND($N53&lt;&gt;"",$C53&lt;&gt;"",$N53&lt;$C53),"notified before aware; ","")&amp;IF(AND($L53="Yes",$N53="",$U53="Closed"),"closed without DPC notification; ","")&amp;IF(AND($N53&lt;&gt;"",$L53&lt;&gt;"Yes"),"notified although assessed not notifiable - confirm; ","")&amp;IF(AND($U53="Closed",$V53=""),"closed without closed date; ","")&amp;IF(AND($V53&lt;&gt;"",$C53&lt;&gt;"",$V53&lt;INT($C53)),"closed before aware; ","")&amp;IF(AND($C53&lt;&gt;"",$C53&gt;=ReportDate+1),"aware after snapshot date; ","")="","OK","Check: "&amp;IF(OR($C53="",$E53="",$F53="",$K53="",$T53="",$U53=""),"missing required field; ","")&amp;IF(COUNTIF($A$2:$A$101,$A53)&gt;1,"duplicate ID; ","")&amp;IF($H53="","subjects affected missing; ","")&amp;IF(AND($B53&lt;&gt;"",$C53&lt;&gt;"",INT($C53)&lt;$B53),"aware before occurred; ","")&amp;IF(AND($N53&lt;&gt;"",$C53&lt;&gt;"",$N53&lt;$C53),"notified before aware; ","")&amp;IF(AND($L53="Yes",$N53="",$U53="Closed"),"closed without DPC notification; ","")&amp;IF(AND($N53&lt;&gt;"",$L53&lt;&gt;"Yes"),"notified although assessed not notifiable - confirm; ","")&amp;IF(AND($U53="Closed",$V53=""),"closed without closed date; ","")&amp;IF(AND($V53&lt;&gt;"",$C53&lt;&gt;"",$V53&lt;INT($C53)),"closed before aware; ","")&amp;IF(AND($C53&lt;&gt;"",$C53&gt;=ReportDate+1),"aware after snapshot date; ","")))</f>
        <v/>
      </c>
      <c r="X53" s="22"/>
    </row>
    <row r="54" spans="1:24" x14ac:dyDescent="0.35">
      <c r="A54" s="22"/>
      <c r="B54" s="23"/>
      <c r="C54" s="25"/>
      <c r="D54" s="22"/>
      <c r="E54" s="22"/>
      <c r="F54" s="22"/>
      <c r="G54" s="22"/>
      <c r="H54" s="22"/>
      <c r="I54" s="20" t="str">
        <f>IF(OR($A54="",$H54=""),"",VLOOKUP($H54,SubjectBands,2,TRUE))</f>
        <v/>
      </c>
      <c r="J54" s="22"/>
      <c r="K54" s="22"/>
      <c r="L54" s="20" t="str">
        <f t="shared" si="3"/>
        <v/>
      </c>
      <c r="M54" s="24" t="str">
        <f>IF($L54="Yes",$C54+NotifyHours/24,"")</f>
        <v/>
      </c>
      <c r="N54" s="25"/>
      <c r="O54" s="20" t="str">
        <f t="shared" si="4"/>
        <v/>
      </c>
      <c r="P54" s="20" t="str">
        <f>IF($O54="","",VLOOKUP($O54,TimeBands,2,TRUE))</f>
        <v/>
      </c>
      <c r="Q54" s="20" t="str">
        <f>IF($L54&lt;&gt;"Yes","",IF($N54="",IF(ReportDate&gt;$M54,"Overdue","Pending"),IF($N54&lt;=$M54,"Y","N")))</f>
        <v/>
      </c>
      <c r="R54" s="20" t="str">
        <f t="shared" si="5"/>
        <v/>
      </c>
      <c r="S54" s="22"/>
      <c r="T54" s="22"/>
      <c r="U54" s="22"/>
      <c r="V54" s="23"/>
      <c r="W54" s="20" t="str">
        <f>IF($A54="","",IF(IF(OR($C54="",$E54="",$F54="",$K54="",$T54="",$U54=""),"missing required field; ","")&amp;IF(COUNTIF($A$2:$A$101,$A54)&gt;1,"duplicate ID; ","")&amp;IF($H54="","subjects affected missing; ","")&amp;IF(AND($B54&lt;&gt;"",$C54&lt;&gt;"",INT($C54)&lt;$B54),"aware before occurred; ","")&amp;IF(AND($N54&lt;&gt;"",$C54&lt;&gt;"",$N54&lt;$C54),"notified before aware; ","")&amp;IF(AND($L54="Yes",$N54="",$U54="Closed"),"closed without DPC notification; ","")&amp;IF(AND($N54&lt;&gt;"",$L54&lt;&gt;"Yes"),"notified although assessed not notifiable - confirm; ","")&amp;IF(AND($U54="Closed",$V54=""),"closed without closed date; ","")&amp;IF(AND($V54&lt;&gt;"",$C54&lt;&gt;"",$V54&lt;INT($C54)),"closed before aware; ","")&amp;IF(AND($C54&lt;&gt;"",$C54&gt;=ReportDate+1),"aware after snapshot date; ","")="","OK","Check: "&amp;IF(OR($C54="",$E54="",$F54="",$K54="",$T54="",$U54=""),"missing required field; ","")&amp;IF(COUNTIF($A$2:$A$101,$A54)&gt;1,"duplicate ID; ","")&amp;IF($H54="","subjects affected missing; ","")&amp;IF(AND($B54&lt;&gt;"",$C54&lt;&gt;"",INT($C54)&lt;$B54),"aware before occurred; ","")&amp;IF(AND($N54&lt;&gt;"",$C54&lt;&gt;"",$N54&lt;$C54),"notified before aware; ","")&amp;IF(AND($L54="Yes",$N54="",$U54="Closed"),"closed without DPC notification; ","")&amp;IF(AND($N54&lt;&gt;"",$L54&lt;&gt;"Yes"),"notified although assessed not notifiable - confirm; ","")&amp;IF(AND($U54="Closed",$V54=""),"closed without closed date; ","")&amp;IF(AND($V54&lt;&gt;"",$C54&lt;&gt;"",$V54&lt;INT($C54)),"closed before aware; ","")&amp;IF(AND($C54&lt;&gt;"",$C54&gt;=ReportDate+1),"aware after snapshot date; ","")))</f>
        <v/>
      </c>
      <c r="X54" s="22"/>
    </row>
    <row r="55" spans="1:24" x14ac:dyDescent="0.35">
      <c r="A55" s="22"/>
      <c r="B55" s="23"/>
      <c r="C55" s="25"/>
      <c r="D55" s="22"/>
      <c r="E55" s="22"/>
      <c r="F55" s="22"/>
      <c r="G55" s="22"/>
      <c r="H55" s="22"/>
      <c r="I55" s="20" t="str">
        <f>IF(OR($A55="",$H55=""),"",VLOOKUP($H55,SubjectBands,2,TRUE))</f>
        <v/>
      </c>
      <c r="J55" s="22"/>
      <c r="K55" s="22"/>
      <c r="L55" s="20" t="str">
        <f t="shared" si="3"/>
        <v/>
      </c>
      <c r="M55" s="24" t="str">
        <f>IF($L55="Yes",$C55+NotifyHours/24,"")</f>
        <v/>
      </c>
      <c r="N55" s="25"/>
      <c r="O55" s="20" t="str">
        <f t="shared" si="4"/>
        <v/>
      </c>
      <c r="P55" s="20" t="str">
        <f>IF($O55="","",VLOOKUP($O55,TimeBands,2,TRUE))</f>
        <v/>
      </c>
      <c r="Q55" s="20" t="str">
        <f>IF($L55&lt;&gt;"Yes","",IF($N55="",IF(ReportDate&gt;$M55,"Overdue","Pending"),IF($N55&lt;=$M55,"Y","N")))</f>
        <v/>
      </c>
      <c r="R55" s="20" t="str">
        <f t="shared" si="5"/>
        <v/>
      </c>
      <c r="S55" s="22"/>
      <c r="T55" s="22"/>
      <c r="U55" s="22"/>
      <c r="V55" s="23"/>
      <c r="W55" s="20" t="str">
        <f>IF($A55="","",IF(IF(OR($C55="",$E55="",$F55="",$K55="",$T55="",$U55=""),"missing required field; ","")&amp;IF(COUNTIF($A$2:$A$101,$A55)&gt;1,"duplicate ID; ","")&amp;IF($H55="","subjects affected missing; ","")&amp;IF(AND($B55&lt;&gt;"",$C55&lt;&gt;"",INT($C55)&lt;$B55),"aware before occurred; ","")&amp;IF(AND($N55&lt;&gt;"",$C55&lt;&gt;"",$N55&lt;$C55),"notified before aware; ","")&amp;IF(AND($L55="Yes",$N55="",$U55="Closed"),"closed without DPC notification; ","")&amp;IF(AND($N55&lt;&gt;"",$L55&lt;&gt;"Yes"),"notified although assessed not notifiable - confirm; ","")&amp;IF(AND($U55="Closed",$V55=""),"closed without closed date; ","")&amp;IF(AND($V55&lt;&gt;"",$C55&lt;&gt;"",$V55&lt;INT($C55)),"closed before aware; ","")&amp;IF(AND($C55&lt;&gt;"",$C55&gt;=ReportDate+1),"aware after snapshot date; ","")="","OK","Check: "&amp;IF(OR($C55="",$E55="",$F55="",$K55="",$T55="",$U55=""),"missing required field; ","")&amp;IF(COUNTIF($A$2:$A$101,$A55)&gt;1,"duplicate ID; ","")&amp;IF($H55="","subjects affected missing; ","")&amp;IF(AND($B55&lt;&gt;"",$C55&lt;&gt;"",INT($C55)&lt;$B55),"aware before occurred; ","")&amp;IF(AND($N55&lt;&gt;"",$C55&lt;&gt;"",$N55&lt;$C55),"notified before aware; ","")&amp;IF(AND($L55="Yes",$N55="",$U55="Closed"),"closed without DPC notification; ","")&amp;IF(AND($N55&lt;&gt;"",$L55&lt;&gt;"Yes"),"notified although assessed not notifiable - confirm; ","")&amp;IF(AND($U55="Closed",$V55=""),"closed without closed date; ","")&amp;IF(AND($V55&lt;&gt;"",$C55&lt;&gt;"",$V55&lt;INT($C55)),"closed before aware; ","")&amp;IF(AND($C55&lt;&gt;"",$C55&gt;=ReportDate+1),"aware after snapshot date; ","")))</f>
        <v/>
      </c>
      <c r="X55" s="22"/>
    </row>
    <row r="56" spans="1:24" x14ac:dyDescent="0.35">
      <c r="A56" s="22"/>
      <c r="B56" s="23"/>
      <c r="C56" s="25"/>
      <c r="D56" s="22"/>
      <c r="E56" s="22"/>
      <c r="F56" s="22"/>
      <c r="G56" s="22"/>
      <c r="H56" s="22"/>
      <c r="I56" s="20" t="str">
        <f>IF(OR($A56="",$H56=""),"",VLOOKUP($H56,SubjectBands,2,TRUE))</f>
        <v/>
      </c>
      <c r="J56" s="22"/>
      <c r="K56" s="22"/>
      <c r="L56" s="20" t="str">
        <f t="shared" si="3"/>
        <v/>
      </c>
      <c r="M56" s="24" t="str">
        <f>IF($L56="Yes",$C56+NotifyHours/24,"")</f>
        <v/>
      </c>
      <c r="N56" s="25"/>
      <c r="O56" s="20" t="str">
        <f t="shared" si="4"/>
        <v/>
      </c>
      <c r="P56" s="20" t="str">
        <f>IF($O56="","",VLOOKUP($O56,TimeBands,2,TRUE))</f>
        <v/>
      </c>
      <c r="Q56" s="20" t="str">
        <f>IF($L56&lt;&gt;"Yes","",IF($N56="",IF(ReportDate&gt;$M56,"Overdue","Pending"),IF($N56&lt;=$M56,"Y","N")))</f>
        <v/>
      </c>
      <c r="R56" s="20" t="str">
        <f t="shared" si="5"/>
        <v/>
      </c>
      <c r="S56" s="22"/>
      <c r="T56" s="22"/>
      <c r="U56" s="22"/>
      <c r="V56" s="23"/>
      <c r="W56" s="20" t="str">
        <f>IF($A56="","",IF(IF(OR($C56="",$E56="",$F56="",$K56="",$T56="",$U56=""),"missing required field; ","")&amp;IF(COUNTIF($A$2:$A$101,$A56)&gt;1,"duplicate ID; ","")&amp;IF($H56="","subjects affected missing; ","")&amp;IF(AND($B56&lt;&gt;"",$C56&lt;&gt;"",INT($C56)&lt;$B56),"aware before occurred; ","")&amp;IF(AND($N56&lt;&gt;"",$C56&lt;&gt;"",$N56&lt;$C56),"notified before aware; ","")&amp;IF(AND($L56="Yes",$N56="",$U56="Closed"),"closed without DPC notification; ","")&amp;IF(AND($N56&lt;&gt;"",$L56&lt;&gt;"Yes"),"notified although assessed not notifiable - confirm; ","")&amp;IF(AND($U56="Closed",$V56=""),"closed without closed date; ","")&amp;IF(AND($V56&lt;&gt;"",$C56&lt;&gt;"",$V56&lt;INT($C56)),"closed before aware; ","")&amp;IF(AND($C56&lt;&gt;"",$C56&gt;=ReportDate+1),"aware after snapshot date; ","")="","OK","Check: "&amp;IF(OR($C56="",$E56="",$F56="",$K56="",$T56="",$U56=""),"missing required field; ","")&amp;IF(COUNTIF($A$2:$A$101,$A56)&gt;1,"duplicate ID; ","")&amp;IF($H56="","subjects affected missing; ","")&amp;IF(AND($B56&lt;&gt;"",$C56&lt;&gt;"",INT($C56)&lt;$B56),"aware before occurred; ","")&amp;IF(AND($N56&lt;&gt;"",$C56&lt;&gt;"",$N56&lt;$C56),"notified before aware; ","")&amp;IF(AND($L56="Yes",$N56="",$U56="Closed"),"closed without DPC notification; ","")&amp;IF(AND($N56&lt;&gt;"",$L56&lt;&gt;"Yes"),"notified although assessed not notifiable - confirm; ","")&amp;IF(AND($U56="Closed",$V56=""),"closed without closed date; ","")&amp;IF(AND($V56&lt;&gt;"",$C56&lt;&gt;"",$V56&lt;INT($C56)),"closed before aware; ","")&amp;IF(AND($C56&lt;&gt;"",$C56&gt;=ReportDate+1),"aware after snapshot date; ","")))</f>
        <v/>
      </c>
      <c r="X56" s="22"/>
    </row>
    <row r="57" spans="1:24" x14ac:dyDescent="0.35">
      <c r="A57" s="22"/>
      <c r="B57" s="23"/>
      <c r="C57" s="25"/>
      <c r="D57" s="22"/>
      <c r="E57" s="22"/>
      <c r="F57" s="22"/>
      <c r="G57" s="22"/>
      <c r="H57" s="22"/>
      <c r="I57" s="20" t="str">
        <f>IF(OR($A57="",$H57=""),"",VLOOKUP($H57,SubjectBands,2,TRUE))</f>
        <v/>
      </c>
      <c r="J57" s="22"/>
      <c r="K57" s="22"/>
      <c r="L57" s="20" t="str">
        <f t="shared" si="3"/>
        <v/>
      </c>
      <c r="M57" s="24" t="str">
        <f>IF($L57="Yes",$C57+NotifyHours/24,"")</f>
        <v/>
      </c>
      <c r="N57" s="25"/>
      <c r="O57" s="20" t="str">
        <f t="shared" si="4"/>
        <v/>
      </c>
      <c r="P57" s="20" t="str">
        <f>IF($O57="","",VLOOKUP($O57,TimeBands,2,TRUE))</f>
        <v/>
      </c>
      <c r="Q57" s="20" t="str">
        <f>IF($L57&lt;&gt;"Yes","",IF($N57="",IF(ReportDate&gt;$M57,"Overdue","Pending"),IF($N57&lt;=$M57,"Y","N")))</f>
        <v/>
      </c>
      <c r="R57" s="20" t="str">
        <f t="shared" si="5"/>
        <v/>
      </c>
      <c r="S57" s="22"/>
      <c r="T57" s="22"/>
      <c r="U57" s="22"/>
      <c r="V57" s="23"/>
      <c r="W57" s="20" t="str">
        <f>IF($A57="","",IF(IF(OR($C57="",$E57="",$F57="",$K57="",$T57="",$U57=""),"missing required field; ","")&amp;IF(COUNTIF($A$2:$A$101,$A57)&gt;1,"duplicate ID; ","")&amp;IF($H57="","subjects affected missing; ","")&amp;IF(AND($B57&lt;&gt;"",$C57&lt;&gt;"",INT($C57)&lt;$B57),"aware before occurred; ","")&amp;IF(AND($N57&lt;&gt;"",$C57&lt;&gt;"",$N57&lt;$C57),"notified before aware; ","")&amp;IF(AND($L57="Yes",$N57="",$U57="Closed"),"closed without DPC notification; ","")&amp;IF(AND($N57&lt;&gt;"",$L57&lt;&gt;"Yes"),"notified although assessed not notifiable - confirm; ","")&amp;IF(AND($U57="Closed",$V57=""),"closed without closed date; ","")&amp;IF(AND($V57&lt;&gt;"",$C57&lt;&gt;"",$V57&lt;INT($C57)),"closed before aware; ","")&amp;IF(AND($C57&lt;&gt;"",$C57&gt;=ReportDate+1),"aware after snapshot date; ","")="","OK","Check: "&amp;IF(OR($C57="",$E57="",$F57="",$K57="",$T57="",$U57=""),"missing required field; ","")&amp;IF(COUNTIF($A$2:$A$101,$A57)&gt;1,"duplicate ID; ","")&amp;IF($H57="","subjects affected missing; ","")&amp;IF(AND($B57&lt;&gt;"",$C57&lt;&gt;"",INT($C57)&lt;$B57),"aware before occurred; ","")&amp;IF(AND($N57&lt;&gt;"",$C57&lt;&gt;"",$N57&lt;$C57),"notified before aware; ","")&amp;IF(AND($L57="Yes",$N57="",$U57="Closed"),"closed without DPC notification; ","")&amp;IF(AND($N57&lt;&gt;"",$L57&lt;&gt;"Yes"),"notified although assessed not notifiable - confirm; ","")&amp;IF(AND($U57="Closed",$V57=""),"closed without closed date; ","")&amp;IF(AND($V57&lt;&gt;"",$C57&lt;&gt;"",$V57&lt;INT($C57)),"closed before aware; ","")&amp;IF(AND($C57&lt;&gt;"",$C57&gt;=ReportDate+1),"aware after snapshot date; ","")))</f>
        <v/>
      </c>
      <c r="X57" s="22"/>
    </row>
    <row r="58" spans="1:24" x14ac:dyDescent="0.35">
      <c r="A58" s="22"/>
      <c r="B58" s="23"/>
      <c r="C58" s="25"/>
      <c r="D58" s="22"/>
      <c r="E58" s="22"/>
      <c r="F58" s="22"/>
      <c r="G58" s="22"/>
      <c r="H58" s="22"/>
      <c r="I58" s="20" t="str">
        <f>IF(OR($A58="",$H58=""),"",VLOOKUP($H58,SubjectBands,2,TRUE))</f>
        <v/>
      </c>
      <c r="J58" s="22"/>
      <c r="K58" s="22"/>
      <c r="L58" s="20" t="str">
        <f t="shared" si="3"/>
        <v/>
      </c>
      <c r="M58" s="24" t="str">
        <f>IF($L58="Yes",$C58+NotifyHours/24,"")</f>
        <v/>
      </c>
      <c r="N58" s="25"/>
      <c r="O58" s="20" t="str">
        <f t="shared" si="4"/>
        <v/>
      </c>
      <c r="P58" s="20" t="str">
        <f>IF($O58="","",VLOOKUP($O58,TimeBands,2,TRUE))</f>
        <v/>
      </c>
      <c r="Q58" s="20" t="str">
        <f>IF($L58&lt;&gt;"Yes","",IF($N58="",IF(ReportDate&gt;$M58,"Overdue","Pending"),IF($N58&lt;=$M58,"Y","N")))</f>
        <v/>
      </c>
      <c r="R58" s="20" t="str">
        <f t="shared" si="5"/>
        <v/>
      </c>
      <c r="S58" s="22"/>
      <c r="T58" s="22"/>
      <c r="U58" s="22"/>
      <c r="V58" s="23"/>
      <c r="W58" s="20" t="str">
        <f>IF($A58="","",IF(IF(OR($C58="",$E58="",$F58="",$K58="",$T58="",$U58=""),"missing required field; ","")&amp;IF(COUNTIF($A$2:$A$101,$A58)&gt;1,"duplicate ID; ","")&amp;IF($H58="","subjects affected missing; ","")&amp;IF(AND($B58&lt;&gt;"",$C58&lt;&gt;"",INT($C58)&lt;$B58),"aware before occurred; ","")&amp;IF(AND($N58&lt;&gt;"",$C58&lt;&gt;"",$N58&lt;$C58),"notified before aware; ","")&amp;IF(AND($L58="Yes",$N58="",$U58="Closed"),"closed without DPC notification; ","")&amp;IF(AND($N58&lt;&gt;"",$L58&lt;&gt;"Yes"),"notified although assessed not notifiable - confirm; ","")&amp;IF(AND($U58="Closed",$V58=""),"closed without closed date; ","")&amp;IF(AND($V58&lt;&gt;"",$C58&lt;&gt;"",$V58&lt;INT($C58)),"closed before aware; ","")&amp;IF(AND($C58&lt;&gt;"",$C58&gt;=ReportDate+1),"aware after snapshot date; ","")="","OK","Check: "&amp;IF(OR($C58="",$E58="",$F58="",$K58="",$T58="",$U58=""),"missing required field; ","")&amp;IF(COUNTIF($A$2:$A$101,$A58)&gt;1,"duplicate ID; ","")&amp;IF($H58="","subjects affected missing; ","")&amp;IF(AND($B58&lt;&gt;"",$C58&lt;&gt;"",INT($C58)&lt;$B58),"aware before occurred; ","")&amp;IF(AND($N58&lt;&gt;"",$C58&lt;&gt;"",$N58&lt;$C58),"notified before aware; ","")&amp;IF(AND($L58="Yes",$N58="",$U58="Closed"),"closed without DPC notification; ","")&amp;IF(AND($N58&lt;&gt;"",$L58&lt;&gt;"Yes"),"notified although assessed not notifiable - confirm; ","")&amp;IF(AND($U58="Closed",$V58=""),"closed without closed date; ","")&amp;IF(AND($V58&lt;&gt;"",$C58&lt;&gt;"",$V58&lt;INT($C58)),"closed before aware; ","")&amp;IF(AND($C58&lt;&gt;"",$C58&gt;=ReportDate+1),"aware after snapshot date; ","")))</f>
        <v/>
      </c>
      <c r="X58" s="22"/>
    </row>
    <row r="59" spans="1:24" x14ac:dyDescent="0.35">
      <c r="A59" s="22"/>
      <c r="B59" s="23"/>
      <c r="C59" s="25"/>
      <c r="D59" s="22"/>
      <c r="E59" s="22"/>
      <c r="F59" s="22"/>
      <c r="G59" s="22"/>
      <c r="H59" s="22"/>
      <c r="I59" s="20" t="str">
        <f>IF(OR($A59="",$H59=""),"",VLOOKUP($H59,SubjectBands,2,TRUE))</f>
        <v/>
      </c>
      <c r="J59" s="22"/>
      <c r="K59" s="22"/>
      <c r="L59" s="20" t="str">
        <f t="shared" si="3"/>
        <v/>
      </c>
      <c r="M59" s="24" t="str">
        <f>IF($L59="Yes",$C59+NotifyHours/24,"")</f>
        <v/>
      </c>
      <c r="N59" s="25"/>
      <c r="O59" s="20" t="str">
        <f t="shared" si="4"/>
        <v/>
      </c>
      <c r="P59" s="20" t="str">
        <f>IF($O59="","",VLOOKUP($O59,TimeBands,2,TRUE))</f>
        <v/>
      </c>
      <c r="Q59" s="20" t="str">
        <f>IF($L59&lt;&gt;"Yes","",IF($N59="",IF(ReportDate&gt;$M59,"Overdue","Pending"),IF($N59&lt;=$M59,"Y","N")))</f>
        <v/>
      </c>
      <c r="R59" s="20" t="str">
        <f t="shared" si="5"/>
        <v/>
      </c>
      <c r="S59" s="22"/>
      <c r="T59" s="22"/>
      <c r="U59" s="22"/>
      <c r="V59" s="23"/>
      <c r="W59" s="20" t="str">
        <f>IF($A59="","",IF(IF(OR($C59="",$E59="",$F59="",$K59="",$T59="",$U59=""),"missing required field; ","")&amp;IF(COUNTIF($A$2:$A$101,$A59)&gt;1,"duplicate ID; ","")&amp;IF($H59="","subjects affected missing; ","")&amp;IF(AND($B59&lt;&gt;"",$C59&lt;&gt;"",INT($C59)&lt;$B59),"aware before occurred; ","")&amp;IF(AND($N59&lt;&gt;"",$C59&lt;&gt;"",$N59&lt;$C59),"notified before aware; ","")&amp;IF(AND($L59="Yes",$N59="",$U59="Closed"),"closed without DPC notification; ","")&amp;IF(AND($N59&lt;&gt;"",$L59&lt;&gt;"Yes"),"notified although assessed not notifiable - confirm; ","")&amp;IF(AND($U59="Closed",$V59=""),"closed without closed date; ","")&amp;IF(AND($V59&lt;&gt;"",$C59&lt;&gt;"",$V59&lt;INT($C59)),"closed before aware; ","")&amp;IF(AND($C59&lt;&gt;"",$C59&gt;=ReportDate+1),"aware after snapshot date; ","")="","OK","Check: "&amp;IF(OR($C59="",$E59="",$F59="",$K59="",$T59="",$U59=""),"missing required field; ","")&amp;IF(COUNTIF($A$2:$A$101,$A59)&gt;1,"duplicate ID; ","")&amp;IF($H59="","subjects affected missing; ","")&amp;IF(AND($B59&lt;&gt;"",$C59&lt;&gt;"",INT($C59)&lt;$B59),"aware before occurred; ","")&amp;IF(AND($N59&lt;&gt;"",$C59&lt;&gt;"",$N59&lt;$C59),"notified before aware; ","")&amp;IF(AND($L59="Yes",$N59="",$U59="Closed"),"closed without DPC notification; ","")&amp;IF(AND($N59&lt;&gt;"",$L59&lt;&gt;"Yes"),"notified although assessed not notifiable - confirm; ","")&amp;IF(AND($U59="Closed",$V59=""),"closed without closed date; ","")&amp;IF(AND($V59&lt;&gt;"",$C59&lt;&gt;"",$V59&lt;INT($C59)),"closed before aware; ","")&amp;IF(AND($C59&lt;&gt;"",$C59&gt;=ReportDate+1),"aware after snapshot date; ","")))</f>
        <v/>
      </c>
      <c r="X59" s="22"/>
    </row>
    <row r="60" spans="1:24" x14ac:dyDescent="0.35">
      <c r="A60" s="22"/>
      <c r="B60" s="23"/>
      <c r="C60" s="25"/>
      <c r="D60" s="22"/>
      <c r="E60" s="22"/>
      <c r="F60" s="22"/>
      <c r="G60" s="22"/>
      <c r="H60" s="22"/>
      <c r="I60" s="20" t="str">
        <f>IF(OR($A60="",$H60=""),"",VLOOKUP($H60,SubjectBands,2,TRUE))</f>
        <v/>
      </c>
      <c r="J60" s="22"/>
      <c r="K60" s="22"/>
      <c r="L60" s="20" t="str">
        <f t="shared" si="3"/>
        <v/>
      </c>
      <c r="M60" s="24" t="str">
        <f>IF($L60="Yes",$C60+NotifyHours/24,"")</f>
        <v/>
      </c>
      <c r="N60" s="25"/>
      <c r="O60" s="20" t="str">
        <f t="shared" si="4"/>
        <v/>
      </c>
      <c r="P60" s="20" t="str">
        <f>IF($O60="","",VLOOKUP($O60,TimeBands,2,TRUE))</f>
        <v/>
      </c>
      <c r="Q60" s="20" t="str">
        <f>IF($L60&lt;&gt;"Yes","",IF($N60="",IF(ReportDate&gt;$M60,"Overdue","Pending"),IF($N60&lt;=$M60,"Y","N")))</f>
        <v/>
      </c>
      <c r="R60" s="20" t="str">
        <f t="shared" si="5"/>
        <v/>
      </c>
      <c r="S60" s="22"/>
      <c r="T60" s="22"/>
      <c r="U60" s="22"/>
      <c r="V60" s="23"/>
      <c r="W60" s="20" t="str">
        <f>IF($A60="","",IF(IF(OR($C60="",$E60="",$F60="",$K60="",$T60="",$U60=""),"missing required field; ","")&amp;IF(COUNTIF($A$2:$A$101,$A60)&gt;1,"duplicate ID; ","")&amp;IF($H60="","subjects affected missing; ","")&amp;IF(AND($B60&lt;&gt;"",$C60&lt;&gt;"",INT($C60)&lt;$B60),"aware before occurred; ","")&amp;IF(AND($N60&lt;&gt;"",$C60&lt;&gt;"",$N60&lt;$C60),"notified before aware; ","")&amp;IF(AND($L60="Yes",$N60="",$U60="Closed"),"closed without DPC notification; ","")&amp;IF(AND($N60&lt;&gt;"",$L60&lt;&gt;"Yes"),"notified although assessed not notifiable - confirm; ","")&amp;IF(AND($U60="Closed",$V60=""),"closed without closed date; ","")&amp;IF(AND($V60&lt;&gt;"",$C60&lt;&gt;"",$V60&lt;INT($C60)),"closed before aware; ","")&amp;IF(AND($C60&lt;&gt;"",$C60&gt;=ReportDate+1),"aware after snapshot date; ","")="","OK","Check: "&amp;IF(OR($C60="",$E60="",$F60="",$K60="",$T60="",$U60=""),"missing required field; ","")&amp;IF(COUNTIF($A$2:$A$101,$A60)&gt;1,"duplicate ID; ","")&amp;IF($H60="","subjects affected missing; ","")&amp;IF(AND($B60&lt;&gt;"",$C60&lt;&gt;"",INT($C60)&lt;$B60),"aware before occurred; ","")&amp;IF(AND($N60&lt;&gt;"",$C60&lt;&gt;"",$N60&lt;$C60),"notified before aware; ","")&amp;IF(AND($L60="Yes",$N60="",$U60="Closed"),"closed without DPC notification; ","")&amp;IF(AND($N60&lt;&gt;"",$L60&lt;&gt;"Yes"),"notified although assessed not notifiable - confirm; ","")&amp;IF(AND($U60="Closed",$V60=""),"closed without closed date; ","")&amp;IF(AND($V60&lt;&gt;"",$C60&lt;&gt;"",$V60&lt;INT($C60)),"closed before aware; ","")&amp;IF(AND($C60&lt;&gt;"",$C60&gt;=ReportDate+1),"aware after snapshot date; ","")))</f>
        <v/>
      </c>
      <c r="X60" s="22"/>
    </row>
    <row r="61" spans="1:24" x14ac:dyDescent="0.35">
      <c r="A61" s="22"/>
      <c r="B61" s="23"/>
      <c r="C61" s="25"/>
      <c r="D61" s="22"/>
      <c r="E61" s="22"/>
      <c r="F61" s="22"/>
      <c r="G61" s="22"/>
      <c r="H61" s="22"/>
      <c r="I61" s="20" t="str">
        <f>IF(OR($A61="",$H61=""),"",VLOOKUP($H61,SubjectBands,2,TRUE))</f>
        <v/>
      </c>
      <c r="J61" s="22"/>
      <c r="K61" s="22"/>
      <c r="L61" s="20" t="str">
        <f t="shared" si="3"/>
        <v/>
      </c>
      <c r="M61" s="24" t="str">
        <f>IF($L61="Yes",$C61+NotifyHours/24,"")</f>
        <v/>
      </c>
      <c r="N61" s="25"/>
      <c r="O61" s="20" t="str">
        <f t="shared" si="4"/>
        <v/>
      </c>
      <c r="P61" s="20" t="str">
        <f>IF($O61="","",VLOOKUP($O61,TimeBands,2,TRUE))</f>
        <v/>
      </c>
      <c r="Q61" s="20" t="str">
        <f>IF($L61&lt;&gt;"Yes","",IF($N61="",IF(ReportDate&gt;$M61,"Overdue","Pending"),IF($N61&lt;=$M61,"Y","N")))</f>
        <v/>
      </c>
      <c r="R61" s="20" t="str">
        <f t="shared" si="5"/>
        <v/>
      </c>
      <c r="S61" s="22"/>
      <c r="T61" s="22"/>
      <c r="U61" s="22"/>
      <c r="V61" s="23"/>
      <c r="W61" s="20" t="str">
        <f>IF($A61="","",IF(IF(OR($C61="",$E61="",$F61="",$K61="",$T61="",$U61=""),"missing required field; ","")&amp;IF(COUNTIF($A$2:$A$101,$A61)&gt;1,"duplicate ID; ","")&amp;IF($H61="","subjects affected missing; ","")&amp;IF(AND($B61&lt;&gt;"",$C61&lt;&gt;"",INT($C61)&lt;$B61),"aware before occurred; ","")&amp;IF(AND($N61&lt;&gt;"",$C61&lt;&gt;"",$N61&lt;$C61),"notified before aware; ","")&amp;IF(AND($L61="Yes",$N61="",$U61="Closed"),"closed without DPC notification; ","")&amp;IF(AND($N61&lt;&gt;"",$L61&lt;&gt;"Yes"),"notified although assessed not notifiable - confirm; ","")&amp;IF(AND($U61="Closed",$V61=""),"closed without closed date; ","")&amp;IF(AND($V61&lt;&gt;"",$C61&lt;&gt;"",$V61&lt;INT($C61)),"closed before aware; ","")&amp;IF(AND($C61&lt;&gt;"",$C61&gt;=ReportDate+1),"aware after snapshot date; ","")="","OK","Check: "&amp;IF(OR($C61="",$E61="",$F61="",$K61="",$T61="",$U61=""),"missing required field; ","")&amp;IF(COUNTIF($A$2:$A$101,$A61)&gt;1,"duplicate ID; ","")&amp;IF($H61="","subjects affected missing; ","")&amp;IF(AND($B61&lt;&gt;"",$C61&lt;&gt;"",INT($C61)&lt;$B61),"aware before occurred; ","")&amp;IF(AND($N61&lt;&gt;"",$C61&lt;&gt;"",$N61&lt;$C61),"notified before aware; ","")&amp;IF(AND($L61="Yes",$N61="",$U61="Closed"),"closed without DPC notification; ","")&amp;IF(AND($N61&lt;&gt;"",$L61&lt;&gt;"Yes"),"notified although assessed not notifiable - confirm; ","")&amp;IF(AND($U61="Closed",$V61=""),"closed without closed date; ","")&amp;IF(AND($V61&lt;&gt;"",$C61&lt;&gt;"",$V61&lt;INT($C61)),"closed before aware; ","")&amp;IF(AND($C61&lt;&gt;"",$C61&gt;=ReportDate+1),"aware after snapshot date; ","")))</f>
        <v/>
      </c>
      <c r="X61" s="22"/>
    </row>
    <row r="62" spans="1:24" x14ac:dyDescent="0.35">
      <c r="A62" s="22"/>
      <c r="B62" s="23"/>
      <c r="C62" s="25"/>
      <c r="D62" s="22"/>
      <c r="E62" s="22"/>
      <c r="F62" s="22"/>
      <c r="G62" s="22"/>
      <c r="H62" s="22"/>
      <c r="I62" s="20" t="str">
        <f>IF(OR($A62="",$H62=""),"",VLOOKUP($H62,SubjectBands,2,TRUE))</f>
        <v/>
      </c>
      <c r="J62" s="22"/>
      <c r="K62" s="22"/>
      <c r="L62" s="20" t="str">
        <f t="shared" si="3"/>
        <v/>
      </c>
      <c r="M62" s="24" t="str">
        <f>IF($L62="Yes",$C62+NotifyHours/24,"")</f>
        <v/>
      </c>
      <c r="N62" s="25"/>
      <c r="O62" s="20" t="str">
        <f t="shared" si="4"/>
        <v/>
      </c>
      <c r="P62" s="20" t="str">
        <f>IF($O62="","",VLOOKUP($O62,TimeBands,2,TRUE))</f>
        <v/>
      </c>
      <c r="Q62" s="20" t="str">
        <f>IF($L62&lt;&gt;"Yes","",IF($N62="",IF(ReportDate&gt;$M62,"Overdue","Pending"),IF($N62&lt;=$M62,"Y","N")))</f>
        <v/>
      </c>
      <c r="R62" s="20" t="str">
        <f t="shared" si="5"/>
        <v/>
      </c>
      <c r="S62" s="22"/>
      <c r="T62" s="22"/>
      <c r="U62" s="22"/>
      <c r="V62" s="23"/>
      <c r="W62" s="20" t="str">
        <f>IF($A62="","",IF(IF(OR($C62="",$E62="",$F62="",$K62="",$T62="",$U62=""),"missing required field; ","")&amp;IF(COUNTIF($A$2:$A$101,$A62)&gt;1,"duplicate ID; ","")&amp;IF($H62="","subjects affected missing; ","")&amp;IF(AND($B62&lt;&gt;"",$C62&lt;&gt;"",INT($C62)&lt;$B62),"aware before occurred; ","")&amp;IF(AND($N62&lt;&gt;"",$C62&lt;&gt;"",$N62&lt;$C62),"notified before aware; ","")&amp;IF(AND($L62="Yes",$N62="",$U62="Closed"),"closed without DPC notification; ","")&amp;IF(AND($N62&lt;&gt;"",$L62&lt;&gt;"Yes"),"notified although assessed not notifiable - confirm; ","")&amp;IF(AND($U62="Closed",$V62=""),"closed without closed date; ","")&amp;IF(AND($V62&lt;&gt;"",$C62&lt;&gt;"",$V62&lt;INT($C62)),"closed before aware; ","")&amp;IF(AND($C62&lt;&gt;"",$C62&gt;=ReportDate+1),"aware after snapshot date; ","")="","OK","Check: "&amp;IF(OR($C62="",$E62="",$F62="",$K62="",$T62="",$U62=""),"missing required field; ","")&amp;IF(COUNTIF($A$2:$A$101,$A62)&gt;1,"duplicate ID; ","")&amp;IF($H62="","subjects affected missing; ","")&amp;IF(AND($B62&lt;&gt;"",$C62&lt;&gt;"",INT($C62)&lt;$B62),"aware before occurred; ","")&amp;IF(AND($N62&lt;&gt;"",$C62&lt;&gt;"",$N62&lt;$C62),"notified before aware; ","")&amp;IF(AND($L62="Yes",$N62="",$U62="Closed"),"closed without DPC notification; ","")&amp;IF(AND($N62&lt;&gt;"",$L62&lt;&gt;"Yes"),"notified although assessed not notifiable - confirm; ","")&amp;IF(AND($U62="Closed",$V62=""),"closed without closed date; ","")&amp;IF(AND($V62&lt;&gt;"",$C62&lt;&gt;"",$V62&lt;INT($C62)),"closed before aware; ","")&amp;IF(AND($C62&lt;&gt;"",$C62&gt;=ReportDate+1),"aware after snapshot date; ","")))</f>
        <v/>
      </c>
      <c r="X62" s="22"/>
    </row>
    <row r="63" spans="1:24" x14ac:dyDescent="0.35">
      <c r="A63" s="22"/>
      <c r="B63" s="23"/>
      <c r="C63" s="25"/>
      <c r="D63" s="22"/>
      <c r="E63" s="22"/>
      <c r="F63" s="22"/>
      <c r="G63" s="22"/>
      <c r="H63" s="22"/>
      <c r="I63" s="20" t="str">
        <f>IF(OR($A63="",$H63=""),"",VLOOKUP($H63,SubjectBands,2,TRUE))</f>
        <v/>
      </c>
      <c r="J63" s="22"/>
      <c r="K63" s="22"/>
      <c r="L63" s="20" t="str">
        <f t="shared" si="3"/>
        <v/>
      </c>
      <c r="M63" s="24" t="str">
        <f>IF($L63="Yes",$C63+NotifyHours/24,"")</f>
        <v/>
      </c>
      <c r="N63" s="25"/>
      <c r="O63" s="20" t="str">
        <f t="shared" si="4"/>
        <v/>
      </c>
      <c r="P63" s="20" t="str">
        <f>IF($O63="","",VLOOKUP($O63,TimeBands,2,TRUE))</f>
        <v/>
      </c>
      <c r="Q63" s="20" t="str">
        <f>IF($L63&lt;&gt;"Yes","",IF($N63="",IF(ReportDate&gt;$M63,"Overdue","Pending"),IF($N63&lt;=$M63,"Y","N")))</f>
        <v/>
      </c>
      <c r="R63" s="20" t="str">
        <f t="shared" si="5"/>
        <v/>
      </c>
      <c r="S63" s="22"/>
      <c r="T63" s="22"/>
      <c r="U63" s="22"/>
      <c r="V63" s="23"/>
      <c r="W63" s="20" t="str">
        <f>IF($A63="","",IF(IF(OR($C63="",$E63="",$F63="",$K63="",$T63="",$U63=""),"missing required field; ","")&amp;IF(COUNTIF($A$2:$A$101,$A63)&gt;1,"duplicate ID; ","")&amp;IF($H63="","subjects affected missing; ","")&amp;IF(AND($B63&lt;&gt;"",$C63&lt;&gt;"",INT($C63)&lt;$B63),"aware before occurred; ","")&amp;IF(AND($N63&lt;&gt;"",$C63&lt;&gt;"",$N63&lt;$C63),"notified before aware; ","")&amp;IF(AND($L63="Yes",$N63="",$U63="Closed"),"closed without DPC notification; ","")&amp;IF(AND($N63&lt;&gt;"",$L63&lt;&gt;"Yes"),"notified although assessed not notifiable - confirm; ","")&amp;IF(AND($U63="Closed",$V63=""),"closed without closed date; ","")&amp;IF(AND($V63&lt;&gt;"",$C63&lt;&gt;"",$V63&lt;INT($C63)),"closed before aware; ","")&amp;IF(AND($C63&lt;&gt;"",$C63&gt;=ReportDate+1),"aware after snapshot date; ","")="","OK","Check: "&amp;IF(OR($C63="",$E63="",$F63="",$K63="",$T63="",$U63=""),"missing required field; ","")&amp;IF(COUNTIF($A$2:$A$101,$A63)&gt;1,"duplicate ID; ","")&amp;IF($H63="","subjects affected missing; ","")&amp;IF(AND($B63&lt;&gt;"",$C63&lt;&gt;"",INT($C63)&lt;$B63),"aware before occurred; ","")&amp;IF(AND($N63&lt;&gt;"",$C63&lt;&gt;"",$N63&lt;$C63),"notified before aware; ","")&amp;IF(AND($L63="Yes",$N63="",$U63="Closed"),"closed without DPC notification; ","")&amp;IF(AND($N63&lt;&gt;"",$L63&lt;&gt;"Yes"),"notified although assessed not notifiable - confirm; ","")&amp;IF(AND($U63="Closed",$V63=""),"closed without closed date; ","")&amp;IF(AND($V63&lt;&gt;"",$C63&lt;&gt;"",$V63&lt;INT($C63)),"closed before aware; ","")&amp;IF(AND($C63&lt;&gt;"",$C63&gt;=ReportDate+1),"aware after snapshot date; ","")))</f>
        <v/>
      </c>
      <c r="X63" s="22"/>
    </row>
    <row r="64" spans="1:24" x14ac:dyDescent="0.35">
      <c r="A64" s="22"/>
      <c r="B64" s="23"/>
      <c r="C64" s="25"/>
      <c r="D64" s="22"/>
      <c r="E64" s="22"/>
      <c r="F64" s="22"/>
      <c r="G64" s="22"/>
      <c r="H64" s="22"/>
      <c r="I64" s="20" t="str">
        <f>IF(OR($A64="",$H64=""),"",VLOOKUP($H64,SubjectBands,2,TRUE))</f>
        <v/>
      </c>
      <c r="J64" s="22"/>
      <c r="K64" s="22"/>
      <c r="L64" s="20" t="str">
        <f t="shared" si="3"/>
        <v/>
      </c>
      <c r="M64" s="24" t="str">
        <f>IF($L64="Yes",$C64+NotifyHours/24,"")</f>
        <v/>
      </c>
      <c r="N64" s="25"/>
      <c r="O64" s="20" t="str">
        <f t="shared" si="4"/>
        <v/>
      </c>
      <c r="P64" s="20" t="str">
        <f>IF($O64="","",VLOOKUP($O64,TimeBands,2,TRUE))</f>
        <v/>
      </c>
      <c r="Q64" s="20" t="str">
        <f>IF($L64&lt;&gt;"Yes","",IF($N64="",IF(ReportDate&gt;$M64,"Overdue","Pending"),IF($N64&lt;=$M64,"Y","N")))</f>
        <v/>
      </c>
      <c r="R64" s="20" t="str">
        <f t="shared" si="5"/>
        <v/>
      </c>
      <c r="S64" s="22"/>
      <c r="T64" s="22"/>
      <c r="U64" s="22"/>
      <c r="V64" s="23"/>
      <c r="W64" s="20" t="str">
        <f>IF($A64="","",IF(IF(OR($C64="",$E64="",$F64="",$K64="",$T64="",$U64=""),"missing required field; ","")&amp;IF(COUNTIF($A$2:$A$101,$A64)&gt;1,"duplicate ID; ","")&amp;IF($H64="","subjects affected missing; ","")&amp;IF(AND($B64&lt;&gt;"",$C64&lt;&gt;"",INT($C64)&lt;$B64),"aware before occurred; ","")&amp;IF(AND($N64&lt;&gt;"",$C64&lt;&gt;"",$N64&lt;$C64),"notified before aware; ","")&amp;IF(AND($L64="Yes",$N64="",$U64="Closed"),"closed without DPC notification; ","")&amp;IF(AND($N64&lt;&gt;"",$L64&lt;&gt;"Yes"),"notified although assessed not notifiable - confirm; ","")&amp;IF(AND($U64="Closed",$V64=""),"closed without closed date; ","")&amp;IF(AND($V64&lt;&gt;"",$C64&lt;&gt;"",$V64&lt;INT($C64)),"closed before aware; ","")&amp;IF(AND($C64&lt;&gt;"",$C64&gt;=ReportDate+1),"aware after snapshot date; ","")="","OK","Check: "&amp;IF(OR($C64="",$E64="",$F64="",$K64="",$T64="",$U64=""),"missing required field; ","")&amp;IF(COUNTIF($A$2:$A$101,$A64)&gt;1,"duplicate ID; ","")&amp;IF($H64="","subjects affected missing; ","")&amp;IF(AND($B64&lt;&gt;"",$C64&lt;&gt;"",INT($C64)&lt;$B64),"aware before occurred; ","")&amp;IF(AND($N64&lt;&gt;"",$C64&lt;&gt;"",$N64&lt;$C64),"notified before aware; ","")&amp;IF(AND($L64="Yes",$N64="",$U64="Closed"),"closed without DPC notification; ","")&amp;IF(AND($N64&lt;&gt;"",$L64&lt;&gt;"Yes"),"notified although assessed not notifiable - confirm; ","")&amp;IF(AND($U64="Closed",$V64=""),"closed without closed date; ","")&amp;IF(AND($V64&lt;&gt;"",$C64&lt;&gt;"",$V64&lt;INT($C64)),"closed before aware; ","")&amp;IF(AND($C64&lt;&gt;"",$C64&gt;=ReportDate+1),"aware after snapshot date; ","")))</f>
        <v/>
      </c>
      <c r="X64" s="22"/>
    </row>
    <row r="65" spans="1:24" x14ac:dyDescent="0.35">
      <c r="A65" s="22"/>
      <c r="B65" s="23"/>
      <c r="C65" s="25"/>
      <c r="D65" s="22"/>
      <c r="E65" s="22"/>
      <c r="F65" s="22"/>
      <c r="G65" s="22"/>
      <c r="H65" s="22"/>
      <c r="I65" s="20" t="str">
        <f>IF(OR($A65="",$H65=""),"",VLOOKUP($H65,SubjectBands,2,TRUE))</f>
        <v/>
      </c>
      <c r="J65" s="22"/>
      <c r="K65" s="22"/>
      <c r="L65" s="20" t="str">
        <f t="shared" si="3"/>
        <v/>
      </c>
      <c r="M65" s="24" t="str">
        <f>IF($L65="Yes",$C65+NotifyHours/24,"")</f>
        <v/>
      </c>
      <c r="N65" s="25"/>
      <c r="O65" s="20" t="str">
        <f t="shared" si="4"/>
        <v/>
      </c>
      <c r="P65" s="20" t="str">
        <f>IF($O65="","",VLOOKUP($O65,TimeBands,2,TRUE))</f>
        <v/>
      </c>
      <c r="Q65" s="20" t="str">
        <f>IF($L65&lt;&gt;"Yes","",IF($N65="",IF(ReportDate&gt;$M65,"Overdue","Pending"),IF($N65&lt;=$M65,"Y","N")))</f>
        <v/>
      </c>
      <c r="R65" s="20" t="str">
        <f t="shared" si="5"/>
        <v/>
      </c>
      <c r="S65" s="22"/>
      <c r="T65" s="22"/>
      <c r="U65" s="22"/>
      <c r="V65" s="23"/>
      <c r="W65" s="20" t="str">
        <f>IF($A65="","",IF(IF(OR($C65="",$E65="",$F65="",$K65="",$T65="",$U65=""),"missing required field; ","")&amp;IF(COUNTIF($A$2:$A$101,$A65)&gt;1,"duplicate ID; ","")&amp;IF($H65="","subjects affected missing; ","")&amp;IF(AND($B65&lt;&gt;"",$C65&lt;&gt;"",INT($C65)&lt;$B65),"aware before occurred; ","")&amp;IF(AND($N65&lt;&gt;"",$C65&lt;&gt;"",$N65&lt;$C65),"notified before aware; ","")&amp;IF(AND($L65="Yes",$N65="",$U65="Closed"),"closed without DPC notification; ","")&amp;IF(AND($N65&lt;&gt;"",$L65&lt;&gt;"Yes"),"notified although assessed not notifiable - confirm; ","")&amp;IF(AND($U65="Closed",$V65=""),"closed without closed date; ","")&amp;IF(AND($V65&lt;&gt;"",$C65&lt;&gt;"",$V65&lt;INT($C65)),"closed before aware; ","")&amp;IF(AND($C65&lt;&gt;"",$C65&gt;=ReportDate+1),"aware after snapshot date; ","")="","OK","Check: "&amp;IF(OR($C65="",$E65="",$F65="",$K65="",$T65="",$U65=""),"missing required field; ","")&amp;IF(COUNTIF($A$2:$A$101,$A65)&gt;1,"duplicate ID; ","")&amp;IF($H65="","subjects affected missing; ","")&amp;IF(AND($B65&lt;&gt;"",$C65&lt;&gt;"",INT($C65)&lt;$B65),"aware before occurred; ","")&amp;IF(AND($N65&lt;&gt;"",$C65&lt;&gt;"",$N65&lt;$C65),"notified before aware; ","")&amp;IF(AND($L65="Yes",$N65="",$U65="Closed"),"closed without DPC notification; ","")&amp;IF(AND($N65&lt;&gt;"",$L65&lt;&gt;"Yes"),"notified although assessed not notifiable - confirm; ","")&amp;IF(AND($U65="Closed",$V65=""),"closed without closed date; ","")&amp;IF(AND($V65&lt;&gt;"",$C65&lt;&gt;"",$V65&lt;INT($C65)),"closed before aware; ","")&amp;IF(AND($C65&lt;&gt;"",$C65&gt;=ReportDate+1),"aware after snapshot date; ","")))</f>
        <v/>
      </c>
      <c r="X65" s="22"/>
    </row>
    <row r="66" spans="1:24" x14ac:dyDescent="0.35">
      <c r="A66" s="22"/>
      <c r="B66" s="23"/>
      <c r="C66" s="25"/>
      <c r="D66" s="22"/>
      <c r="E66" s="22"/>
      <c r="F66" s="22"/>
      <c r="G66" s="22"/>
      <c r="H66" s="22"/>
      <c r="I66" s="20" t="str">
        <f>IF(OR($A66="",$H66=""),"",VLOOKUP($H66,SubjectBands,2,TRUE))</f>
        <v/>
      </c>
      <c r="J66" s="22"/>
      <c r="K66" s="22"/>
      <c r="L66" s="20" t="str">
        <f t="shared" ref="L66:L101" si="6">IF(OR($A66="",$K66=""),"",IF(OR($K66="No risk",$K66="Low"),"No - record only","Yes"))</f>
        <v/>
      </c>
      <c r="M66" s="24" t="str">
        <f>IF($L66="Yes",$C66+NotifyHours/24,"")</f>
        <v/>
      </c>
      <c r="N66" s="25"/>
      <c r="O66" s="20" t="str">
        <f t="shared" ref="O66:O101" si="7">IF(OR($A66="",$N66=""),"",ROUND(($N66-$C66)*24,1))</f>
        <v/>
      </c>
      <c r="P66" s="20" t="str">
        <f>IF($O66="","",VLOOKUP($O66,TimeBands,2,TRUE))</f>
        <v/>
      </c>
      <c r="Q66" s="20" t="str">
        <f>IF($L66&lt;&gt;"Yes","",IF($N66="",IF(ReportDate&gt;$M66,"Overdue","Pending"),IF($N66&lt;=$M66,"Y","N")))</f>
        <v/>
      </c>
      <c r="R66" s="20" t="str">
        <f t="shared" ref="R66:R101" si="8">IF(OR($A66="",$K66=""),"",IF($K66="High","Yes (Art 34)","No"))</f>
        <v/>
      </c>
      <c r="S66" s="22"/>
      <c r="T66" s="22"/>
      <c r="U66" s="22"/>
      <c r="V66" s="23"/>
      <c r="W66" s="20" t="str">
        <f>IF($A66="","",IF(IF(OR($C66="",$E66="",$F66="",$K66="",$T66="",$U66=""),"missing required field; ","")&amp;IF(COUNTIF($A$2:$A$101,$A66)&gt;1,"duplicate ID; ","")&amp;IF($H66="","subjects affected missing; ","")&amp;IF(AND($B66&lt;&gt;"",$C66&lt;&gt;"",INT($C66)&lt;$B66),"aware before occurred; ","")&amp;IF(AND($N66&lt;&gt;"",$C66&lt;&gt;"",$N66&lt;$C66),"notified before aware; ","")&amp;IF(AND($L66="Yes",$N66="",$U66="Closed"),"closed without DPC notification; ","")&amp;IF(AND($N66&lt;&gt;"",$L66&lt;&gt;"Yes"),"notified although assessed not notifiable - confirm; ","")&amp;IF(AND($U66="Closed",$V66=""),"closed without closed date; ","")&amp;IF(AND($V66&lt;&gt;"",$C66&lt;&gt;"",$V66&lt;INT($C66)),"closed before aware; ","")&amp;IF(AND($C66&lt;&gt;"",$C66&gt;=ReportDate+1),"aware after snapshot date; ","")="","OK","Check: "&amp;IF(OR($C66="",$E66="",$F66="",$K66="",$T66="",$U66=""),"missing required field; ","")&amp;IF(COUNTIF($A$2:$A$101,$A66)&gt;1,"duplicate ID; ","")&amp;IF($H66="","subjects affected missing; ","")&amp;IF(AND($B66&lt;&gt;"",$C66&lt;&gt;"",INT($C66)&lt;$B66),"aware before occurred; ","")&amp;IF(AND($N66&lt;&gt;"",$C66&lt;&gt;"",$N66&lt;$C66),"notified before aware; ","")&amp;IF(AND($L66="Yes",$N66="",$U66="Closed"),"closed without DPC notification; ","")&amp;IF(AND($N66&lt;&gt;"",$L66&lt;&gt;"Yes"),"notified although assessed not notifiable - confirm; ","")&amp;IF(AND($U66="Closed",$V66=""),"closed without closed date; ","")&amp;IF(AND($V66&lt;&gt;"",$C66&lt;&gt;"",$V66&lt;INT($C66)),"closed before aware; ","")&amp;IF(AND($C66&lt;&gt;"",$C66&gt;=ReportDate+1),"aware after snapshot date; ","")))</f>
        <v/>
      </c>
      <c r="X66" s="22"/>
    </row>
    <row r="67" spans="1:24" x14ac:dyDescent="0.35">
      <c r="A67" s="22"/>
      <c r="B67" s="23"/>
      <c r="C67" s="25"/>
      <c r="D67" s="22"/>
      <c r="E67" s="22"/>
      <c r="F67" s="22"/>
      <c r="G67" s="22"/>
      <c r="H67" s="22"/>
      <c r="I67" s="20" t="str">
        <f>IF(OR($A67="",$H67=""),"",VLOOKUP($H67,SubjectBands,2,TRUE))</f>
        <v/>
      </c>
      <c r="J67" s="22"/>
      <c r="K67" s="22"/>
      <c r="L67" s="20" t="str">
        <f t="shared" si="6"/>
        <v/>
      </c>
      <c r="M67" s="24" t="str">
        <f>IF($L67="Yes",$C67+NotifyHours/24,"")</f>
        <v/>
      </c>
      <c r="N67" s="25"/>
      <c r="O67" s="20" t="str">
        <f t="shared" si="7"/>
        <v/>
      </c>
      <c r="P67" s="20" t="str">
        <f>IF($O67="","",VLOOKUP($O67,TimeBands,2,TRUE))</f>
        <v/>
      </c>
      <c r="Q67" s="20" t="str">
        <f>IF($L67&lt;&gt;"Yes","",IF($N67="",IF(ReportDate&gt;$M67,"Overdue","Pending"),IF($N67&lt;=$M67,"Y","N")))</f>
        <v/>
      </c>
      <c r="R67" s="20" t="str">
        <f t="shared" si="8"/>
        <v/>
      </c>
      <c r="S67" s="22"/>
      <c r="T67" s="22"/>
      <c r="U67" s="22"/>
      <c r="V67" s="23"/>
      <c r="W67" s="20" t="str">
        <f>IF($A67="","",IF(IF(OR($C67="",$E67="",$F67="",$K67="",$T67="",$U67=""),"missing required field; ","")&amp;IF(COUNTIF($A$2:$A$101,$A67)&gt;1,"duplicate ID; ","")&amp;IF($H67="","subjects affected missing; ","")&amp;IF(AND($B67&lt;&gt;"",$C67&lt;&gt;"",INT($C67)&lt;$B67),"aware before occurred; ","")&amp;IF(AND($N67&lt;&gt;"",$C67&lt;&gt;"",$N67&lt;$C67),"notified before aware; ","")&amp;IF(AND($L67="Yes",$N67="",$U67="Closed"),"closed without DPC notification; ","")&amp;IF(AND($N67&lt;&gt;"",$L67&lt;&gt;"Yes"),"notified although assessed not notifiable - confirm; ","")&amp;IF(AND($U67="Closed",$V67=""),"closed without closed date; ","")&amp;IF(AND($V67&lt;&gt;"",$C67&lt;&gt;"",$V67&lt;INT($C67)),"closed before aware; ","")&amp;IF(AND($C67&lt;&gt;"",$C67&gt;=ReportDate+1),"aware after snapshot date; ","")="","OK","Check: "&amp;IF(OR($C67="",$E67="",$F67="",$K67="",$T67="",$U67=""),"missing required field; ","")&amp;IF(COUNTIF($A$2:$A$101,$A67)&gt;1,"duplicate ID; ","")&amp;IF($H67="","subjects affected missing; ","")&amp;IF(AND($B67&lt;&gt;"",$C67&lt;&gt;"",INT($C67)&lt;$B67),"aware before occurred; ","")&amp;IF(AND($N67&lt;&gt;"",$C67&lt;&gt;"",$N67&lt;$C67),"notified before aware; ","")&amp;IF(AND($L67="Yes",$N67="",$U67="Closed"),"closed without DPC notification; ","")&amp;IF(AND($N67&lt;&gt;"",$L67&lt;&gt;"Yes"),"notified although assessed not notifiable - confirm; ","")&amp;IF(AND($U67="Closed",$V67=""),"closed without closed date; ","")&amp;IF(AND($V67&lt;&gt;"",$C67&lt;&gt;"",$V67&lt;INT($C67)),"closed before aware; ","")&amp;IF(AND($C67&lt;&gt;"",$C67&gt;=ReportDate+1),"aware after snapshot date; ","")))</f>
        <v/>
      </c>
      <c r="X67" s="22"/>
    </row>
    <row r="68" spans="1:24" x14ac:dyDescent="0.35">
      <c r="A68" s="22"/>
      <c r="B68" s="23"/>
      <c r="C68" s="25"/>
      <c r="D68" s="22"/>
      <c r="E68" s="22"/>
      <c r="F68" s="22"/>
      <c r="G68" s="22"/>
      <c r="H68" s="22"/>
      <c r="I68" s="20" t="str">
        <f>IF(OR($A68="",$H68=""),"",VLOOKUP($H68,SubjectBands,2,TRUE))</f>
        <v/>
      </c>
      <c r="J68" s="22"/>
      <c r="K68" s="22"/>
      <c r="L68" s="20" t="str">
        <f t="shared" si="6"/>
        <v/>
      </c>
      <c r="M68" s="24" t="str">
        <f>IF($L68="Yes",$C68+NotifyHours/24,"")</f>
        <v/>
      </c>
      <c r="N68" s="25"/>
      <c r="O68" s="20" t="str">
        <f t="shared" si="7"/>
        <v/>
      </c>
      <c r="P68" s="20" t="str">
        <f>IF($O68="","",VLOOKUP($O68,TimeBands,2,TRUE))</f>
        <v/>
      </c>
      <c r="Q68" s="20" t="str">
        <f>IF($L68&lt;&gt;"Yes","",IF($N68="",IF(ReportDate&gt;$M68,"Overdue","Pending"),IF($N68&lt;=$M68,"Y","N")))</f>
        <v/>
      </c>
      <c r="R68" s="20" t="str">
        <f t="shared" si="8"/>
        <v/>
      </c>
      <c r="S68" s="22"/>
      <c r="T68" s="22"/>
      <c r="U68" s="22"/>
      <c r="V68" s="23"/>
      <c r="W68" s="20" t="str">
        <f>IF($A68="","",IF(IF(OR($C68="",$E68="",$F68="",$K68="",$T68="",$U68=""),"missing required field; ","")&amp;IF(COUNTIF($A$2:$A$101,$A68)&gt;1,"duplicate ID; ","")&amp;IF($H68="","subjects affected missing; ","")&amp;IF(AND($B68&lt;&gt;"",$C68&lt;&gt;"",INT($C68)&lt;$B68),"aware before occurred; ","")&amp;IF(AND($N68&lt;&gt;"",$C68&lt;&gt;"",$N68&lt;$C68),"notified before aware; ","")&amp;IF(AND($L68="Yes",$N68="",$U68="Closed"),"closed without DPC notification; ","")&amp;IF(AND($N68&lt;&gt;"",$L68&lt;&gt;"Yes"),"notified although assessed not notifiable - confirm; ","")&amp;IF(AND($U68="Closed",$V68=""),"closed without closed date; ","")&amp;IF(AND($V68&lt;&gt;"",$C68&lt;&gt;"",$V68&lt;INT($C68)),"closed before aware; ","")&amp;IF(AND($C68&lt;&gt;"",$C68&gt;=ReportDate+1),"aware after snapshot date; ","")="","OK","Check: "&amp;IF(OR($C68="",$E68="",$F68="",$K68="",$T68="",$U68=""),"missing required field; ","")&amp;IF(COUNTIF($A$2:$A$101,$A68)&gt;1,"duplicate ID; ","")&amp;IF($H68="","subjects affected missing; ","")&amp;IF(AND($B68&lt;&gt;"",$C68&lt;&gt;"",INT($C68)&lt;$B68),"aware before occurred; ","")&amp;IF(AND($N68&lt;&gt;"",$C68&lt;&gt;"",$N68&lt;$C68),"notified before aware; ","")&amp;IF(AND($L68="Yes",$N68="",$U68="Closed"),"closed without DPC notification; ","")&amp;IF(AND($N68&lt;&gt;"",$L68&lt;&gt;"Yes"),"notified although assessed not notifiable - confirm; ","")&amp;IF(AND($U68="Closed",$V68=""),"closed without closed date; ","")&amp;IF(AND($V68&lt;&gt;"",$C68&lt;&gt;"",$V68&lt;INT($C68)),"closed before aware; ","")&amp;IF(AND($C68&lt;&gt;"",$C68&gt;=ReportDate+1),"aware after snapshot date; ","")))</f>
        <v/>
      </c>
      <c r="X68" s="22"/>
    </row>
    <row r="69" spans="1:24" x14ac:dyDescent="0.35">
      <c r="A69" s="22"/>
      <c r="B69" s="23"/>
      <c r="C69" s="25"/>
      <c r="D69" s="22"/>
      <c r="E69" s="22"/>
      <c r="F69" s="22"/>
      <c r="G69" s="22"/>
      <c r="H69" s="22"/>
      <c r="I69" s="20" t="str">
        <f>IF(OR($A69="",$H69=""),"",VLOOKUP($H69,SubjectBands,2,TRUE))</f>
        <v/>
      </c>
      <c r="J69" s="22"/>
      <c r="K69" s="22"/>
      <c r="L69" s="20" t="str">
        <f t="shared" si="6"/>
        <v/>
      </c>
      <c r="M69" s="24" t="str">
        <f>IF($L69="Yes",$C69+NotifyHours/24,"")</f>
        <v/>
      </c>
      <c r="N69" s="25"/>
      <c r="O69" s="20" t="str">
        <f t="shared" si="7"/>
        <v/>
      </c>
      <c r="P69" s="20" t="str">
        <f>IF($O69="","",VLOOKUP($O69,TimeBands,2,TRUE))</f>
        <v/>
      </c>
      <c r="Q69" s="20" t="str">
        <f>IF($L69&lt;&gt;"Yes","",IF($N69="",IF(ReportDate&gt;$M69,"Overdue","Pending"),IF($N69&lt;=$M69,"Y","N")))</f>
        <v/>
      </c>
      <c r="R69" s="20" t="str">
        <f t="shared" si="8"/>
        <v/>
      </c>
      <c r="S69" s="22"/>
      <c r="T69" s="22"/>
      <c r="U69" s="22"/>
      <c r="V69" s="23"/>
      <c r="W69" s="20" t="str">
        <f>IF($A69="","",IF(IF(OR($C69="",$E69="",$F69="",$K69="",$T69="",$U69=""),"missing required field; ","")&amp;IF(COUNTIF($A$2:$A$101,$A69)&gt;1,"duplicate ID; ","")&amp;IF($H69="","subjects affected missing; ","")&amp;IF(AND($B69&lt;&gt;"",$C69&lt;&gt;"",INT($C69)&lt;$B69),"aware before occurred; ","")&amp;IF(AND($N69&lt;&gt;"",$C69&lt;&gt;"",$N69&lt;$C69),"notified before aware; ","")&amp;IF(AND($L69="Yes",$N69="",$U69="Closed"),"closed without DPC notification; ","")&amp;IF(AND($N69&lt;&gt;"",$L69&lt;&gt;"Yes"),"notified although assessed not notifiable - confirm; ","")&amp;IF(AND($U69="Closed",$V69=""),"closed without closed date; ","")&amp;IF(AND($V69&lt;&gt;"",$C69&lt;&gt;"",$V69&lt;INT($C69)),"closed before aware; ","")&amp;IF(AND($C69&lt;&gt;"",$C69&gt;=ReportDate+1),"aware after snapshot date; ","")="","OK","Check: "&amp;IF(OR($C69="",$E69="",$F69="",$K69="",$T69="",$U69=""),"missing required field; ","")&amp;IF(COUNTIF($A$2:$A$101,$A69)&gt;1,"duplicate ID; ","")&amp;IF($H69="","subjects affected missing; ","")&amp;IF(AND($B69&lt;&gt;"",$C69&lt;&gt;"",INT($C69)&lt;$B69),"aware before occurred; ","")&amp;IF(AND($N69&lt;&gt;"",$C69&lt;&gt;"",$N69&lt;$C69),"notified before aware; ","")&amp;IF(AND($L69="Yes",$N69="",$U69="Closed"),"closed without DPC notification; ","")&amp;IF(AND($N69&lt;&gt;"",$L69&lt;&gt;"Yes"),"notified although assessed not notifiable - confirm; ","")&amp;IF(AND($U69="Closed",$V69=""),"closed without closed date; ","")&amp;IF(AND($V69&lt;&gt;"",$C69&lt;&gt;"",$V69&lt;INT($C69)),"closed before aware; ","")&amp;IF(AND($C69&lt;&gt;"",$C69&gt;=ReportDate+1),"aware after snapshot date; ","")))</f>
        <v/>
      </c>
      <c r="X69" s="22"/>
    </row>
    <row r="70" spans="1:24" x14ac:dyDescent="0.35">
      <c r="A70" s="22"/>
      <c r="B70" s="23"/>
      <c r="C70" s="25"/>
      <c r="D70" s="22"/>
      <c r="E70" s="22"/>
      <c r="F70" s="22"/>
      <c r="G70" s="22"/>
      <c r="H70" s="22"/>
      <c r="I70" s="20" t="str">
        <f>IF(OR($A70="",$H70=""),"",VLOOKUP($H70,SubjectBands,2,TRUE))</f>
        <v/>
      </c>
      <c r="J70" s="22"/>
      <c r="K70" s="22"/>
      <c r="L70" s="20" t="str">
        <f t="shared" si="6"/>
        <v/>
      </c>
      <c r="M70" s="24" t="str">
        <f>IF($L70="Yes",$C70+NotifyHours/24,"")</f>
        <v/>
      </c>
      <c r="N70" s="25"/>
      <c r="O70" s="20" t="str">
        <f t="shared" si="7"/>
        <v/>
      </c>
      <c r="P70" s="20" t="str">
        <f>IF($O70="","",VLOOKUP($O70,TimeBands,2,TRUE))</f>
        <v/>
      </c>
      <c r="Q70" s="20" t="str">
        <f>IF($L70&lt;&gt;"Yes","",IF($N70="",IF(ReportDate&gt;$M70,"Overdue","Pending"),IF($N70&lt;=$M70,"Y","N")))</f>
        <v/>
      </c>
      <c r="R70" s="20" t="str">
        <f t="shared" si="8"/>
        <v/>
      </c>
      <c r="S70" s="22"/>
      <c r="T70" s="22"/>
      <c r="U70" s="22"/>
      <c r="V70" s="23"/>
      <c r="W70" s="20" t="str">
        <f>IF($A70="","",IF(IF(OR($C70="",$E70="",$F70="",$K70="",$T70="",$U70=""),"missing required field; ","")&amp;IF(COUNTIF($A$2:$A$101,$A70)&gt;1,"duplicate ID; ","")&amp;IF($H70="","subjects affected missing; ","")&amp;IF(AND($B70&lt;&gt;"",$C70&lt;&gt;"",INT($C70)&lt;$B70),"aware before occurred; ","")&amp;IF(AND($N70&lt;&gt;"",$C70&lt;&gt;"",$N70&lt;$C70),"notified before aware; ","")&amp;IF(AND($L70="Yes",$N70="",$U70="Closed"),"closed without DPC notification; ","")&amp;IF(AND($N70&lt;&gt;"",$L70&lt;&gt;"Yes"),"notified although assessed not notifiable - confirm; ","")&amp;IF(AND($U70="Closed",$V70=""),"closed without closed date; ","")&amp;IF(AND($V70&lt;&gt;"",$C70&lt;&gt;"",$V70&lt;INT($C70)),"closed before aware; ","")&amp;IF(AND($C70&lt;&gt;"",$C70&gt;=ReportDate+1),"aware after snapshot date; ","")="","OK","Check: "&amp;IF(OR($C70="",$E70="",$F70="",$K70="",$T70="",$U70=""),"missing required field; ","")&amp;IF(COUNTIF($A$2:$A$101,$A70)&gt;1,"duplicate ID; ","")&amp;IF($H70="","subjects affected missing; ","")&amp;IF(AND($B70&lt;&gt;"",$C70&lt;&gt;"",INT($C70)&lt;$B70),"aware before occurred; ","")&amp;IF(AND($N70&lt;&gt;"",$C70&lt;&gt;"",$N70&lt;$C70),"notified before aware; ","")&amp;IF(AND($L70="Yes",$N70="",$U70="Closed"),"closed without DPC notification; ","")&amp;IF(AND($N70&lt;&gt;"",$L70&lt;&gt;"Yes"),"notified although assessed not notifiable - confirm; ","")&amp;IF(AND($U70="Closed",$V70=""),"closed without closed date; ","")&amp;IF(AND($V70&lt;&gt;"",$C70&lt;&gt;"",$V70&lt;INT($C70)),"closed before aware; ","")&amp;IF(AND($C70&lt;&gt;"",$C70&gt;=ReportDate+1),"aware after snapshot date; ","")))</f>
        <v/>
      </c>
      <c r="X70" s="22"/>
    </row>
    <row r="71" spans="1:24" x14ac:dyDescent="0.35">
      <c r="A71" s="22"/>
      <c r="B71" s="23"/>
      <c r="C71" s="25"/>
      <c r="D71" s="22"/>
      <c r="E71" s="22"/>
      <c r="F71" s="22"/>
      <c r="G71" s="22"/>
      <c r="H71" s="22"/>
      <c r="I71" s="20" t="str">
        <f>IF(OR($A71="",$H71=""),"",VLOOKUP($H71,SubjectBands,2,TRUE))</f>
        <v/>
      </c>
      <c r="J71" s="22"/>
      <c r="K71" s="22"/>
      <c r="L71" s="20" t="str">
        <f t="shared" si="6"/>
        <v/>
      </c>
      <c r="M71" s="24" t="str">
        <f>IF($L71="Yes",$C71+NotifyHours/24,"")</f>
        <v/>
      </c>
      <c r="N71" s="25"/>
      <c r="O71" s="20" t="str">
        <f t="shared" si="7"/>
        <v/>
      </c>
      <c r="P71" s="20" t="str">
        <f>IF($O71="","",VLOOKUP($O71,TimeBands,2,TRUE))</f>
        <v/>
      </c>
      <c r="Q71" s="20" t="str">
        <f>IF($L71&lt;&gt;"Yes","",IF($N71="",IF(ReportDate&gt;$M71,"Overdue","Pending"),IF($N71&lt;=$M71,"Y","N")))</f>
        <v/>
      </c>
      <c r="R71" s="20" t="str">
        <f t="shared" si="8"/>
        <v/>
      </c>
      <c r="S71" s="22"/>
      <c r="T71" s="22"/>
      <c r="U71" s="22"/>
      <c r="V71" s="23"/>
      <c r="W71" s="20" t="str">
        <f>IF($A71="","",IF(IF(OR($C71="",$E71="",$F71="",$K71="",$T71="",$U71=""),"missing required field; ","")&amp;IF(COUNTIF($A$2:$A$101,$A71)&gt;1,"duplicate ID; ","")&amp;IF($H71="","subjects affected missing; ","")&amp;IF(AND($B71&lt;&gt;"",$C71&lt;&gt;"",INT($C71)&lt;$B71),"aware before occurred; ","")&amp;IF(AND($N71&lt;&gt;"",$C71&lt;&gt;"",$N71&lt;$C71),"notified before aware; ","")&amp;IF(AND($L71="Yes",$N71="",$U71="Closed"),"closed without DPC notification; ","")&amp;IF(AND($N71&lt;&gt;"",$L71&lt;&gt;"Yes"),"notified although assessed not notifiable - confirm; ","")&amp;IF(AND($U71="Closed",$V71=""),"closed without closed date; ","")&amp;IF(AND($V71&lt;&gt;"",$C71&lt;&gt;"",$V71&lt;INT($C71)),"closed before aware; ","")&amp;IF(AND($C71&lt;&gt;"",$C71&gt;=ReportDate+1),"aware after snapshot date; ","")="","OK","Check: "&amp;IF(OR($C71="",$E71="",$F71="",$K71="",$T71="",$U71=""),"missing required field; ","")&amp;IF(COUNTIF($A$2:$A$101,$A71)&gt;1,"duplicate ID; ","")&amp;IF($H71="","subjects affected missing; ","")&amp;IF(AND($B71&lt;&gt;"",$C71&lt;&gt;"",INT($C71)&lt;$B71),"aware before occurred; ","")&amp;IF(AND($N71&lt;&gt;"",$C71&lt;&gt;"",$N71&lt;$C71),"notified before aware; ","")&amp;IF(AND($L71="Yes",$N71="",$U71="Closed"),"closed without DPC notification; ","")&amp;IF(AND($N71&lt;&gt;"",$L71&lt;&gt;"Yes"),"notified although assessed not notifiable - confirm; ","")&amp;IF(AND($U71="Closed",$V71=""),"closed without closed date; ","")&amp;IF(AND($V71&lt;&gt;"",$C71&lt;&gt;"",$V71&lt;INT($C71)),"closed before aware; ","")&amp;IF(AND($C71&lt;&gt;"",$C71&gt;=ReportDate+1),"aware after snapshot date; ","")))</f>
        <v/>
      </c>
      <c r="X71" s="22"/>
    </row>
    <row r="72" spans="1:24" x14ac:dyDescent="0.35">
      <c r="A72" s="22"/>
      <c r="B72" s="23"/>
      <c r="C72" s="25"/>
      <c r="D72" s="22"/>
      <c r="E72" s="22"/>
      <c r="F72" s="22"/>
      <c r="G72" s="22"/>
      <c r="H72" s="22"/>
      <c r="I72" s="20" t="str">
        <f>IF(OR($A72="",$H72=""),"",VLOOKUP($H72,SubjectBands,2,TRUE))</f>
        <v/>
      </c>
      <c r="J72" s="22"/>
      <c r="K72" s="22"/>
      <c r="L72" s="20" t="str">
        <f t="shared" si="6"/>
        <v/>
      </c>
      <c r="M72" s="24" t="str">
        <f>IF($L72="Yes",$C72+NotifyHours/24,"")</f>
        <v/>
      </c>
      <c r="N72" s="25"/>
      <c r="O72" s="20" t="str">
        <f t="shared" si="7"/>
        <v/>
      </c>
      <c r="P72" s="20" t="str">
        <f>IF($O72="","",VLOOKUP($O72,TimeBands,2,TRUE))</f>
        <v/>
      </c>
      <c r="Q72" s="20" t="str">
        <f>IF($L72&lt;&gt;"Yes","",IF($N72="",IF(ReportDate&gt;$M72,"Overdue","Pending"),IF($N72&lt;=$M72,"Y","N")))</f>
        <v/>
      </c>
      <c r="R72" s="20" t="str">
        <f t="shared" si="8"/>
        <v/>
      </c>
      <c r="S72" s="22"/>
      <c r="T72" s="22"/>
      <c r="U72" s="22"/>
      <c r="V72" s="23"/>
      <c r="W72" s="20" t="str">
        <f>IF($A72="","",IF(IF(OR($C72="",$E72="",$F72="",$K72="",$T72="",$U72=""),"missing required field; ","")&amp;IF(COUNTIF($A$2:$A$101,$A72)&gt;1,"duplicate ID; ","")&amp;IF($H72="","subjects affected missing; ","")&amp;IF(AND($B72&lt;&gt;"",$C72&lt;&gt;"",INT($C72)&lt;$B72),"aware before occurred; ","")&amp;IF(AND($N72&lt;&gt;"",$C72&lt;&gt;"",$N72&lt;$C72),"notified before aware; ","")&amp;IF(AND($L72="Yes",$N72="",$U72="Closed"),"closed without DPC notification; ","")&amp;IF(AND($N72&lt;&gt;"",$L72&lt;&gt;"Yes"),"notified although assessed not notifiable - confirm; ","")&amp;IF(AND($U72="Closed",$V72=""),"closed without closed date; ","")&amp;IF(AND($V72&lt;&gt;"",$C72&lt;&gt;"",$V72&lt;INT($C72)),"closed before aware; ","")&amp;IF(AND($C72&lt;&gt;"",$C72&gt;=ReportDate+1),"aware after snapshot date; ","")="","OK","Check: "&amp;IF(OR($C72="",$E72="",$F72="",$K72="",$T72="",$U72=""),"missing required field; ","")&amp;IF(COUNTIF($A$2:$A$101,$A72)&gt;1,"duplicate ID; ","")&amp;IF($H72="","subjects affected missing; ","")&amp;IF(AND($B72&lt;&gt;"",$C72&lt;&gt;"",INT($C72)&lt;$B72),"aware before occurred; ","")&amp;IF(AND($N72&lt;&gt;"",$C72&lt;&gt;"",$N72&lt;$C72),"notified before aware; ","")&amp;IF(AND($L72="Yes",$N72="",$U72="Closed"),"closed without DPC notification; ","")&amp;IF(AND($N72&lt;&gt;"",$L72&lt;&gt;"Yes"),"notified although assessed not notifiable - confirm; ","")&amp;IF(AND($U72="Closed",$V72=""),"closed without closed date; ","")&amp;IF(AND($V72&lt;&gt;"",$C72&lt;&gt;"",$V72&lt;INT($C72)),"closed before aware; ","")&amp;IF(AND($C72&lt;&gt;"",$C72&gt;=ReportDate+1),"aware after snapshot date; ","")))</f>
        <v/>
      </c>
      <c r="X72" s="22"/>
    </row>
    <row r="73" spans="1:24" x14ac:dyDescent="0.35">
      <c r="A73" s="22"/>
      <c r="B73" s="23"/>
      <c r="C73" s="25"/>
      <c r="D73" s="22"/>
      <c r="E73" s="22"/>
      <c r="F73" s="22"/>
      <c r="G73" s="22"/>
      <c r="H73" s="22"/>
      <c r="I73" s="20" t="str">
        <f>IF(OR($A73="",$H73=""),"",VLOOKUP($H73,SubjectBands,2,TRUE))</f>
        <v/>
      </c>
      <c r="J73" s="22"/>
      <c r="K73" s="22"/>
      <c r="L73" s="20" t="str">
        <f t="shared" si="6"/>
        <v/>
      </c>
      <c r="M73" s="24" t="str">
        <f>IF($L73="Yes",$C73+NotifyHours/24,"")</f>
        <v/>
      </c>
      <c r="N73" s="25"/>
      <c r="O73" s="20" t="str">
        <f t="shared" si="7"/>
        <v/>
      </c>
      <c r="P73" s="20" t="str">
        <f>IF($O73="","",VLOOKUP($O73,TimeBands,2,TRUE))</f>
        <v/>
      </c>
      <c r="Q73" s="20" t="str">
        <f>IF($L73&lt;&gt;"Yes","",IF($N73="",IF(ReportDate&gt;$M73,"Overdue","Pending"),IF($N73&lt;=$M73,"Y","N")))</f>
        <v/>
      </c>
      <c r="R73" s="20" t="str">
        <f t="shared" si="8"/>
        <v/>
      </c>
      <c r="S73" s="22"/>
      <c r="T73" s="22"/>
      <c r="U73" s="22"/>
      <c r="V73" s="23"/>
      <c r="W73" s="20" t="str">
        <f>IF($A73="","",IF(IF(OR($C73="",$E73="",$F73="",$K73="",$T73="",$U73=""),"missing required field; ","")&amp;IF(COUNTIF($A$2:$A$101,$A73)&gt;1,"duplicate ID; ","")&amp;IF($H73="","subjects affected missing; ","")&amp;IF(AND($B73&lt;&gt;"",$C73&lt;&gt;"",INT($C73)&lt;$B73),"aware before occurred; ","")&amp;IF(AND($N73&lt;&gt;"",$C73&lt;&gt;"",$N73&lt;$C73),"notified before aware; ","")&amp;IF(AND($L73="Yes",$N73="",$U73="Closed"),"closed without DPC notification; ","")&amp;IF(AND($N73&lt;&gt;"",$L73&lt;&gt;"Yes"),"notified although assessed not notifiable - confirm; ","")&amp;IF(AND($U73="Closed",$V73=""),"closed without closed date; ","")&amp;IF(AND($V73&lt;&gt;"",$C73&lt;&gt;"",$V73&lt;INT($C73)),"closed before aware; ","")&amp;IF(AND($C73&lt;&gt;"",$C73&gt;=ReportDate+1),"aware after snapshot date; ","")="","OK","Check: "&amp;IF(OR($C73="",$E73="",$F73="",$K73="",$T73="",$U73=""),"missing required field; ","")&amp;IF(COUNTIF($A$2:$A$101,$A73)&gt;1,"duplicate ID; ","")&amp;IF($H73="","subjects affected missing; ","")&amp;IF(AND($B73&lt;&gt;"",$C73&lt;&gt;"",INT($C73)&lt;$B73),"aware before occurred; ","")&amp;IF(AND($N73&lt;&gt;"",$C73&lt;&gt;"",$N73&lt;$C73),"notified before aware; ","")&amp;IF(AND($L73="Yes",$N73="",$U73="Closed"),"closed without DPC notification; ","")&amp;IF(AND($N73&lt;&gt;"",$L73&lt;&gt;"Yes"),"notified although assessed not notifiable - confirm; ","")&amp;IF(AND($U73="Closed",$V73=""),"closed without closed date; ","")&amp;IF(AND($V73&lt;&gt;"",$C73&lt;&gt;"",$V73&lt;INT($C73)),"closed before aware; ","")&amp;IF(AND($C73&lt;&gt;"",$C73&gt;=ReportDate+1),"aware after snapshot date; ","")))</f>
        <v/>
      </c>
      <c r="X73" s="22"/>
    </row>
    <row r="74" spans="1:24" x14ac:dyDescent="0.35">
      <c r="A74" s="22"/>
      <c r="B74" s="23"/>
      <c r="C74" s="25"/>
      <c r="D74" s="22"/>
      <c r="E74" s="22"/>
      <c r="F74" s="22"/>
      <c r="G74" s="22"/>
      <c r="H74" s="22"/>
      <c r="I74" s="20" t="str">
        <f>IF(OR($A74="",$H74=""),"",VLOOKUP($H74,SubjectBands,2,TRUE))</f>
        <v/>
      </c>
      <c r="J74" s="22"/>
      <c r="K74" s="22"/>
      <c r="L74" s="20" t="str">
        <f t="shared" si="6"/>
        <v/>
      </c>
      <c r="M74" s="24" t="str">
        <f>IF($L74="Yes",$C74+NotifyHours/24,"")</f>
        <v/>
      </c>
      <c r="N74" s="25"/>
      <c r="O74" s="20" t="str">
        <f t="shared" si="7"/>
        <v/>
      </c>
      <c r="P74" s="20" t="str">
        <f>IF($O74="","",VLOOKUP($O74,TimeBands,2,TRUE))</f>
        <v/>
      </c>
      <c r="Q74" s="20" t="str">
        <f>IF($L74&lt;&gt;"Yes","",IF($N74="",IF(ReportDate&gt;$M74,"Overdue","Pending"),IF($N74&lt;=$M74,"Y","N")))</f>
        <v/>
      </c>
      <c r="R74" s="20" t="str">
        <f t="shared" si="8"/>
        <v/>
      </c>
      <c r="S74" s="22"/>
      <c r="T74" s="22"/>
      <c r="U74" s="22"/>
      <c r="V74" s="23"/>
      <c r="W74" s="20" t="str">
        <f>IF($A74="","",IF(IF(OR($C74="",$E74="",$F74="",$K74="",$T74="",$U74=""),"missing required field; ","")&amp;IF(COUNTIF($A$2:$A$101,$A74)&gt;1,"duplicate ID; ","")&amp;IF($H74="","subjects affected missing; ","")&amp;IF(AND($B74&lt;&gt;"",$C74&lt;&gt;"",INT($C74)&lt;$B74),"aware before occurred; ","")&amp;IF(AND($N74&lt;&gt;"",$C74&lt;&gt;"",$N74&lt;$C74),"notified before aware; ","")&amp;IF(AND($L74="Yes",$N74="",$U74="Closed"),"closed without DPC notification; ","")&amp;IF(AND($N74&lt;&gt;"",$L74&lt;&gt;"Yes"),"notified although assessed not notifiable - confirm; ","")&amp;IF(AND($U74="Closed",$V74=""),"closed without closed date; ","")&amp;IF(AND($V74&lt;&gt;"",$C74&lt;&gt;"",$V74&lt;INT($C74)),"closed before aware; ","")&amp;IF(AND($C74&lt;&gt;"",$C74&gt;=ReportDate+1),"aware after snapshot date; ","")="","OK","Check: "&amp;IF(OR($C74="",$E74="",$F74="",$K74="",$T74="",$U74=""),"missing required field; ","")&amp;IF(COUNTIF($A$2:$A$101,$A74)&gt;1,"duplicate ID; ","")&amp;IF($H74="","subjects affected missing; ","")&amp;IF(AND($B74&lt;&gt;"",$C74&lt;&gt;"",INT($C74)&lt;$B74),"aware before occurred; ","")&amp;IF(AND($N74&lt;&gt;"",$C74&lt;&gt;"",$N74&lt;$C74),"notified before aware; ","")&amp;IF(AND($L74="Yes",$N74="",$U74="Closed"),"closed without DPC notification; ","")&amp;IF(AND($N74&lt;&gt;"",$L74&lt;&gt;"Yes"),"notified although assessed not notifiable - confirm; ","")&amp;IF(AND($U74="Closed",$V74=""),"closed without closed date; ","")&amp;IF(AND($V74&lt;&gt;"",$C74&lt;&gt;"",$V74&lt;INT($C74)),"closed before aware; ","")&amp;IF(AND($C74&lt;&gt;"",$C74&gt;=ReportDate+1),"aware after snapshot date; ","")))</f>
        <v/>
      </c>
      <c r="X74" s="22"/>
    </row>
    <row r="75" spans="1:24" x14ac:dyDescent="0.35">
      <c r="A75" s="22"/>
      <c r="B75" s="23"/>
      <c r="C75" s="25"/>
      <c r="D75" s="22"/>
      <c r="E75" s="22"/>
      <c r="F75" s="22"/>
      <c r="G75" s="22"/>
      <c r="H75" s="22"/>
      <c r="I75" s="20" t="str">
        <f>IF(OR($A75="",$H75=""),"",VLOOKUP($H75,SubjectBands,2,TRUE))</f>
        <v/>
      </c>
      <c r="J75" s="22"/>
      <c r="K75" s="22"/>
      <c r="L75" s="20" t="str">
        <f t="shared" si="6"/>
        <v/>
      </c>
      <c r="M75" s="24" t="str">
        <f>IF($L75="Yes",$C75+NotifyHours/24,"")</f>
        <v/>
      </c>
      <c r="N75" s="25"/>
      <c r="O75" s="20" t="str">
        <f t="shared" si="7"/>
        <v/>
      </c>
      <c r="P75" s="20" t="str">
        <f>IF($O75="","",VLOOKUP($O75,TimeBands,2,TRUE))</f>
        <v/>
      </c>
      <c r="Q75" s="20" t="str">
        <f>IF($L75&lt;&gt;"Yes","",IF($N75="",IF(ReportDate&gt;$M75,"Overdue","Pending"),IF($N75&lt;=$M75,"Y","N")))</f>
        <v/>
      </c>
      <c r="R75" s="20" t="str">
        <f t="shared" si="8"/>
        <v/>
      </c>
      <c r="S75" s="22"/>
      <c r="T75" s="22"/>
      <c r="U75" s="22"/>
      <c r="V75" s="23"/>
      <c r="W75" s="20" t="str">
        <f>IF($A75="","",IF(IF(OR($C75="",$E75="",$F75="",$K75="",$T75="",$U75=""),"missing required field; ","")&amp;IF(COUNTIF($A$2:$A$101,$A75)&gt;1,"duplicate ID; ","")&amp;IF($H75="","subjects affected missing; ","")&amp;IF(AND($B75&lt;&gt;"",$C75&lt;&gt;"",INT($C75)&lt;$B75),"aware before occurred; ","")&amp;IF(AND($N75&lt;&gt;"",$C75&lt;&gt;"",$N75&lt;$C75),"notified before aware; ","")&amp;IF(AND($L75="Yes",$N75="",$U75="Closed"),"closed without DPC notification; ","")&amp;IF(AND($N75&lt;&gt;"",$L75&lt;&gt;"Yes"),"notified although assessed not notifiable - confirm; ","")&amp;IF(AND($U75="Closed",$V75=""),"closed without closed date; ","")&amp;IF(AND($V75&lt;&gt;"",$C75&lt;&gt;"",$V75&lt;INT($C75)),"closed before aware; ","")&amp;IF(AND($C75&lt;&gt;"",$C75&gt;=ReportDate+1),"aware after snapshot date; ","")="","OK","Check: "&amp;IF(OR($C75="",$E75="",$F75="",$K75="",$T75="",$U75=""),"missing required field; ","")&amp;IF(COUNTIF($A$2:$A$101,$A75)&gt;1,"duplicate ID; ","")&amp;IF($H75="","subjects affected missing; ","")&amp;IF(AND($B75&lt;&gt;"",$C75&lt;&gt;"",INT($C75)&lt;$B75),"aware before occurred; ","")&amp;IF(AND($N75&lt;&gt;"",$C75&lt;&gt;"",$N75&lt;$C75),"notified before aware; ","")&amp;IF(AND($L75="Yes",$N75="",$U75="Closed"),"closed without DPC notification; ","")&amp;IF(AND($N75&lt;&gt;"",$L75&lt;&gt;"Yes"),"notified although assessed not notifiable - confirm; ","")&amp;IF(AND($U75="Closed",$V75=""),"closed without closed date; ","")&amp;IF(AND($V75&lt;&gt;"",$C75&lt;&gt;"",$V75&lt;INT($C75)),"closed before aware; ","")&amp;IF(AND($C75&lt;&gt;"",$C75&gt;=ReportDate+1),"aware after snapshot date; ","")))</f>
        <v/>
      </c>
      <c r="X75" s="22"/>
    </row>
    <row r="76" spans="1:24" x14ac:dyDescent="0.35">
      <c r="A76" s="22"/>
      <c r="B76" s="23"/>
      <c r="C76" s="25"/>
      <c r="D76" s="22"/>
      <c r="E76" s="22"/>
      <c r="F76" s="22"/>
      <c r="G76" s="22"/>
      <c r="H76" s="22"/>
      <c r="I76" s="20" t="str">
        <f>IF(OR($A76="",$H76=""),"",VLOOKUP($H76,SubjectBands,2,TRUE))</f>
        <v/>
      </c>
      <c r="J76" s="22"/>
      <c r="K76" s="22"/>
      <c r="L76" s="20" t="str">
        <f t="shared" si="6"/>
        <v/>
      </c>
      <c r="M76" s="24" t="str">
        <f>IF($L76="Yes",$C76+NotifyHours/24,"")</f>
        <v/>
      </c>
      <c r="N76" s="25"/>
      <c r="O76" s="20" t="str">
        <f t="shared" si="7"/>
        <v/>
      </c>
      <c r="P76" s="20" t="str">
        <f>IF($O76="","",VLOOKUP($O76,TimeBands,2,TRUE))</f>
        <v/>
      </c>
      <c r="Q76" s="20" t="str">
        <f>IF($L76&lt;&gt;"Yes","",IF($N76="",IF(ReportDate&gt;$M76,"Overdue","Pending"),IF($N76&lt;=$M76,"Y","N")))</f>
        <v/>
      </c>
      <c r="R76" s="20" t="str">
        <f t="shared" si="8"/>
        <v/>
      </c>
      <c r="S76" s="22"/>
      <c r="T76" s="22"/>
      <c r="U76" s="22"/>
      <c r="V76" s="23"/>
      <c r="W76" s="20" t="str">
        <f>IF($A76="","",IF(IF(OR($C76="",$E76="",$F76="",$K76="",$T76="",$U76=""),"missing required field; ","")&amp;IF(COUNTIF($A$2:$A$101,$A76)&gt;1,"duplicate ID; ","")&amp;IF($H76="","subjects affected missing; ","")&amp;IF(AND($B76&lt;&gt;"",$C76&lt;&gt;"",INT($C76)&lt;$B76),"aware before occurred; ","")&amp;IF(AND($N76&lt;&gt;"",$C76&lt;&gt;"",$N76&lt;$C76),"notified before aware; ","")&amp;IF(AND($L76="Yes",$N76="",$U76="Closed"),"closed without DPC notification; ","")&amp;IF(AND($N76&lt;&gt;"",$L76&lt;&gt;"Yes"),"notified although assessed not notifiable - confirm; ","")&amp;IF(AND($U76="Closed",$V76=""),"closed without closed date; ","")&amp;IF(AND($V76&lt;&gt;"",$C76&lt;&gt;"",$V76&lt;INT($C76)),"closed before aware; ","")&amp;IF(AND($C76&lt;&gt;"",$C76&gt;=ReportDate+1),"aware after snapshot date; ","")="","OK","Check: "&amp;IF(OR($C76="",$E76="",$F76="",$K76="",$T76="",$U76=""),"missing required field; ","")&amp;IF(COUNTIF($A$2:$A$101,$A76)&gt;1,"duplicate ID; ","")&amp;IF($H76="","subjects affected missing; ","")&amp;IF(AND($B76&lt;&gt;"",$C76&lt;&gt;"",INT($C76)&lt;$B76),"aware before occurred; ","")&amp;IF(AND($N76&lt;&gt;"",$C76&lt;&gt;"",$N76&lt;$C76),"notified before aware; ","")&amp;IF(AND($L76="Yes",$N76="",$U76="Closed"),"closed without DPC notification; ","")&amp;IF(AND($N76&lt;&gt;"",$L76&lt;&gt;"Yes"),"notified although assessed not notifiable - confirm; ","")&amp;IF(AND($U76="Closed",$V76=""),"closed without closed date; ","")&amp;IF(AND($V76&lt;&gt;"",$C76&lt;&gt;"",$V76&lt;INT($C76)),"closed before aware; ","")&amp;IF(AND($C76&lt;&gt;"",$C76&gt;=ReportDate+1),"aware after snapshot date; ","")))</f>
        <v/>
      </c>
      <c r="X76" s="22"/>
    </row>
    <row r="77" spans="1:24" x14ac:dyDescent="0.35">
      <c r="A77" s="22"/>
      <c r="B77" s="23"/>
      <c r="C77" s="25"/>
      <c r="D77" s="22"/>
      <c r="E77" s="22"/>
      <c r="F77" s="22"/>
      <c r="G77" s="22"/>
      <c r="H77" s="22"/>
      <c r="I77" s="20" t="str">
        <f>IF(OR($A77="",$H77=""),"",VLOOKUP($H77,SubjectBands,2,TRUE))</f>
        <v/>
      </c>
      <c r="J77" s="22"/>
      <c r="K77" s="22"/>
      <c r="L77" s="20" t="str">
        <f t="shared" si="6"/>
        <v/>
      </c>
      <c r="M77" s="24" t="str">
        <f>IF($L77="Yes",$C77+NotifyHours/24,"")</f>
        <v/>
      </c>
      <c r="N77" s="25"/>
      <c r="O77" s="20" t="str">
        <f t="shared" si="7"/>
        <v/>
      </c>
      <c r="P77" s="20" t="str">
        <f>IF($O77="","",VLOOKUP($O77,TimeBands,2,TRUE))</f>
        <v/>
      </c>
      <c r="Q77" s="20" t="str">
        <f>IF($L77&lt;&gt;"Yes","",IF($N77="",IF(ReportDate&gt;$M77,"Overdue","Pending"),IF($N77&lt;=$M77,"Y","N")))</f>
        <v/>
      </c>
      <c r="R77" s="20" t="str">
        <f t="shared" si="8"/>
        <v/>
      </c>
      <c r="S77" s="22"/>
      <c r="T77" s="22"/>
      <c r="U77" s="22"/>
      <c r="V77" s="23"/>
      <c r="W77" s="20" t="str">
        <f>IF($A77="","",IF(IF(OR($C77="",$E77="",$F77="",$K77="",$T77="",$U77=""),"missing required field; ","")&amp;IF(COUNTIF($A$2:$A$101,$A77)&gt;1,"duplicate ID; ","")&amp;IF($H77="","subjects affected missing; ","")&amp;IF(AND($B77&lt;&gt;"",$C77&lt;&gt;"",INT($C77)&lt;$B77),"aware before occurred; ","")&amp;IF(AND($N77&lt;&gt;"",$C77&lt;&gt;"",$N77&lt;$C77),"notified before aware; ","")&amp;IF(AND($L77="Yes",$N77="",$U77="Closed"),"closed without DPC notification; ","")&amp;IF(AND($N77&lt;&gt;"",$L77&lt;&gt;"Yes"),"notified although assessed not notifiable - confirm; ","")&amp;IF(AND($U77="Closed",$V77=""),"closed without closed date; ","")&amp;IF(AND($V77&lt;&gt;"",$C77&lt;&gt;"",$V77&lt;INT($C77)),"closed before aware; ","")&amp;IF(AND($C77&lt;&gt;"",$C77&gt;=ReportDate+1),"aware after snapshot date; ","")="","OK","Check: "&amp;IF(OR($C77="",$E77="",$F77="",$K77="",$T77="",$U77=""),"missing required field; ","")&amp;IF(COUNTIF($A$2:$A$101,$A77)&gt;1,"duplicate ID; ","")&amp;IF($H77="","subjects affected missing; ","")&amp;IF(AND($B77&lt;&gt;"",$C77&lt;&gt;"",INT($C77)&lt;$B77),"aware before occurred; ","")&amp;IF(AND($N77&lt;&gt;"",$C77&lt;&gt;"",$N77&lt;$C77),"notified before aware; ","")&amp;IF(AND($L77="Yes",$N77="",$U77="Closed"),"closed without DPC notification; ","")&amp;IF(AND($N77&lt;&gt;"",$L77&lt;&gt;"Yes"),"notified although assessed not notifiable - confirm; ","")&amp;IF(AND($U77="Closed",$V77=""),"closed without closed date; ","")&amp;IF(AND($V77&lt;&gt;"",$C77&lt;&gt;"",$V77&lt;INT($C77)),"closed before aware; ","")&amp;IF(AND($C77&lt;&gt;"",$C77&gt;=ReportDate+1),"aware after snapshot date; ","")))</f>
        <v/>
      </c>
      <c r="X77" s="22"/>
    </row>
    <row r="78" spans="1:24" x14ac:dyDescent="0.35">
      <c r="A78" s="22"/>
      <c r="B78" s="23"/>
      <c r="C78" s="25"/>
      <c r="D78" s="22"/>
      <c r="E78" s="22"/>
      <c r="F78" s="22"/>
      <c r="G78" s="22"/>
      <c r="H78" s="22"/>
      <c r="I78" s="20" t="str">
        <f>IF(OR($A78="",$H78=""),"",VLOOKUP($H78,SubjectBands,2,TRUE))</f>
        <v/>
      </c>
      <c r="J78" s="22"/>
      <c r="K78" s="22"/>
      <c r="L78" s="20" t="str">
        <f t="shared" si="6"/>
        <v/>
      </c>
      <c r="M78" s="24" t="str">
        <f>IF($L78="Yes",$C78+NotifyHours/24,"")</f>
        <v/>
      </c>
      <c r="N78" s="25"/>
      <c r="O78" s="20" t="str">
        <f t="shared" si="7"/>
        <v/>
      </c>
      <c r="P78" s="20" t="str">
        <f>IF($O78="","",VLOOKUP($O78,TimeBands,2,TRUE))</f>
        <v/>
      </c>
      <c r="Q78" s="20" t="str">
        <f>IF($L78&lt;&gt;"Yes","",IF($N78="",IF(ReportDate&gt;$M78,"Overdue","Pending"),IF($N78&lt;=$M78,"Y","N")))</f>
        <v/>
      </c>
      <c r="R78" s="20" t="str">
        <f t="shared" si="8"/>
        <v/>
      </c>
      <c r="S78" s="22"/>
      <c r="T78" s="22"/>
      <c r="U78" s="22"/>
      <c r="V78" s="23"/>
      <c r="W78" s="20" t="str">
        <f>IF($A78="","",IF(IF(OR($C78="",$E78="",$F78="",$K78="",$T78="",$U78=""),"missing required field; ","")&amp;IF(COUNTIF($A$2:$A$101,$A78)&gt;1,"duplicate ID; ","")&amp;IF($H78="","subjects affected missing; ","")&amp;IF(AND($B78&lt;&gt;"",$C78&lt;&gt;"",INT($C78)&lt;$B78),"aware before occurred; ","")&amp;IF(AND($N78&lt;&gt;"",$C78&lt;&gt;"",$N78&lt;$C78),"notified before aware; ","")&amp;IF(AND($L78="Yes",$N78="",$U78="Closed"),"closed without DPC notification; ","")&amp;IF(AND($N78&lt;&gt;"",$L78&lt;&gt;"Yes"),"notified although assessed not notifiable - confirm; ","")&amp;IF(AND($U78="Closed",$V78=""),"closed without closed date; ","")&amp;IF(AND($V78&lt;&gt;"",$C78&lt;&gt;"",$V78&lt;INT($C78)),"closed before aware; ","")&amp;IF(AND($C78&lt;&gt;"",$C78&gt;=ReportDate+1),"aware after snapshot date; ","")="","OK","Check: "&amp;IF(OR($C78="",$E78="",$F78="",$K78="",$T78="",$U78=""),"missing required field; ","")&amp;IF(COUNTIF($A$2:$A$101,$A78)&gt;1,"duplicate ID; ","")&amp;IF($H78="","subjects affected missing; ","")&amp;IF(AND($B78&lt;&gt;"",$C78&lt;&gt;"",INT($C78)&lt;$B78),"aware before occurred; ","")&amp;IF(AND($N78&lt;&gt;"",$C78&lt;&gt;"",$N78&lt;$C78),"notified before aware; ","")&amp;IF(AND($L78="Yes",$N78="",$U78="Closed"),"closed without DPC notification; ","")&amp;IF(AND($N78&lt;&gt;"",$L78&lt;&gt;"Yes"),"notified although assessed not notifiable - confirm; ","")&amp;IF(AND($U78="Closed",$V78=""),"closed without closed date; ","")&amp;IF(AND($V78&lt;&gt;"",$C78&lt;&gt;"",$V78&lt;INT($C78)),"closed before aware; ","")&amp;IF(AND($C78&lt;&gt;"",$C78&gt;=ReportDate+1),"aware after snapshot date; ","")))</f>
        <v/>
      </c>
      <c r="X78" s="22"/>
    </row>
    <row r="79" spans="1:24" x14ac:dyDescent="0.35">
      <c r="A79" s="22"/>
      <c r="B79" s="23"/>
      <c r="C79" s="25"/>
      <c r="D79" s="22"/>
      <c r="E79" s="22"/>
      <c r="F79" s="22"/>
      <c r="G79" s="22"/>
      <c r="H79" s="22"/>
      <c r="I79" s="20" t="str">
        <f>IF(OR($A79="",$H79=""),"",VLOOKUP($H79,SubjectBands,2,TRUE))</f>
        <v/>
      </c>
      <c r="J79" s="22"/>
      <c r="K79" s="22"/>
      <c r="L79" s="20" t="str">
        <f t="shared" si="6"/>
        <v/>
      </c>
      <c r="M79" s="24" t="str">
        <f>IF($L79="Yes",$C79+NotifyHours/24,"")</f>
        <v/>
      </c>
      <c r="N79" s="25"/>
      <c r="O79" s="20" t="str">
        <f t="shared" si="7"/>
        <v/>
      </c>
      <c r="P79" s="20" t="str">
        <f>IF($O79="","",VLOOKUP($O79,TimeBands,2,TRUE))</f>
        <v/>
      </c>
      <c r="Q79" s="20" t="str">
        <f>IF($L79&lt;&gt;"Yes","",IF($N79="",IF(ReportDate&gt;$M79,"Overdue","Pending"),IF($N79&lt;=$M79,"Y","N")))</f>
        <v/>
      </c>
      <c r="R79" s="20" t="str">
        <f t="shared" si="8"/>
        <v/>
      </c>
      <c r="S79" s="22"/>
      <c r="T79" s="22"/>
      <c r="U79" s="22"/>
      <c r="V79" s="23"/>
      <c r="W79" s="20" t="str">
        <f>IF($A79="","",IF(IF(OR($C79="",$E79="",$F79="",$K79="",$T79="",$U79=""),"missing required field; ","")&amp;IF(COUNTIF($A$2:$A$101,$A79)&gt;1,"duplicate ID; ","")&amp;IF($H79="","subjects affected missing; ","")&amp;IF(AND($B79&lt;&gt;"",$C79&lt;&gt;"",INT($C79)&lt;$B79),"aware before occurred; ","")&amp;IF(AND($N79&lt;&gt;"",$C79&lt;&gt;"",$N79&lt;$C79),"notified before aware; ","")&amp;IF(AND($L79="Yes",$N79="",$U79="Closed"),"closed without DPC notification; ","")&amp;IF(AND($N79&lt;&gt;"",$L79&lt;&gt;"Yes"),"notified although assessed not notifiable - confirm; ","")&amp;IF(AND($U79="Closed",$V79=""),"closed without closed date; ","")&amp;IF(AND($V79&lt;&gt;"",$C79&lt;&gt;"",$V79&lt;INT($C79)),"closed before aware; ","")&amp;IF(AND($C79&lt;&gt;"",$C79&gt;=ReportDate+1),"aware after snapshot date; ","")="","OK","Check: "&amp;IF(OR($C79="",$E79="",$F79="",$K79="",$T79="",$U79=""),"missing required field; ","")&amp;IF(COUNTIF($A$2:$A$101,$A79)&gt;1,"duplicate ID; ","")&amp;IF($H79="","subjects affected missing; ","")&amp;IF(AND($B79&lt;&gt;"",$C79&lt;&gt;"",INT($C79)&lt;$B79),"aware before occurred; ","")&amp;IF(AND($N79&lt;&gt;"",$C79&lt;&gt;"",$N79&lt;$C79),"notified before aware; ","")&amp;IF(AND($L79="Yes",$N79="",$U79="Closed"),"closed without DPC notification; ","")&amp;IF(AND($N79&lt;&gt;"",$L79&lt;&gt;"Yes"),"notified although assessed not notifiable - confirm; ","")&amp;IF(AND($U79="Closed",$V79=""),"closed without closed date; ","")&amp;IF(AND($V79&lt;&gt;"",$C79&lt;&gt;"",$V79&lt;INT($C79)),"closed before aware; ","")&amp;IF(AND($C79&lt;&gt;"",$C79&gt;=ReportDate+1),"aware after snapshot date; ","")))</f>
        <v/>
      </c>
      <c r="X79" s="22"/>
    </row>
    <row r="80" spans="1:24" x14ac:dyDescent="0.35">
      <c r="A80" s="22"/>
      <c r="B80" s="23"/>
      <c r="C80" s="25"/>
      <c r="D80" s="22"/>
      <c r="E80" s="22"/>
      <c r="F80" s="22"/>
      <c r="G80" s="22"/>
      <c r="H80" s="22"/>
      <c r="I80" s="20" t="str">
        <f>IF(OR($A80="",$H80=""),"",VLOOKUP($H80,SubjectBands,2,TRUE))</f>
        <v/>
      </c>
      <c r="J80" s="22"/>
      <c r="K80" s="22"/>
      <c r="L80" s="20" t="str">
        <f t="shared" si="6"/>
        <v/>
      </c>
      <c r="M80" s="24" t="str">
        <f>IF($L80="Yes",$C80+NotifyHours/24,"")</f>
        <v/>
      </c>
      <c r="N80" s="25"/>
      <c r="O80" s="20" t="str">
        <f t="shared" si="7"/>
        <v/>
      </c>
      <c r="P80" s="20" t="str">
        <f>IF($O80="","",VLOOKUP($O80,TimeBands,2,TRUE))</f>
        <v/>
      </c>
      <c r="Q80" s="20" t="str">
        <f>IF($L80&lt;&gt;"Yes","",IF($N80="",IF(ReportDate&gt;$M80,"Overdue","Pending"),IF($N80&lt;=$M80,"Y","N")))</f>
        <v/>
      </c>
      <c r="R80" s="20" t="str">
        <f t="shared" si="8"/>
        <v/>
      </c>
      <c r="S80" s="22"/>
      <c r="T80" s="22"/>
      <c r="U80" s="22"/>
      <c r="V80" s="23"/>
      <c r="W80" s="20" t="str">
        <f>IF($A80="","",IF(IF(OR($C80="",$E80="",$F80="",$K80="",$T80="",$U80=""),"missing required field; ","")&amp;IF(COUNTIF($A$2:$A$101,$A80)&gt;1,"duplicate ID; ","")&amp;IF($H80="","subjects affected missing; ","")&amp;IF(AND($B80&lt;&gt;"",$C80&lt;&gt;"",INT($C80)&lt;$B80),"aware before occurred; ","")&amp;IF(AND($N80&lt;&gt;"",$C80&lt;&gt;"",$N80&lt;$C80),"notified before aware; ","")&amp;IF(AND($L80="Yes",$N80="",$U80="Closed"),"closed without DPC notification; ","")&amp;IF(AND($N80&lt;&gt;"",$L80&lt;&gt;"Yes"),"notified although assessed not notifiable - confirm; ","")&amp;IF(AND($U80="Closed",$V80=""),"closed without closed date; ","")&amp;IF(AND($V80&lt;&gt;"",$C80&lt;&gt;"",$V80&lt;INT($C80)),"closed before aware; ","")&amp;IF(AND($C80&lt;&gt;"",$C80&gt;=ReportDate+1),"aware after snapshot date; ","")="","OK","Check: "&amp;IF(OR($C80="",$E80="",$F80="",$K80="",$T80="",$U80=""),"missing required field; ","")&amp;IF(COUNTIF($A$2:$A$101,$A80)&gt;1,"duplicate ID; ","")&amp;IF($H80="","subjects affected missing; ","")&amp;IF(AND($B80&lt;&gt;"",$C80&lt;&gt;"",INT($C80)&lt;$B80),"aware before occurred; ","")&amp;IF(AND($N80&lt;&gt;"",$C80&lt;&gt;"",$N80&lt;$C80),"notified before aware; ","")&amp;IF(AND($L80="Yes",$N80="",$U80="Closed"),"closed without DPC notification; ","")&amp;IF(AND($N80&lt;&gt;"",$L80&lt;&gt;"Yes"),"notified although assessed not notifiable - confirm; ","")&amp;IF(AND($U80="Closed",$V80=""),"closed without closed date; ","")&amp;IF(AND($V80&lt;&gt;"",$C80&lt;&gt;"",$V80&lt;INT($C80)),"closed before aware; ","")&amp;IF(AND($C80&lt;&gt;"",$C80&gt;=ReportDate+1),"aware after snapshot date; ","")))</f>
        <v/>
      </c>
      <c r="X80" s="22"/>
    </row>
    <row r="81" spans="1:24" x14ac:dyDescent="0.35">
      <c r="A81" s="22"/>
      <c r="B81" s="23"/>
      <c r="C81" s="25"/>
      <c r="D81" s="22"/>
      <c r="E81" s="22"/>
      <c r="F81" s="22"/>
      <c r="G81" s="22"/>
      <c r="H81" s="22"/>
      <c r="I81" s="20" t="str">
        <f>IF(OR($A81="",$H81=""),"",VLOOKUP($H81,SubjectBands,2,TRUE))</f>
        <v/>
      </c>
      <c r="J81" s="22"/>
      <c r="K81" s="22"/>
      <c r="L81" s="20" t="str">
        <f t="shared" si="6"/>
        <v/>
      </c>
      <c r="M81" s="24" t="str">
        <f>IF($L81="Yes",$C81+NotifyHours/24,"")</f>
        <v/>
      </c>
      <c r="N81" s="25"/>
      <c r="O81" s="20" t="str">
        <f t="shared" si="7"/>
        <v/>
      </c>
      <c r="P81" s="20" t="str">
        <f>IF($O81="","",VLOOKUP($O81,TimeBands,2,TRUE))</f>
        <v/>
      </c>
      <c r="Q81" s="20" t="str">
        <f>IF($L81&lt;&gt;"Yes","",IF($N81="",IF(ReportDate&gt;$M81,"Overdue","Pending"),IF($N81&lt;=$M81,"Y","N")))</f>
        <v/>
      </c>
      <c r="R81" s="20" t="str">
        <f t="shared" si="8"/>
        <v/>
      </c>
      <c r="S81" s="22"/>
      <c r="T81" s="22"/>
      <c r="U81" s="22"/>
      <c r="V81" s="23"/>
      <c r="W81" s="20" t="str">
        <f>IF($A81="","",IF(IF(OR($C81="",$E81="",$F81="",$K81="",$T81="",$U81=""),"missing required field; ","")&amp;IF(COUNTIF($A$2:$A$101,$A81)&gt;1,"duplicate ID; ","")&amp;IF($H81="","subjects affected missing; ","")&amp;IF(AND($B81&lt;&gt;"",$C81&lt;&gt;"",INT($C81)&lt;$B81),"aware before occurred; ","")&amp;IF(AND($N81&lt;&gt;"",$C81&lt;&gt;"",$N81&lt;$C81),"notified before aware; ","")&amp;IF(AND($L81="Yes",$N81="",$U81="Closed"),"closed without DPC notification; ","")&amp;IF(AND($N81&lt;&gt;"",$L81&lt;&gt;"Yes"),"notified although assessed not notifiable - confirm; ","")&amp;IF(AND($U81="Closed",$V81=""),"closed without closed date; ","")&amp;IF(AND($V81&lt;&gt;"",$C81&lt;&gt;"",$V81&lt;INT($C81)),"closed before aware; ","")&amp;IF(AND($C81&lt;&gt;"",$C81&gt;=ReportDate+1),"aware after snapshot date; ","")="","OK","Check: "&amp;IF(OR($C81="",$E81="",$F81="",$K81="",$T81="",$U81=""),"missing required field; ","")&amp;IF(COUNTIF($A$2:$A$101,$A81)&gt;1,"duplicate ID; ","")&amp;IF($H81="","subjects affected missing; ","")&amp;IF(AND($B81&lt;&gt;"",$C81&lt;&gt;"",INT($C81)&lt;$B81),"aware before occurred; ","")&amp;IF(AND($N81&lt;&gt;"",$C81&lt;&gt;"",$N81&lt;$C81),"notified before aware; ","")&amp;IF(AND($L81="Yes",$N81="",$U81="Closed"),"closed without DPC notification; ","")&amp;IF(AND($N81&lt;&gt;"",$L81&lt;&gt;"Yes"),"notified although assessed not notifiable - confirm; ","")&amp;IF(AND($U81="Closed",$V81=""),"closed without closed date; ","")&amp;IF(AND($V81&lt;&gt;"",$C81&lt;&gt;"",$V81&lt;INT($C81)),"closed before aware; ","")&amp;IF(AND($C81&lt;&gt;"",$C81&gt;=ReportDate+1),"aware after snapshot date; ","")))</f>
        <v/>
      </c>
      <c r="X81" s="22"/>
    </row>
    <row r="82" spans="1:24" x14ac:dyDescent="0.35">
      <c r="A82" s="22"/>
      <c r="B82" s="23"/>
      <c r="C82" s="25"/>
      <c r="D82" s="22"/>
      <c r="E82" s="22"/>
      <c r="F82" s="22"/>
      <c r="G82" s="22"/>
      <c r="H82" s="22"/>
      <c r="I82" s="20" t="str">
        <f>IF(OR($A82="",$H82=""),"",VLOOKUP($H82,SubjectBands,2,TRUE))</f>
        <v/>
      </c>
      <c r="J82" s="22"/>
      <c r="K82" s="22"/>
      <c r="L82" s="20" t="str">
        <f t="shared" si="6"/>
        <v/>
      </c>
      <c r="M82" s="24" t="str">
        <f>IF($L82="Yes",$C82+NotifyHours/24,"")</f>
        <v/>
      </c>
      <c r="N82" s="25"/>
      <c r="O82" s="20" t="str">
        <f t="shared" si="7"/>
        <v/>
      </c>
      <c r="P82" s="20" t="str">
        <f>IF($O82="","",VLOOKUP($O82,TimeBands,2,TRUE))</f>
        <v/>
      </c>
      <c r="Q82" s="20" t="str">
        <f>IF($L82&lt;&gt;"Yes","",IF($N82="",IF(ReportDate&gt;$M82,"Overdue","Pending"),IF($N82&lt;=$M82,"Y","N")))</f>
        <v/>
      </c>
      <c r="R82" s="20" t="str">
        <f t="shared" si="8"/>
        <v/>
      </c>
      <c r="S82" s="22"/>
      <c r="T82" s="22"/>
      <c r="U82" s="22"/>
      <c r="V82" s="23"/>
      <c r="W82" s="20" t="str">
        <f>IF($A82="","",IF(IF(OR($C82="",$E82="",$F82="",$K82="",$T82="",$U82=""),"missing required field; ","")&amp;IF(COUNTIF($A$2:$A$101,$A82)&gt;1,"duplicate ID; ","")&amp;IF($H82="","subjects affected missing; ","")&amp;IF(AND($B82&lt;&gt;"",$C82&lt;&gt;"",INT($C82)&lt;$B82),"aware before occurred; ","")&amp;IF(AND($N82&lt;&gt;"",$C82&lt;&gt;"",$N82&lt;$C82),"notified before aware; ","")&amp;IF(AND($L82="Yes",$N82="",$U82="Closed"),"closed without DPC notification; ","")&amp;IF(AND($N82&lt;&gt;"",$L82&lt;&gt;"Yes"),"notified although assessed not notifiable - confirm; ","")&amp;IF(AND($U82="Closed",$V82=""),"closed without closed date; ","")&amp;IF(AND($V82&lt;&gt;"",$C82&lt;&gt;"",$V82&lt;INT($C82)),"closed before aware; ","")&amp;IF(AND($C82&lt;&gt;"",$C82&gt;=ReportDate+1),"aware after snapshot date; ","")="","OK","Check: "&amp;IF(OR($C82="",$E82="",$F82="",$K82="",$T82="",$U82=""),"missing required field; ","")&amp;IF(COUNTIF($A$2:$A$101,$A82)&gt;1,"duplicate ID; ","")&amp;IF($H82="","subjects affected missing; ","")&amp;IF(AND($B82&lt;&gt;"",$C82&lt;&gt;"",INT($C82)&lt;$B82),"aware before occurred; ","")&amp;IF(AND($N82&lt;&gt;"",$C82&lt;&gt;"",$N82&lt;$C82),"notified before aware; ","")&amp;IF(AND($L82="Yes",$N82="",$U82="Closed"),"closed without DPC notification; ","")&amp;IF(AND($N82&lt;&gt;"",$L82&lt;&gt;"Yes"),"notified although assessed not notifiable - confirm; ","")&amp;IF(AND($U82="Closed",$V82=""),"closed without closed date; ","")&amp;IF(AND($V82&lt;&gt;"",$C82&lt;&gt;"",$V82&lt;INT($C82)),"closed before aware; ","")&amp;IF(AND($C82&lt;&gt;"",$C82&gt;=ReportDate+1),"aware after snapshot date; ","")))</f>
        <v/>
      </c>
      <c r="X82" s="22"/>
    </row>
    <row r="83" spans="1:24" x14ac:dyDescent="0.35">
      <c r="A83" s="22"/>
      <c r="B83" s="23"/>
      <c r="C83" s="25"/>
      <c r="D83" s="22"/>
      <c r="E83" s="22"/>
      <c r="F83" s="22"/>
      <c r="G83" s="22"/>
      <c r="H83" s="22"/>
      <c r="I83" s="20" t="str">
        <f>IF(OR($A83="",$H83=""),"",VLOOKUP($H83,SubjectBands,2,TRUE))</f>
        <v/>
      </c>
      <c r="J83" s="22"/>
      <c r="K83" s="22"/>
      <c r="L83" s="20" t="str">
        <f t="shared" si="6"/>
        <v/>
      </c>
      <c r="M83" s="24" t="str">
        <f>IF($L83="Yes",$C83+NotifyHours/24,"")</f>
        <v/>
      </c>
      <c r="N83" s="25"/>
      <c r="O83" s="20" t="str">
        <f t="shared" si="7"/>
        <v/>
      </c>
      <c r="P83" s="20" t="str">
        <f>IF($O83="","",VLOOKUP($O83,TimeBands,2,TRUE))</f>
        <v/>
      </c>
      <c r="Q83" s="20" t="str">
        <f>IF($L83&lt;&gt;"Yes","",IF($N83="",IF(ReportDate&gt;$M83,"Overdue","Pending"),IF($N83&lt;=$M83,"Y","N")))</f>
        <v/>
      </c>
      <c r="R83" s="20" t="str">
        <f t="shared" si="8"/>
        <v/>
      </c>
      <c r="S83" s="22"/>
      <c r="T83" s="22"/>
      <c r="U83" s="22"/>
      <c r="V83" s="23"/>
      <c r="W83" s="20" t="str">
        <f>IF($A83="","",IF(IF(OR($C83="",$E83="",$F83="",$K83="",$T83="",$U83=""),"missing required field; ","")&amp;IF(COUNTIF($A$2:$A$101,$A83)&gt;1,"duplicate ID; ","")&amp;IF($H83="","subjects affected missing; ","")&amp;IF(AND($B83&lt;&gt;"",$C83&lt;&gt;"",INT($C83)&lt;$B83),"aware before occurred; ","")&amp;IF(AND($N83&lt;&gt;"",$C83&lt;&gt;"",$N83&lt;$C83),"notified before aware; ","")&amp;IF(AND($L83="Yes",$N83="",$U83="Closed"),"closed without DPC notification; ","")&amp;IF(AND($N83&lt;&gt;"",$L83&lt;&gt;"Yes"),"notified although assessed not notifiable - confirm; ","")&amp;IF(AND($U83="Closed",$V83=""),"closed without closed date; ","")&amp;IF(AND($V83&lt;&gt;"",$C83&lt;&gt;"",$V83&lt;INT($C83)),"closed before aware; ","")&amp;IF(AND($C83&lt;&gt;"",$C83&gt;=ReportDate+1),"aware after snapshot date; ","")="","OK","Check: "&amp;IF(OR($C83="",$E83="",$F83="",$K83="",$T83="",$U83=""),"missing required field; ","")&amp;IF(COUNTIF($A$2:$A$101,$A83)&gt;1,"duplicate ID; ","")&amp;IF($H83="","subjects affected missing; ","")&amp;IF(AND($B83&lt;&gt;"",$C83&lt;&gt;"",INT($C83)&lt;$B83),"aware before occurred; ","")&amp;IF(AND($N83&lt;&gt;"",$C83&lt;&gt;"",$N83&lt;$C83),"notified before aware; ","")&amp;IF(AND($L83="Yes",$N83="",$U83="Closed"),"closed without DPC notification; ","")&amp;IF(AND($N83&lt;&gt;"",$L83&lt;&gt;"Yes"),"notified although assessed not notifiable - confirm; ","")&amp;IF(AND($U83="Closed",$V83=""),"closed without closed date; ","")&amp;IF(AND($V83&lt;&gt;"",$C83&lt;&gt;"",$V83&lt;INT($C83)),"closed before aware; ","")&amp;IF(AND($C83&lt;&gt;"",$C83&gt;=ReportDate+1),"aware after snapshot date; ","")))</f>
        <v/>
      </c>
      <c r="X83" s="22"/>
    </row>
    <row r="84" spans="1:24" x14ac:dyDescent="0.35">
      <c r="A84" s="22"/>
      <c r="B84" s="23"/>
      <c r="C84" s="25"/>
      <c r="D84" s="22"/>
      <c r="E84" s="22"/>
      <c r="F84" s="22"/>
      <c r="G84" s="22"/>
      <c r="H84" s="22"/>
      <c r="I84" s="20" t="str">
        <f>IF(OR($A84="",$H84=""),"",VLOOKUP($H84,SubjectBands,2,TRUE))</f>
        <v/>
      </c>
      <c r="J84" s="22"/>
      <c r="K84" s="22"/>
      <c r="L84" s="20" t="str">
        <f t="shared" si="6"/>
        <v/>
      </c>
      <c r="M84" s="24" t="str">
        <f>IF($L84="Yes",$C84+NotifyHours/24,"")</f>
        <v/>
      </c>
      <c r="N84" s="25"/>
      <c r="O84" s="20" t="str">
        <f t="shared" si="7"/>
        <v/>
      </c>
      <c r="P84" s="20" t="str">
        <f>IF($O84="","",VLOOKUP($O84,TimeBands,2,TRUE))</f>
        <v/>
      </c>
      <c r="Q84" s="20" t="str">
        <f>IF($L84&lt;&gt;"Yes","",IF($N84="",IF(ReportDate&gt;$M84,"Overdue","Pending"),IF($N84&lt;=$M84,"Y","N")))</f>
        <v/>
      </c>
      <c r="R84" s="20" t="str">
        <f t="shared" si="8"/>
        <v/>
      </c>
      <c r="S84" s="22"/>
      <c r="T84" s="22"/>
      <c r="U84" s="22"/>
      <c r="V84" s="23"/>
      <c r="W84" s="20" t="str">
        <f>IF($A84="","",IF(IF(OR($C84="",$E84="",$F84="",$K84="",$T84="",$U84=""),"missing required field; ","")&amp;IF(COUNTIF($A$2:$A$101,$A84)&gt;1,"duplicate ID; ","")&amp;IF($H84="","subjects affected missing; ","")&amp;IF(AND($B84&lt;&gt;"",$C84&lt;&gt;"",INT($C84)&lt;$B84),"aware before occurred; ","")&amp;IF(AND($N84&lt;&gt;"",$C84&lt;&gt;"",$N84&lt;$C84),"notified before aware; ","")&amp;IF(AND($L84="Yes",$N84="",$U84="Closed"),"closed without DPC notification; ","")&amp;IF(AND($N84&lt;&gt;"",$L84&lt;&gt;"Yes"),"notified although assessed not notifiable - confirm; ","")&amp;IF(AND($U84="Closed",$V84=""),"closed without closed date; ","")&amp;IF(AND($V84&lt;&gt;"",$C84&lt;&gt;"",$V84&lt;INT($C84)),"closed before aware; ","")&amp;IF(AND($C84&lt;&gt;"",$C84&gt;=ReportDate+1),"aware after snapshot date; ","")="","OK","Check: "&amp;IF(OR($C84="",$E84="",$F84="",$K84="",$T84="",$U84=""),"missing required field; ","")&amp;IF(COUNTIF($A$2:$A$101,$A84)&gt;1,"duplicate ID; ","")&amp;IF($H84="","subjects affected missing; ","")&amp;IF(AND($B84&lt;&gt;"",$C84&lt;&gt;"",INT($C84)&lt;$B84),"aware before occurred; ","")&amp;IF(AND($N84&lt;&gt;"",$C84&lt;&gt;"",$N84&lt;$C84),"notified before aware; ","")&amp;IF(AND($L84="Yes",$N84="",$U84="Closed"),"closed without DPC notification; ","")&amp;IF(AND($N84&lt;&gt;"",$L84&lt;&gt;"Yes"),"notified although assessed not notifiable - confirm; ","")&amp;IF(AND($U84="Closed",$V84=""),"closed without closed date; ","")&amp;IF(AND($V84&lt;&gt;"",$C84&lt;&gt;"",$V84&lt;INT($C84)),"closed before aware; ","")&amp;IF(AND($C84&lt;&gt;"",$C84&gt;=ReportDate+1),"aware after snapshot date; ","")))</f>
        <v/>
      </c>
      <c r="X84" s="22"/>
    </row>
    <row r="85" spans="1:24" x14ac:dyDescent="0.35">
      <c r="A85" s="22"/>
      <c r="B85" s="23"/>
      <c r="C85" s="25"/>
      <c r="D85" s="22"/>
      <c r="E85" s="22"/>
      <c r="F85" s="22"/>
      <c r="G85" s="22"/>
      <c r="H85" s="22"/>
      <c r="I85" s="20" t="str">
        <f>IF(OR($A85="",$H85=""),"",VLOOKUP($H85,SubjectBands,2,TRUE))</f>
        <v/>
      </c>
      <c r="J85" s="22"/>
      <c r="K85" s="22"/>
      <c r="L85" s="20" t="str">
        <f t="shared" si="6"/>
        <v/>
      </c>
      <c r="M85" s="24" t="str">
        <f>IF($L85="Yes",$C85+NotifyHours/24,"")</f>
        <v/>
      </c>
      <c r="N85" s="25"/>
      <c r="O85" s="20" t="str">
        <f t="shared" si="7"/>
        <v/>
      </c>
      <c r="P85" s="20" t="str">
        <f>IF($O85="","",VLOOKUP($O85,TimeBands,2,TRUE))</f>
        <v/>
      </c>
      <c r="Q85" s="20" t="str">
        <f>IF($L85&lt;&gt;"Yes","",IF($N85="",IF(ReportDate&gt;$M85,"Overdue","Pending"),IF($N85&lt;=$M85,"Y","N")))</f>
        <v/>
      </c>
      <c r="R85" s="20" t="str">
        <f t="shared" si="8"/>
        <v/>
      </c>
      <c r="S85" s="22"/>
      <c r="T85" s="22"/>
      <c r="U85" s="22"/>
      <c r="V85" s="23"/>
      <c r="W85" s="20" t="str">
        <f>IF($A85="","",IF(IF(OR($C85="",$E85="",$F85="",$K85="",$T85="",$U85=""),"missing required field; ","")&amp;IF(COUNTIF($A$2:$A$101,$A85)&gt;1,"duplicate ID; ","")&amp;IF($H85="","subjects affected missing; ","")&amp;IF(AND($B85&lt;&gt;"",$C85&lt;&gt;"",INT($C85)&lt;$B85),"aware before occurred; ","")&amp;IF(AND($N85&lt;&gt;"",$C85&lt;&gt;"",$N85&lt;$C85),"notified before aware; ","")&amp;IF(AND($L85="Yes",$N85="",$U85="Closed"),"closed without DPC notification; ","")&amp;IF(AND($N85&lt;&gt;"",$L85&lt;&gt;"Yes"),"notified although assessed not notifiable - confirm; ","")&amp;IF(AND($U85="Closed",$V85=""),"closed without closed date; ","")&amp;IF(AND($V85&lt;&gt;"",$C85&lt;&gt;"",$V85&lt;INT($C85)),"closed before aware; ","")&amp;IF(AND($C85&lt;&gt;"",$C85&gt;=ReportDate+1),"aware after snapshot date; ","")="","OK","Check: "&amp;IF(OR($C85="",$E85="",$F85="",$K85="",$T85="",$U85=""),"missing required field; ","")&amp;IF(COUNTIF($A$2:$A$101,$A85)&gt;1,"duplicate ID; ","")&amp;IF($H85="","subjects affected missing; ","")&amp;IF(AND($B85&lt;&gt;"",$C85&lt;&gt;"",INT($C85)&lt;$B85),"aware before occurred; ","")&amp;IF(AND($N85&lt;&gt;"",$C85&lt;&gt;"",$N85&lt;$C85),"notified before aware; ","")&amp;IF(AND($L85="Yes",$N85="",$U85="Closed"),"closed without DPC notification; ","")&amp;IF(AND($N85&lt;&gt;"",$L85&lt;&gt;"Yes"),"notified although assessed not notifiable - confirm; ","")&amp;IF(AND($U85="Closed",$V85=""),"closed without closed date; ","")&amp;IF(AND($V85&lt;&gt;"",$C85&lt;&gt;"",$V85&lt;INT($C85)),"closed before aware; ","")&amp;IF(AND($C85&lt;&gt;"",$C85&gt;=ReportDate+1),"aware after snapshot date; ","")))</f>
        <v/>
      </c>
      <c r="X85" s="22"/>
    </row>
    <row r="86" spans="1:24" x14ac:dyDescent="0.35">
      <c r="A86" s="22"/>
      <c r="B86" s="23"/>
      <c r="C86" s="25"/>
      <c r="D86" s="22"/>
      <c r="E86" s="22"/>
      <c r="F86" s="22"/>
      <c r="G86" s="22"/>
      <c r="H86" s="22"/>
      <c r="I86" s="20" t="str">
        <f>IF(OR($A86="",$H86=""),"",VLOOKUP($H86,SubjectBands,2,TRUE))</f>
        <v/>
      </c>
      <c r="J86" s="22"/>
      <c r="K86" s="22"/>
      <c r="L86" s="20" t="str">
        <f t="shared" si="6"/>
        <v/>
      </c>
      <c r="M86" s="24" t="str">
        <f>IF($L86="Yes",$C86+NotifyHours/24,"")</f>
        <v/>
      </c>
      <c r="N86" s="25"/>
      <c r="O86" s="20" t="str">
        <f t="shared" si="7"/>
        <v/>
      </c>
      <c r="P86" s="20" t="str">
        <f>IF($O86="","",VLOOKUP($O86,TimeBands,2,TRUE))</f>
        <v/>
      </c>
      <c r="Q86" s="20" t="str">
        <f>IF($L86&lt;&gt;"Yes","",IF($N86="",IF(ReportDate&gt;$M86,"Overdue","Pending"),IF($N86&lt;=$M86,"Y","N")))</f>
        <v/>
      </c>
      <c r="R86" s="20" t="str">
        <f t="shared" si="8"/>
        <v/>
      </c>
      <c r="S86" s="22"/>
      <c r="T86" s="22"/>
      <c r="U86" s="22"/>
      <c r="V86" s="23"/>
      <c r="W86" s="20" t="str">
        <f>IF($A86="","",IF(IF(OR($C86="",$E86="",$F86="",$K86="",$T86="",$U86=""),"missing required field; ","")&amp;IF(COUNTIF($A$2:$A$101,$A86)&gt;1,"duplicate ID; ","")&amp;IF($H86="","subjects affected missing; ","")&amp;IF(AND($B86&lt;&gt;"",$C86&lt;&gt;"",INT($C86)&lt;$B86),"aware before occurred; ","")&amp;IF(AND($N86&lt;&gt;"",$C86&lt;&gt;"",$N86&lt;$C86),"notified before aware; ","")&amp;IF(AND($L86="Yes",$N86="",$U86="Closed"),"closed without DPC notification; ","")&amp;IF(AND($N86&lt;&gt;"",$L86&lt;&gt;"Yes"),"notified although assessed not notifiable - confirm; ","")&amp;IF(AND($U86="Closed",$V86=""),"closed without closed date; ","")&amp;IF(AND($V86&lt;&gt;"",$C86&lt;&gt;"",$V86&lt;INT($C86)),"closed before aware; ","")&amp;IF(AND($C86&lt;&gt;"",$C86&gt;=ReportDate+1),"aware after snapshot date; ","")="","OK","Check: "&amp;IF(OR($C86="",$E86="",$F86="",$K86="",$T86="",$U86=""),"missing required field; ","")&amp;IF(COUNTIF($A$2:$A$101,$A86)&gt;1,"duplicate ID; ","")&amp;IF($H86="","subjects affected missing; ","")&amp;IF(AND($B86&lt;&gt;"",$C86&lt;&gt;"",INT($C86)&lt;$B86),"aware before occurred; ","")&amp;IF(AND($N86&lt;&gt;"",$C86&lt;&gt;"",$N86&lt;$C86),"notified before aware; ","")&amp;IF(AND($L86="Yes",$N86="",$U86="Closed"),"closed without DPC notification; ","")&amp;IF(AND($N86&lt;&gt;"",$L86&lt;&gt;"Yes"),"notified although assessed not notifiable - confirm; ","")&amp;IF(AND($U86="Closed",$V86=""),"closed without closed date; ","")&amp;IF(AND($V86&lt;&gt;"",$C86&lt;&gt;"",$V86&lt;INT($C86)),"closed before aware; ","")&amp;IF(AND($C86&lt;&gt;"",$C86&gt;=ReportDate+1),"aware after snapshot date; ","")))</f>
        <v/>
      </c>
      <c r="X86" s="22"/>
    </row>
    <row r="87" spans="1:24" x14ac:dyDescent="0.35">
      <c r="A87" s="22"/>
      <c r="B87" s="23"/>
      <c r="C87" s="25"/>
      <c r="D87" s="22"/>
      <c r="E87" s="22"/>
      <c r="F87" s="22"/>
      <c r="G87" s="22"/>
      <c r="H87" s="22"/>
      <c r="I87" s="20" t="str">
        <f>IF(OR($A87="",$H87=""),"",VLOOKUP($H87,SubjectBands,2,TRUE))</f>
        <v/>
      </c>
      <c r="J87" s="22"/>
      <c r="K87" s="22"/>
      <c r="L87" s="20" t="str">
        <f t="shared" si="6"/>
        <v/>
      </c>
      <c r="M87" s="24" t="str">
        <f>IF($L87="Yes",$C87+NotifyHours/24,"")</f>
        <v/>
      </c>
      <c r="N87" s="25"/>
      <c r="O87" s="20" t="str">
        <f t="shared" si="7"/>
        <v/>
      </c>
      <c r="P87" s="20" t="str">
        <f>IF($O87="","",VLOOKUP($O87,TimeBands,2,TRUE))</f>
        <v/>
      </c>
      <c r="Q87" s="20" t="str">
        <f>IF($L87&lt;&gt;"Yes","",IF($N87="",IF(ReportDate&gt;$M87,"Overdue","Pending"),IF($N87&lt;=$M87,"Y","N")))</f>
        <v/>
      </c>
      <c r="R87" s="20" t="str">
        <f t="shared" si="8"/>
        <v/>
      </c>
      <c r="S87" s="22"/>
      <c r="T87" s="22"/>
      <c r="U87" s="22"/>
      <c r="V87" s="23"/>
      <c r="W87" s="20" t="str">
        <f>IF($A87="","",IF(IF(OR($C87="",$E87="",$F87="",$K87="",$T87="",$U87=""),"missing required field; ","")&amp;IF(COUNTIF($A$2:$A$101,$A87)&gt;1,"duplicate ID; ","")&amp;IF($H87="","subjects affected missing; ","")&amp;IF(AND($B87&lt;&gt;"",$C87&lt;&gt;"",INT($C87)&lt;$B87),"aware before occurred; ","")&amp;IF(AND($N87&lt;&gt;"",$C87&lt;&gt;"",$N87&lt;$C87),"notified before aware; ","")&amp;IF(AND($L87="Yes",$N87="",$U87="Closed"),"closed without DPC notification; ","")&amp;IF(AND($N87&lt;&gt;"",$L87&lt;&gt;"Yes"),"notified although assessed not notifiable - confirm; ","")&amp;IF(AND($U87="Closed",$V87=""),"closed without closed date; ","")&amp;IF(AND($V87&lt;&gt;"",$C87&lt;&gt;"",$V87&lt;INT($C87)),"closed before aware; ","")&amp;IF(AND($C87&lt;&gt;"",$C87&gt;=ReportDate+1),"aware after snapshot date; ","")="","OK","Check: "&amp;IF(OR($C87="",$E87="",$F87="",$K87="",$T87="",$U87=""),"missing required field; ","")&amp;IF(COUNTIF($A$2:$A$101,$A87)&gt;1,"duplicate ID; ","")&amp;IF($H87="","subjects affected missing; ","")&amp;IF(AND($B87&lt;&gt;"",$C87&lt;&gt;"",INT($C87)&lt;$B87),"aware before occurred; ","")&amp;IF(AND($N87&lt;&gt;"",$C87&lt;&gt;"",$N87&lt;$C87),"notified before aware; ","")&amp;IF(AND($L87="Yes",$N87="",$U87="Closed"),"closed without DPC notification; ","")&amp;IF(AND($N87&lt;&gt;"",$L87&lt;&gt;"Yes"),"notified although assessed not notifiable - confirm; ","")&amp;IF(AND($U87="Closed",$V87=""),"closed without closed date; ","")&amp;IF(AND($V87&lt;&gt;"",$C87&lt;&gt;"",$V87&lt;INT($C87)),"closed before aware; ","")&amp;IF(AND($C87&lt;&gt;"",$C87&gt;=ReportDate+1),"aware after snapshot date; ","")))</f>
        <v/>
      </c>
      <c r="X87" s="22"/>
    </row>
    <row r="88" spans="1:24" x14ac:dyDescent="0.35">
      <c r="A88" s="22"/>
      <c r="B88" s="23"/>
      <c r="C88" s="25"/>
      <c r="D88" s="22"/>
      <c r="E88" s="22"/>
      <c r="F88" s="22"/>
      <c r="G88" s="22"/>
      <c r="H88" s="22"/>
      <c r="I88" s="20" t="str">
        <f>IF(OR($A88="",$H88=""),"",VLOOKUP($H88,SubjectBands,2,TRUE))</f>
        <v/>
      </c>
      <c r="J88" s="22"/>
      <c r="K88" s="22"/>
      <c r="L88" s="20" t="str">
        <f t="shared" si="6"/>
        <v/>
      </c>
      <c r="M88" s="24" t="str">
        <f>IF($L88="Yes",$C88+NotifyHours/24,"")</f>
        <v/>
      </c>
      <c r="N88" s="25"/>
      <c r="O88" s="20" t="str">
        <f t="shared" si="7"/>
        <v/>
      </c>
      <c r="P88" s="20" t="str">
        <f>IF($O88="","",VLOOKUP($O88,TimeBands,2,TRUE))</f>
        <v/>
      </c>
      <c r="Q88" s="20" t="str">
        <f>IF($L88&lt;&gt;"Yes","",IF($N88="",IF(ReportDate&gt;$M88,"Overdue","Pending"),IF($N88&lt;=$M88,"Y","N")))</f>
        <v/>
      </c>
      <c r="R88" s="20" t="str">
        <f t="shared" si="8"/>
        <v/>
      </c>
      <c r="S88" s="22"/>
      <c r="T88" s="22"/>
      <c r="U88" s="22"/>
      <c r="V88" s="23"/>
      <c r="W88" s="20" t="str">
        <f>IF($A88="","",IF(IF(OR($C88="",$E88="",$F88="",$K88="",$T88="",$U88=""),"missing required field; ","")&amp;IF(COUNTIF($A$2:$A$101,$A88)&gt;1,"duplicate ID; ","")&amp;IF($H88="","subjects affected missing; ","")&amp;IF(AND($B88&lt;&gt;"",$C88&lt;&gt;"",INT($C88)&lt;$B88),"aware before occurred; ","")&amp;IF(AND($N88&lt;&gt;"",$C88&lt;&gt;"",$N88&lt;$C88),"notified before aware; ","")&amp;IF(AND($L88="Yes",$N88="",$U88="Closed"),"closed without DPC notification; ","")&amp;IF(AND($N88&lt;&gt;"",$L88&lt;&gt;"Yes"),"notified although assessed not notifiable - confirm; ","")&amp;IF(AND($U88="Closed",$V88=""),"closed without closed date; ","")&amp;IF(AND($V88&lt;&gt;"",$C88&lt;&gt;"",$V88&lt;INT($C88)),"closed before aware; ","")&amp;IF(AND($C88&lt;&gt;"",$C88&gt;=ReportDate+1),"aware after snapshot date; ","")="","OK","Check: "&amp;IF(OR($C88="",$E88="",$F88="",$K88="",$T88="",$U88=""),"missing required field; ","")&amp;IF(COUNTIF($A$2:$A$101,$A88)&gt;1,"duplicate ID; ","")&amp;IF($H88="","subjects affected missing; ","")&amp;IF(AND($B88&lt;&gt;"",$C88&lt;&gt;"",INT($C88)&lt;$B88),"aware before occurred; ","")&amp;IF(AND($N88&lt;&gt;"",$C88&lt;&gt;"",$N88&lt;$C88),"notified before aware; ","")&amp;IF(AND($L88="Yes",$N88="",$U88="Closed"),"closed without DPC notification; ","")&amp;IF(AND($N88&lt;&gt;"",$L88&lt;&gt;"Yes"),"notified although assessed not notifiable - confirm; ","")&amp;IF(AND($U88="Closed",$V88=""),"closed without closed date; ","")&amp;IF(AND($V88&lt;&gt;"",$C88&lt;&gt;"",$V88&lt;INT($C88)),"closed before aware; ","")&amp;IF(AND($C88&lt;&gt;"",$C88&gt;=ReportDate+1),"aware after snapshot date; ","")))</f>
        <v/>
      </c>
      <c r="X88" s="22"/>
    </row>
    <row r="89" spans="1:24" x14ac:dyDescent="0.35">
      <c r="A89" s="22"/>
      <c r="B89" s="23"/>
      <c r="C89" s="25"/>
      <c r="D89" s="22"/>
      <c r="E89" s="22"/>
      <c r="F89" s="22"/>
      <c r="G89" s="22"/>
      <c r="H89" s="22"/>
      <c r="I89" s="20" t="str">
        <f>IF(OR($A89="",$H89=""),"",VLOOKUP($H89,SubjectBands,2,TRUE))</f>
        <v/>
      </c>
      <c r="J89" s="22"/>
      <c r="K89" s="22"/>
      <c r="L89" s="20" t="str">
        <f t="shared" si="6"/>
        <v/>
      </c>
      <c r="M89" s="24" t="str">
        <f>IF($L89="Yes",$C89+NotifyHours/24,"")</f>
        <v/>
      </c>
      <c r="N89" s="25"/>
      <c r="O89" s="20" t="str">
        <f t="shared" si="7"/>
        <v/>
      </c>
      <c r="P89" s="20" t="str">
        <f>IF($O89="","",VLOOKUP($O89,TimeBands,2,TRUE))</f>
        <v/>
      </c>
      <c r="Q89" s="20" t="str">
        <f>IF($L89&lt;&gt;"Yes","",IF($N89="",IF(ReportDate&gt;$M89,"Overdue","Pending"),IF($N89&lt;=$M89,"Y","N")))</f>
        <v/>
      </c>
      <c r="R89" s="20" t="str">
        <f t="shared" si="8"/>
        <v/>
      </c>
      <c r="S89" s="22"/>
      <c r="T89" s="22"/>
      <c r="U89" s="22"/>
      <c r="V89" s="23"/>
      <c r="W89" s="20" t="str">
        <f>IF($A89="","",IF(IF(OR($C89="",$E89="",$F89="",$K89="",$T89="",$U89=""),"missing required field; ","")&amp;IF(COUNTIF($A$2:$A$101,$A89)&gt;1,"duplicate ID; ","")&amp;IF($H89="","subjects affected missing; ","")&amp;IF(AND($B89&lt;&gt;"",$C89&lt;&gt;"",INT($C89)&lt;$B89),"aware before occurred; ","")&amp;IF(AND($N89&lt;&gt;"",$C89&lt;&gt;"",$N89&lt;$C89),"notified before aware; ","")&amp;IF(AND($L89="Yes",$N89="",$U89="Closed"),"closed without DPC notification; ","")&amp;IF(AND($N89&lt;&gt;"",$L89&lt;&gt;"Yes"),"notified although assessed not notifiable - confirm; ","")&amp;IF(AND($U89="Closed",$V89=""),"closed without closed date; ","")&amp;IF(AND($V89&lt;&gt;"",$C89&lt;&gt;"",$V89&lt;INT($C89)),"closed before aware; ","")&amp;IF(AND($C89&lt;&gt;"",$C89&gt;=ReportDate+1),"aware after snapshot date; ","")="","OK","Check: "&amp;IF(OR($C89="",$E89="",$F89="",$K89="",$T89="",$U89=""),"missing required field; ","")&amp;IF(COUNTIF($A$2:$A$101,$A89)&gt;1,"duplicate ID; ","")&amp;IF($H89="","subjects affected missing; ","")&amp;IF(AND($B89&lt;&gt;"",$C89&lt;&gt;"",INT($C89)&lt;$B89),"aware before occurred; ","")&amp;IF(AND($N89&lt;&gt;"",$C89&lt;&gt;"",$N89&lt;$C89),"notified before aware; ","")&amp;IF(AND($L89="Yes",$N89="",$U89="Closed"),"closed without DPC notification; ","")&amp;IF(AND($N89&lt;&gt;"",$L89&lt;&gt;"Yes"),"notified although assessed not notifiable - confirm; ","")&amp;IF(AND($U89="Closed",$V89=""),"closed without closed date; ","")&amp;IF(AND($V89&lt;&gt;"",$C89&lt;&gt;"",$V89&lt;INT($C89)),"closed before aware; ","")&amp;IF(AND($C89&lt;&gt;"",$C89&gt;=ReportDate+1),"aware after snapshot date; ","")))</f>
        <v/>
      </c>
      <c r="X89" s="22"/>
    </row>
    <row r="90" spans="1:24" x14ac:dyDescent="0.35">
      <c r="A90" s="22"/>
      <c r="B90" s="23"/>
      <c r="C90" s="25"/>
      <c r="D90" s="22"/>
      <c r="E90" s="22"/>
      <c r="F90" s="22"/>
      <c r="G90" s="22"/>
      <c r="H90" s="22"/>
      <c r="I90" s="20" t="str">
        <f>IF(OR($A90="",$H90=""),"",VLOOKUP($H90,SubjectBands,2,TRUE))</f>
        <v/>
      </c>
      <c r="J90" s="22"/>
      <c r="K90" s="22"/>
      <c r="L90" s="20" t="str">
        <f t="shared" si="6"/>
        <v/>
      </c>
      <c r="M90" s="24" t="str">
        <f>IF($L90="Yes",$C90+NotifyHours/24,"")</f>
        <v/>
      </c>
      <c r="N90" s="25"/>
      <c r="O90" s="20" t="str">
        <f t="shared" si="7"/>
        <v/>
      </c>
      <c r="P90" s="20" t="str">
        <f>IF($O90="","",VLOOKUP($O90,TimeBands,2,TRUE))</f>
        <v/>
      </c>
      <c r="Q90" s="20" t="str">
        <f>IF($L90&lt;&gt;"Yes","",IF($N90="",IF(ReportDate&gt;$M90,"Overdue","Pending"),IF($N90&lt;=$M90,"Y","N")))</f>
        <v/>
      </c>
      <c r="R90" s="20" t="str">
        <f t="shared" si="8"/>
        <v/>
      </c>
      <c r="S90" s="22"/>
      <c r="T90" s="22"/>
      <c r="U90" s="22"/>
      <c r="V90" s="23"/>
      <c r="W90" s="20" t="str">
        <f>IF($A90="","",IF(IF(OR($C90="",$E90="",$F90="",$K90="",$T90="",$U90=""),"missing required field; ","")&amp;IF(COUNTIF($A$2:$A$101,$A90)&gt;1,"duplicate ID; ","")&amp;IF($H90="","subjects affected missing; ","")&amp;IF(AND($B90&lt;&gt;"",$C90&lt;&gt;"",INT($C90)&lt;$B90),"aware before occurred; ","")&amp;IF(AND($N90&lt;&gt;"",$C90&lt;&gt;"",$N90&lt;$C90),"notified before aware; ","")&amp;IF(AND($L90="Yes",$N90="",$U90="Closed"),"closed without DPC notification; ","")&amp;IF(AND($N90&lt;&gt;"",$L90&lt;&gt;"Yes"),"notified although assessed not notifiable - confirm; ","")&amp;IF(AND($U90="Closed",$V90=""),"closed without closed date; ","")&amp;IF(AND($V90&lt;&gt;"",$C90&lt;&gt;"",$V90&lt;INT($C90)),"closed before aware; ","")&amp;IF(AND($C90&lt;&gt;"",$C90&gt;=ReportDate+1),"aware after snapshot date; ","")="","OK","Check: "&amp;IF(OR($C90="",$E90="",$F90="",$K90="",$T90="",$U90=""),"missing required field; ","")&amp;IF(COUNTIF($A$2:$A$101,$A90)&gt;1,"duplicate ID; ","")&amp;IF($H90="","subjects affected missing; ","")&amp;IF(AND($B90&lt;&gt;"",$C90&lt;&gt;"",INT($C90)&lt;$B90),"aware before occurred; ","")&amp;IF(AND($N90&lt;&gt;"",$C90&lt;&gt;"",$N90&lt;$C90),"notified before aware; ","")&amp;IF(AND($L90="Yes",$N90="",$U90="Closed"),"closed without DPC notification; ","")&amp;IF(AND($N90&lt;&gt;"",$L90&lt;&gt;"Yes"),"notified although assessed not notifiable - confirm; ","")&amp;IF(AND($U90="Closed",$V90=""),"closed without closed date; ","")&amp;IF(AND($V90&lt;&gt;"",$C90&lt;&gt;"",$V90&lt;INT($C90)),"closed before aware; ","")&amp;IF(AND($C90&lt;&gt;"",$C90&gt;=ReportDate+1),"aware after snapshot date; ","")))</f>
        <v/>
      </c>
      <c r="X90" s="22"/>
    </row>
    <row r="91" spans="1:24" x14ac:dyDescent="0.35">
      <c r="A91" s="22"/>
      <c r="B91" s="23"/>
      <c r="C91" s="25"/>
      <c r="D91" s="22"/>
      <c r="E91" s="22"/>
      <c r="F91" s="22"/>
      <c r="G91" s="22"/>
      <c r="H91" s="22"/>
      <c r="I91" s="20" t="str">
        <f>IF(OR($A91="",$H91=""),"",VLOOKUP($H91,SubjectBands,2,TRUE))</f>
        <v/>
      </c>
      <c r="J91" s="22"/>
      <c r="K91" s="22"/>
      <c r="L91" s="20" t="str">
        <f t="shared" si="6"/>
        <v/>
      </c>
      <c r="M91" s="24" t="str">
        <f>IF($L91="Yes",$C91+NotifyHours/24,"")</f>
        <v/>
      </c>
      <c r="N91" s="25"/>
      <c r="O91" s="20" t="str">
        <f t="shared" si="7"/>
        <v/>
      </c>
      <c r="P91" s="20" t="str">
        <f>IF($O91="","",VLOOKUP($O91,TimeBands,2,TRUE))</f>
        <v/>
      </c>
      <c r="Q91" s="20" t="str">
        <f>IF($L91&lt;&gt;"Yes","",IF($N91="",IF(ReportDate&gt;$M91,"Overdue","Pending"),IF($N91&lt;=$M91,"Y","N")))</f>
        <v/>
      </c>
      <c r="R91" s="20" t="str">
        <f t="shared" si="8"/>
        <v/>
      </c>
      <c r="S91" s="22"/>
      <c r="T91" s="22"/>
      <c r="U91" s="22"/>
      <c r="V91" s="23"/>
      <c r="W91" s="20" t="str">
        <f>IF($A91="","",IF(IF(OR($C91="",$E91="",$F91="",$K91="",$T91="",$U91=""),"missing required field; ","")&amp;IF(COUNTIF($A$2:$A$101,$A91)&gt;1,"duplicate ID; ","")&amp;IF($H91="","subjects affected missing; ","")&amp;IF(AND($B91&lt;&gt;"",$C91&lt;&gt;"",INT($C91)&lt;$B91),"aware before occurred; ","")&amp;IF(AND($N91&lt;&gt;"",$C91&lt;&gt;"",$N91&lt;$C91),"notified before aware; ","")&amp;IF(AND($L91="Yes",$N91="",$U91="Closed"),"closed without DPC notification; ","")&amp;IF(AND($N91&lt;&gt;"",$L91&lt;&gt;"Yes"),"notified although assessed not notifiable - confirm; ","")&amp;IF(AND($U91="Closed",$V91=""),"closed without closed date; ","")&amp;IF(AND($V91&lt;&gt;"",$C91&lt;&gt;"",$V91&lt;INT($C91)),"closed before aware; ","")&amp;IF(AND($C91&lt;&gt;"",$C91&gt;=ReportDate+1),"aware after snapshot date; ","")="","OK","Check: "&amp;IF(OR($C91="",$E91="",$F91="",$K91="",$T91="",$U91=""),"missing required field; ","")&amp;IF(COUNTIF($A$2:$A$101,$A91)&gt;1,"duplicate ID; ","")&amp;IF($H91="","subjects affected missing; ","")&amp;IF(AND($B91&lt;&gt;"",$C91&lt;&gt;"",INT($C91)&lt;$B91),"aware before occurred; ","")&amp;IF(AND($N91&lt;&gt;"",$C91&lt;&gt;"",$N91&lt;$C91),"notified before aware; ","")&amp;IF(AND($L91="Yes",$N91="",$U91="Closed"),"closed without DPC notification; ","")&amp;IF(AND($N91&lt;&gt;"",$L91&lt;&gt;"Yes"),"notified although assessed not notifiable - confirm; ","")&amp;IF(AND($U91="Closed",$V91=""),"closed without closed date; ","")&amp;IF(AND($V91&lt;&gt;"",$C91&lt;&gt;"",$V91&lt;INT($C91)),"closed before aware; ","")&amp;IF(AND($C91&lt;&gt;"",$C91&gt;=ReportDate+1),"aware after snapshot date; ","")))</f>
        <v/>
      </c>
      <c r="X91" s="22"/>
    </row>
    <row r="92" spans="1:24" x14ac:dyDescent="0.35">
      <c r="A92" s="22"/>
      <c r="B92" s="23"/>
      <c r="C92" s="25"/>
      <c r="D92" s="22"/>
      <c r="E92" s="22"/>
      <c r="F92" s="22"/>
      <c r="G92" s="22"/>
      <c r="H92" s="22"/>
      <c r="I92" s="20" t="str">
        <f>IF(OR($A92="",$H92=""),"",VLOOKUP($H92,SubjectBands,2,TRUE))</f>
        <v/>
      </c>
      <c r="J92" s="22"/>
      <c r="K92" s="22"/>
      <c r="L92" s="20" t="str">
        <f t="shared" si="6"/>
        <v/>
      </c>
      <c r="M92" s="24" t="str">
        <f>IF($L92="Yes",$C92+NotifyHours/24,"")</f>
        <v/>
      </c>
      <c r="N92" s="25"/>
      <c r="O92" s="20" t="str">
        <f t="shared" si="7"/>
        <v/>
      </c>
      <c r="P92" s="20" t="str">
        <f>IF($O92="","",VLOOKUP($O92,TimeBands,2,TRUE))</f>
        <v/>
      </c>
      <c r="Q92" s="20" t="str">
        <f>IF($L92&lt;&gt;"Yes","",IF($N92="",IF(ReportDate&gt;$M92,"Overdue","Pending"),IF($N92&lt;=$M92,"Y","N")))</f>
        <v/>
      </c>
      <c r="R92" s="20" t="str">
        <f t="shared" si="8"/>
        <v/>
      </c>
      <c r="S92" s="22"/>
      <c r="T92" s="22"/>
      <c r="U92" s="22"/>
      <c r="V92" s="23"/>
      <c r="W92" s="20" t="str">
        <f>IF($A92="","",IF(IF(OR($C92="",$E92="",$F92="",$K92="",$T92="",$U92=""),"missing required field; ","")&amp;IF(COUNTIF($A$2:$A$101,$A92)&gt;1,"duplicate ID; ","")&amp;IF($H92="","subjects affected missing; ","")&amp;IF(AND($B92&lt;&gt;"",$C92&lt;&gt;"",INT($C92)&lt;$B92),"aware before occurred; ","")&amp;IF(AND($N92&lt;&gt;"",$C92&lt;&gt;"",$N92&lt;$C92),"notified before aware; ","")&amp;IF(AND($L92="Yes",$N92="",$U92="Closed"),"closed without DPC notification; ","")&amp;IF(AND($N92&lt;&gt;"",$L92&lt;&gt;"Yes"),"notified although assessed not notifiable - confirm; ","")&amp;IF(AND($U92="Closed",$V92=""),"closed without closed date; ","")&amp;IF(AND($V92&lt;&gt;"",$C92&lt;&gt;"",$V92&lt;INT($C92)),"closed before aware; ","")&amp;IF(AND($C92&lt;&gt;"",$C92&gt;=ReportDate+1),"aware after snapshot date; ","")="","OK","Check: "&amp;IF(OR($C92="",$E92="",$F92="",$K92="",$T92="",$U92=""),"missing required field; ","")&amp;IF(COUNTIF($A$2:$A$101,$A92)&gt;1,"duplicate ID; ","")&amp;IF($H92="","subjects affected missing; ","")&amp;IF(AND($B92&lt;&gt;"",$C92&lt;&gt;"",INT($C92)&lt;$B92),"aware before occurred; ","")&amp;IF(AND($N92&lt;&gt;"",$C92&lt;&gt;"",$N92&lt;$C92),"notified before aware; ","")&amp;IF(AND($L92="Yes",$N92="",$U92="Closed"),"closed without DPC notification; ","")&amp;IF(AND($N92&lt;&gt;"",$L92&lt;&gt;"Yes"),"notified although assessed not notifiable - confirm; ","")&amp;IF(AND($U92="Closed",$V92=""),"closed without closed date; ","")&amp;IF(AND($V92&lt;&gt;"",$C92&lt;&gt;"",$V92&lt;INT($C92)),"closed before aware; ","")&amp;IF(AND($C92&lt;&gt;"",$C92&gt;=ReportDate+1),"aware after snapshot date; ","")))</f>
        <v/>
      </c>
      <c r="X92" s="22"/>
    </row>
    <row r="93" spans="1:24" x14ac:dyDescent="0.35">
      <c r="A93" s="22"/>
      <c r="B93" s="23"/>
      <c r="C93" s="25"/>
      <c r="D93" s="22"/>
      <c r="E93" s="22"/>
      <c r="F93" s="22"/>
      <c r="G93" s="22"/>
      <c r="H93" s="22"/>
      <c r="I93" s="20" t="str">
        <f>IF(OR($A93="",$H93=""),"",VLOOKUP($H93,SubjectBands,2,TRUE))</f>
        <v/>
      </c>
      <c r="J93" s="22"/>
      <c r="K93" s="22"/>
      <c r="L93" s="20" t="str">
        <f t="shared" si="6"/>
        <v/>
      </c>
      <c r="M93" s="24" t="str">
        <f>IF($L93="Yes",$C93+NotifyHours/24,"")</f>
        <v/>
      </c>
      <c r="N93" s="25"/>
      <c r="O93" s="20" t="str">
        <f t="shared" si="7"/>
        <v/>
      </c>
      <c r="P93" s="20" t="str">
        <f>IF($O93="","",VLOOKUP($O93,TimeBands,2,TRUE))</f>
        <v/>
      </c>
      <c r="Q93" s="20" t="str">
        <f>IF($L93&lt;&gt;"Yes","",IF($N93="",IF(ReportDate&gt;$M93,"Overdue","Pending"),IF($N93&lt;=$M93,"Y","N")))</f>
        <v/>
      </c>
      <c r="R93" s="20" t="str">
        <f t="shared" si="8"/>
        <v/>
      </c>
      <c r="S93" s="22"/>
      <c r="T93" s="22"/>
      <c r="U93" s="22"/>
      <c r="V93" s="23"/>
      <c r="W93" s="20" t="str">
        <f>IF($A93="","",IF(IF(OR($C93="",$E93="",$F93="",$K93="",$T93="",$U93=""),"missing required field; ","")&amp;IF(COUNTIF($A$2:$A$101,$A93)&gt;1,"duplicate ID; ","")&amp;IF($H93="","subjects affected missing; ","")&amp;IF(AND($B93&lt;&gt;"",$C93&lt;&gt;"",INT($C93)&lt;$B93),"aware before occurred; ","")&amp;IF(AND($N93&lt;&gt;"",$C93&lt;&gt;"",$N93&lt;$C93),"notified before aware; ","")&amp;IF(AND($L93="Yes",$N93="",$U93="Closed"),"closed without DPC notification; ","")&amp;IF(AND($N93&lt;&gt;"",$L93&lt;&gt;"Yes"),"notified although assessed not notifiable - confirm; ","")&amp;IF(AND($U93="Closed",$V93=""),"closed without closed date; ","")&amp;IF(AND($V93&lt;&gt;"",$C93&lt;&gt;"",$V93&lt;INT($C93)),"closed before aware; ","")&amp;IF(AND($C93&lt;&gt;"",$C93&gt;=ReportDate+1),"aware after snapshot date; ","")="","OK","Check: "&amp;IF(OR($C93="",$E93="",$F93="",$K93="",$T93="",$U93=""),"missing required field; ","")&amp;IF(COUNTIF($A$2:$A$101,$A93)&gt;1,"duplicate ID; ","")&amp;IF($H93="","subjects affected missing; ","")&amp;IF(AND($B93&lt;&gt;"",$C93&lt;&gt;"",INT($C93)&lt;$B93),"aware before occurred; ","")&amp;IF(AND($N93&lt;&gt;"",$C93&lt;&gt;"",$N93&lt;$C93),"notified before aware; ","")&amp;IF(AND($L93="Yes",$N93="",$U93="Closed"),"closed without DPC notification; ","")&amp;IF(AND($N93&lt;&gt;"",$L93&lt;&gt;"Yes"),"notified although assessed not notifiable - confirm; ","")&amp;IF(AND($U93="Closed",$V93=""),"closed without closed date; ","")&amp;IF(AND($V93&lt;&gt;"",$C93&lt;&gt;"",$V93&lt;INT($C93)),"closed before aware; ","")&amp;IF(AND($C93&lt;&gt;"",$C93&gt;=ReportDate+1),"aware after snapshot date; ","")))</f>
        <v/>
      </c>
      <c r="X93" s="22"/>
    </row>
    <row r="94" spans="1:24" x14ac:dyDescent="0.35">
      <c r="A94" s="22"/>
      <c r="B94" s="23"/>
      <c r="C94" s="25"/>
      <c r="D94" s="22"/>
      <c r="E94" s="22"/>
      <c r="F94" s="22"/>
      <c r="G94" s="22"/>
      <c r="H94" s="22"/>
      <c r="I94" s="20" t="str">
        <f>IF(OR($A94="",$H94=""),"",VLOOKUP($H94,SubjectBands,2,TRUE))</f>
        <v/>
      </c>
      <c r="J94" s="22"/>
      <c r="K94" s="22"/>
      <c r="L94" s="20" t="str">
        <f t="shared" si="6"/>
        <v/>
      </c>
      <c r="M94" s="24" t="str">
        <f>IF($L94="Yes",$C94+NotifyHours/24,"")</f>
        <v/>
      </c>
      <c r="N94" s="25"/>
      <c r="O94" s="20" t="str">
        <f t="shared" si="7"/>
        <v/>
      </c>
      <c r="P94" s="20" t="str">
        <f>IF($O94="","",VLOOKUP($O94,TimeBands,2,TRUE))</f>
        <v/>
      </c>
      <c r="Q94" s="20" t="str">
        <f>IF($L94&lt;&gt;"Yes","",IF($N94="",IF(ReportDate&gt;$M94,"Overdue","Pending"),IF($N94&lt;=$M94,"Y","N")))</f>
        <v/>
      </c>
      <c r="R94" s="20" t="str">
        <f t="shared" si="8"/>
        <v/>
      </c>
      <c r="S94" s="22"/>
      <c r="T94" s="22"/>
      <c r="U94" s="22"/>
      <c r="V94" s="23"/>
      <c r="W94" s="20" t="str">
        <f>IF($A94="","",IF(IF(OR($C94="",$E94="",$F94="",$K94="",$T94="",$U94=""),"missing required field; ","")&amp;IF(COUNTIF($A$2:$A$101,$A94)&gt;1,"duplicate ID; ","")&amp;IF($H94="","subjects affected missing; ","")&amp;IF(AND($B94&lt;&gt;"",$C94&lt;&gt;"",INT($C94)&lt;$B94),"aware before occurred; ","")&amp;IF(AND($N94&lt;&gt;"",$C94&lt;&gt;"",$N94&lt;$C94),"notified before aware; ","")&amp;IF(AND($L94="Yes",$N94="",$U94="Closed"),"closed without DPC notification; ","")&amp;IF(AND($N94&lt;&gt;"",$L94&lt;&gt;"Yes"),"notified although assessed not notifiable - confirm; ","")&amp;IF(AND($U94="Closed",$V94=""),"closed without closed date; ","")&amp;IF(AND($V94&lt;&gt;"",$C94&lt;&gt;"",$V94&lt;INT($C94)),"closed before aware; ","")&amp;IF(AND($C94&lt;&gt;"",$C94&gt;=ReportDate+1),"aware after snapshot date; ","")="","OK","Check: "&amp;IF(OR($C94="",$E94="",$F94="",$K94="",$T94="",$U94=""),"missing required field; ","")&amp;IF(COUNTIF($A$2:$A$101,$A94)&gt;1,"duplicate ID; ","")&amp;IF($H94="","subjects affected missing; ","")&amp;IF(AND($B94&lt;&gt;"",$C94&lt;&gt;"",INT($C94)&lt;$B94),"aware before occurred; ","")&amp;IF(AND($N94&lt;&gt;"",$C94&lt;&gt;"",$N94&lt;$C94),"notified before aware; ","")&amp;IF(AND($L94="Yes",$N94="",$U94="Closed"),"closed without DPC notification; ","")&amp;IF(AND($N94&lt;&gt;"",$L94&lt;&gt;"Yes"),"notified although assessed not notifiable - confirm; ","")&amp;IF(AND($U94="Closed",$V94=""),"closed without closed date; ","")&amp;IF(AND($V94&lt;&gt;"",$C94&lt;&gt;"",$V94&lt;INT($C94)),"closed before aware; ","")&amp;IF(AND($C94&lt;&gt;"",$C94&gt;=ReportDate+1),"aware after snapshot date; ","")))</f>
        <v/>
      </c>
      <c r="X94" s="22"/>
    </row>
    <row r="95" spans="1:24" x14ac:dyDescent="0.35">
      <c r="A95" s="22"/>
      <c r="B95" s="23"/>
      <c r="C95" s="25"/>
      <c r="D95" s="22"/>
      <c r="E95" s="22"/>
      <c r="F95" s="22"/>
      <c r="G95" s="22"/>
      <c r="H95" s="22"/>
      <c r="I95" s="20" t="str">
        <f>IF(OR($A95="",$H95=""),"",VLOOKUP($H95,SubjectBands,2,TRUE))</f>
        <v/>
      </c>
      <c r="J95" s="22"/>
      <c r="K95" s="22"/>
      <c r="L95" s="20" t="str">
        <f t="shared" si="6"/>
        <v/>
      </c>
      <c r="M95" s="24" t="str">
        <f>IF($L95="Yes",$C95+NotifyHours/24,"")</f>
        <v/>
      </c>
      <c r="N95" s="25"/>
      <c r="O95" s="20" t="str">
        <f t="shared" si="7"/>
        <v/>
      </c>
      <c r="P95" s="20" t="str">
        <f>IF($O95="","",VLOOKUP($O95,TimeBands,2,TRUE))</f>
        <v/>
      </c>
      <c r="Q95" s="20" t="str">
        <f>IF($L95&lt;&gt;"Yes","",IF($N95="",IF(ReportDate&gt;$M95,"Overdue","Pending"),IF($N95&lt;=$M95,"Y","N")))</f>
        <v/>
      </c>
      <c r="R95" s="20" t="str">
        <f t="shared" si="8"/>
        <v/>
      </c>
      <c r="S95" s="22"/>
      <c r="T95" s="22"/>
      <c r="U95" s="22"/>
      <c r="V95" s="23"/>
      <c r="W95" s="20" t="str">
        <f>IF($A95="","",IF(IF(OR($C95="",$E95="",$F95="",$K95="",$T95="",$U95=""),"missing required field; ","")&amp;IF(COUNTIF($A$2:$A$101,$A95)&gt;1,"duplicate ID; ","")&amp;IF($H95="","subjects affected missing; ","")&amp;IF(AND($B95&lt;&gt;"",$C95&lt;&gt;"",INT($C95)&lt;$B95),"aware before occurred; ","")&amp;IF(AND($N95&lt;&gt;"",$C95&lt;&gt;"",$N95&lt;$C95),"notified before aware; ","")&amp;IF(AND($L95="Yes",$N95="",$U95="Closed"),"closed without DPC notification; ","")&amp;IF(AND($N95&lt;&gt;"",$L95&lt;&gt;"Yes"),"notified although assessed not notifiable - confirm; ","")&amp;IF(AND($U95="Closed",$V95=""),"closed without closed date; ","")&amp;IF(AND($V95&lt;&gt;"",$C95&lt;&gt;"",$V95&lt;INT($C95)),"closed before aware; ","")&amp;IF(AND($C95&lt;&gt;"",$C95&gt;=ReportDate+1),"aware after snapshot date; ","")="","OK","Check: "&amp;IF(OR($C95="",$E95="",$F95="",$K95="",$T95="",$U95=""),"missing required field; ","")&amp;IF(COUNTIF($A$2:$A$101,$A95)&gt;1,"duplicate ID; ","")&amp;IF($H95="","subjects affected missing; ","")&amp;IF(AND($B95&lt;&gt;"",$C95&lt;&gt;"",INT($C95)&lt;$B95),"aware before occurred; ","")&amp;IF(AND($N95&lt;&gt;"",$C95&lt;&gt;"",$N95&lt;$C95),"notified before aware; ","")&amp;IF(AND($L95="Yes",$N95="",$U95="Closed"),"closed without DPC notification; ","")&amp;IF(AND($N95&lt;&gt;"",$L95&lt;&gt;"Yes"),"notified although assessed not notifiable - confirm; ","")&amp;IF(AND($U95="Closed",$V95=""),"closed without closed date; ","")&amp;IF(AND($V95&lt;&gt;"",$C95&lt;&gt;"",$V95&lt;INT($C95)),"closed before aware; ","")&amp;IF(AND($C95&lt;&gt;"",$C95&gt;=ReportDate+1),"aware after snapshot date; ","")))</f>
        <v/>
      </c>
      <c r="X95" s="22"/>
    </row>
    <row r="96" spans="1:24" x14ac:dyDescent="0.35">
      <c r="A96" s="22"/>
      <c r="B96" s="23"/>
      <c r="C96" s="25"/>
      <c r="D96" s="22"/>
      <c r="E96" s="22"/>
      <c r="F96" s="22"/>
      <c r="G96" s="22"/>
      <c r="H96" s="22"/>
      <c r="I96" s="20" t="str">
        <f>IF(OR($A96="",$H96=""),"",VLOOKUP($H96,SubjectBands,2,TRUE))</f>
        <v/>
      </c>
      <c r="J96" s="22"/>
      <c r="K96" s="22"/>
      <c r="L96" s="20" t="str">
        <f t="shared" si="6"/>
        <v/>
      </c>
      <c r="M96" s="24" t="str">
        <f>IF($L96="Yes",$C96+NotifyHours/24,"")</f>
        <v/>
      </c>
      <c r="N96" s="25"/>
      <c r="O96" s="20" t="str">
        <f t="shared" si="7"/>
        <v/>
      </c>
      <c r="P96" s="20" t="str">
        <f>IF($O96="","",VLOOKUP($O96,TimeBands,2,TRUE))</f>
        <v/>
      </c>
      <c r="Q96" s="20" t="str">
        <f>IF($L96&lt;&gt;"Yes","",IF($N96="",IF(ReportDate&gt;$M96,"Overdue","Pending"),IF($N96&lt;=$M96,"Y","N")))</f>
        <v/>
      </c>
      <c r="R96" s="20" t="str">
        <f t="shared" si="8"/>
        <v/>
      </c>
      <c r="S96" s="22"/>
      <c r="T96" s="22"/>
      <c r="U96" s="22"/>
      <c r="V96" s="23"/>
      <c r="W96" s="20" t="str">
        <f>IF($A96="","",IF(IF(OR($C96="",$E96="",$F96="",$K96="",$T96="",$U96=""),"missing required field; ","")&amp;IF(COUNTIF($A$2:$A$101,$A96)&gt;1,"duplicate ID; ","")&amp;IF($H96="","subjects affected missing; ","")&amp;IF(AND($B96&lt;&gt;"",$C96&lt;&gt;"",INT($C96)&lt;$B96),"aware before occurred; ","")&amp;IF(AND($N96&lt;&gt;"",$C96&lt;&gt;"",$N96&lt;$C96),"notified before aware; ","")&amp;IF(AND($L96="Yes",$N96="",$U96="Closed"),"closed without DPC notification; ","")&amp;IF(AND($N96&lt;&gt;"",$L96&lt;&gt;"Yes"),"notified although assessed not notifiable - confirm; ","")&amp;IF(AND($U96="Closed",$V96=""),"closed without closed date; ","")&amp;IF(AND($V96&lt;&gt;"",$C96&lt;&gt;"",$V96&lt;INT($C96)),"closed before aware; ","")&amp;IF(AND($C96&lt;&gt;"",$C96&gt;=ReportDate+1),"aware after snapshot date; ","")="","OK","Check: "&amp;IF(OR($C96="",$E96="",$F96="",$K96="",$T96="",$U96=""),"missing required field; ","")&amp;IF(COUNTIF($A$2:$A$101,$A96)&gt;1,"duplicate ID; ","")&amp;IF($H96="","subjects affected missing; ","")&amp;IF(AND($B96&lt;&gt;"",$C96&lt;&gt;"",INT($C96)&lt;$B96),"aware before occurred; ","")&amp;IF(AND($N96&lt;&gt;"",$C96&lt;&gt;"",$N96&lt;$C96),"notified before aware; ","")&amp;IF(AND($L96="Yes",$N96="",$U96="Closed"),"closed without DPC notification; ","")&amp;IF(AND($N96&lt;&gt;"",$L96&lt;&gt;"Yes"),"notified although assessed not notifiable - confirm; ","")&amp;IF(AND($U96="Closed",$V96=""),"closed without closed date; ","")&amp;IF(AND($V96&lt;&gt;"",$C96&lt;&gt;"",$V96&lt;INT($C96)),"closed before aware; ","")&amp;IF(AND($C96&lt;&gt;"",$C96&gt;=ReportDate+1),"aware after snapshot date; ","")))</f>
        <v/>
      </c>
      <c r="X96" s="22"/>
    </row>
    <row r="97" spans="1:24" x14ac:dyDescent="0.35">
      <c r="A97" s="22"/>
      <c r="B97" s="23"/>
      <c r="C97" s="25"/>
      <c r="D97" s="22"/>
      <c r="E97" s="22"/>
      <c r="F97" s="22"/>
      <c r="G97" s="22"/>
      <c r="H97" s="22"/>
      <c r="I97" s="20" t="str">
        <f>IF(OR($A97="",$H97=""),"",VLOOKUP($H97,SubjectBands,2,TRUE))</f>
        <v/>
      </c>
      <c r="J97" s="22"/>
      <c r="K97" s="22"/>
      <c r="L97" s="20" t="str">
        <f t="shared" si="6"/>
        <v/>
      </c>
      <c r="M97" s="24" t="str">
        <f>IF($L97="Yes",$C97+NotifyHours/24,"")</f>
        <v/>
      </c>
      <c r="N97" s="25"/>
      <c r="O97" s="20" t="str">
        <f t="shared" si="7"/>
        <v/>
      </c>
      <c r="P97" s="20" t="str">
        <f>IF($O97="","",VLOOKUP($O97,TimeBands,2,TRUE))</f>
        <v/>
      </c>
      <c r="Q97" s="20" t="str">
        <f>IF($L97&lt;&gt;"Yes","",IF($N97="",IF(ReportDate&gt;$M97,"Overdue","Pending"),IF($N97&lt;=$M97,"Y","N")))</f>
        <v/>
      </c>
      <c r="R97" s="20" t="str">
        <f t="shared" si="8"/>
        <v/>
      </c>
      <c r="S97" s="22"/>
      <c r="T97" s="22"/>
      <c r="U97" s="22"/>
      <c r="V97" s="23"/>
      <c r="W97" s="20" t="str">
        <f>IF($A97="","",IF(IF(OR($C97="",$E97="",$F97="",$K97="",$T97="",$U97=""),"missing required field; ","")&amp;IF(COUNTIF($A$2:$A$101,$A97)&gt;1,"duplicate ID; ","")&amp;IF($H97="","subjects affected missing; ","")&amp;IF(AND($B97&lt;&gt;"",$C97&lt;&gt;"",INT($C97)&lt;$B97),"aware before occurred; ","")&amp;IF(AND($N97&lt;&gt;"",$C97&lt;&gt;"",$N97&lt;$C97),"notified before aware; ","")&amp;IF(AND($L97="Yes",$N97="",$U97="Closed"),"closed without DPC notification; ","")&amp;IF(AND($N97&lt;&gt;"",$L97&lt;&gt;"Yes"),"notified although assessed not notifiable - confirm; ","")&amp;IF(AND($U97="Closed",$V97=""),"closed without closed date; ","")&amp;IF(AND($V97&lt;&gt;"",$C97&lt;&gt;"",$V97&lt;INT($C97)),"closed before aware; ","")&amp;IF(AND($C97&lt;&gt;"",$C97&gt;=ReportDate+1),"aware after snapshot date; ","")="","OK","Check: "&amp;IF(OR($C97="",$E97="",$F97="",$K97="",$T97="",$U97=""),"missing required field; ","")&amp;IF(COUNTIF($A$2:$A$101,$A97)&gt;1,"duplicate ID; ","")&amp;IF($H97="","subjects affected missing; ","")&amp;IF(AND($B97&lt;&gt;"",$C97&lt;&gt;"",INT($C97)&lt;$B97),"aware before occurred; ","")&amp;IF(AND($N97&lt;&gt;"",$C97&lt;&gt;"",$N97&lt;$C97),"notified before aware; ","")&amp;IF(AND($L97="Yes",$N97="",$U97="Closed"),"closed without DPC notification; ","")&amp;IF(AND($N97&lt;&gt;"",$L97&lt;&gt;"Yes"),"notified although assessed not notifiable - confirm; ","")&amp;IF(AND($U97="Closed",$V97=""),"closed without closed date; ","")&amp;IF(AND($V97&lt;&gt;"",$C97&lt;&gt;"",$V97&lt;INT($C97)),"closed before aware; ","")&amp;IF(AND($C97&lt;&gt;"",$C97&gt;=ReportDate+1),"aware after snapshot date; ","")))</f>
        <v/>
      </c>
      <c r="X97" s="22"/>
    </row>
    <row r="98" spans="1:24" x14ac:dyDescent="0.35">
      <c r="A98" s="22"/>
      <c r="B98" s="23"/>
      <c r="C98" s="25"/>
      <c r="D98" s="22"/>
      <c r="E98" s="22"/>
      <c r="F98" s="22"/>
      <c r="G98" s="22"/>
      <c r="H98" s="22"/>
      <c r="I98" s="20" t="str">
        <f>IF(OR($A98="",$H98=""),"",VLOOKUP($H98,SubjectBands,2,TRUE))</f>
        <v/>
      </c>
      <c r="J98" s="22"/>
      <c r="K98" s="22"/>
      <c r="L98" s="20" t="str">
        <f t="shared" si="6"/>
        <v/>
      </c>
      <c r="M98" s="24" t="str">
        <f>IF($L98="Yes",$C98+NotifyHours/24,"")</f>
        <v/>
      </c>
      <c r="N98" s="25"/>
      <c r="O98" s="20" t="str">
        <f t="shared" si="7"/>
        <v/>
      </c>
      <c r="P98" s="20" t="str">
        <f>IF($O98="","",VLOOKUP($O98,TimeBands,2,TRUE))</f>
        <v/>
      </c>
      <c r="Q98" s="20" t="str">
        <f>IF($L98&lt;&gt;"Yes","",IF($N98="",IF(ReportDate&gt;$M98,"Overdue","Pending"),IF($N98&lt;=$M98,"Y","N")))</f>
        <v/>
      </c>
      <c r="R98" s="20" t="str">
        <f t="shared" si="8"/>
        <v/>
      </c>
      <c r="S98" s="22"/>
      <c r="T98" s="22"/>
      <c r="U98" s="22"/>
      <c r="V98" s="23"/>
      <c r="W98" s="20" t="str">
        <f>IF($A98="","",IF(IF(OR($C98="",$E98="",$F98="",$K98="",$T98="",$U98=""),"missing required field; ","")&amp;IF(COUNTIF($A$2:$A$101,$A98)&gt;1,"duplicate ID; ","")&amp;IF($H98="","subjects affected missing; ","")&amp;IF(AND($B98&lt;&gt;"",$C98&lt;&gt;"",INT($C98)&lt;$B98),"aware before occurred; ","")&amp;IF(AND($N98&lt;&gt;"",$C98&lt;&gt;"",$N98&lt;$C98),"notified before aware; ","")&amp;IF(AND($L98="Yes",$N98="",$U98="Closed"),"closed without DPC notification; ","")&amp;IF(AND($N98&lt;&gt;"",$L98&lt;&gt;"Yes"),"notified although assessed not notifiable - confirm; ","")&amp;IF(AND($U98="Closed",$V98=""),"closed without closed date; ","")&amp;IF(AND($V98&lt;&gt;"",$C98&lt;&gt;"",$V98&lt;INT($C98)),"closed before aware; ","")&amp;IF(AND($C98&lt;&gt;"",$C98&gt;=ReportDate+1),"aware after snapshot date; ","")="","OK","Check: "&amp;IF(OR($C98="",$E98="",$F98="",$K98="",$T98="",$U98=""),"missing required field; ","")&amp;IF(COUNTIF($A$2:$A$101,$A98)&gt;1,"duplicate ID; ","")&amp;IF($H98="","subjects affected missing; ","")&amp;IF(AND($B98&lt;&gt;"",$C98&lt;&gt;"",INT($C98)&lt;$B98),"aware before occurred; ","")&amp;IF(AND($N98&lt;&gt;"",$C98&lt;&gt;"",$N98&lt;$C98),"notified before aware; ","")&amp;IF(AND($L98="Yes",$N98="",$U98="Closed"),"closed without DPC notification; ","")&amp;IF(AND($N98&lt;&gt;"",$L98&lt;&gt;"Yes"),"notified although assessed not notifiable - confirm; ","")&amp;IF(AND($U98="Closed",$V98=""),"closed without closed date; ","")&amp;IF(AND($V98&lt;&gt;"",$C98&lt;&gt;"",$V98&lt;INT($C98)),"closed before aware; ","")&amp;IF(AND($C98&lt;&gt;"",$C98&gt;=ReportDate+1),"aware after snapshot date; ","")))</f>
        <v/>
      </c>
      <c r="X98" s="22"/>
    </row>
    <row r="99" spans="1:24" x14ac:dyDescent="0.35">
      <c r="A99" s="22"/>
      <c r="B99" s="23"/>
      <c r="C99" s="25"/>
      <c r="D99" s="22"/>
      <c r="E99" s="22"/>
      <c r="F99" s="22"/>
      <c r="G99" s="22"/>
      <c r="H99" s="22"/>
      <c r="I99" s="20" t="str">
        <f>IF(OR($A99="",$H99=""),"",VLOOKUP($H99,SubjectBands,2,TRUE))</f>
        <v/>
      </c>
      <c r="J99" s="22"/>
      <c r="K99" s="22"/>
      <c r="L99" s="20" t="str">
        <f t="shared" si="6"/>
        <v/>
      </c>
      <c r="M99" s="24" t="str">
        <f>IF($L99="Yes",$C99+NotifyHours/24,"")</f>
        <v/>
      </c>
      <c r="N99" s="25"/>
      <c r="O99" s="20" t="str">
        <f t="shared" si="7"/>
        <v/>
      </c>
      <c r="P99" s="20" t="str">
        <f>IF($O99="","",VLOOKUP($O99,TimeBands,2,TRUE))</f>
        <v/>
      </c>
      <c r="Q99" s="20" t="str">
        <f>IF($L99&lt;&gt;"Yes","",IF($N99="",IF(ReportDate&gt;$M99,"Overdue","Pending"),IF($N99&lt;=$M99,"Y","N")))</f>
        <v/>
      </c>
      <c r="R99" s="20" t="str">
        <f t="shared" si="8"/>
        <v/>
      </c>
      <c r="S99" s="22"/>
      <c r="T99" s="22"/>
      <c r="U99" s="22"/>
      <c r="V99" s="23"/>
      <c r="W99" s="20" t="str">
        <f>IF($A99="","",IF(IF(OR($C99="",$E99="",$F99="",$K99="",$T99="",$U99=""),"missing required field; ","")&amp;IF(COUNTIF($A$2:$A$101,$A99)&gt;1,"duplicate ID; ","")&amp;IF($H99="","subjects affected missing; ","")&amp;IF(AND($B99&lt;&gt;"",$C99&lt;&gt;"",INT($C99)&lt;$B99),"aware before occurred; ","")&amp;IF(AND($N99&lt;&gt;"",$C99&lt;&gt;"",$N99&lt;$C99),"notified before aware; ","")&amp;IF(AND($L99="Yes",$N99="",$U99="Closed"),"closed without DPC notification; ","")&amp;IF(AND($N99&lt;&gt;"",$L99&lt;&gt;"Yes"),"notified although assessed not notifiable - confirm; ","")&amp;IF(AND($U99="Closed",$V99=""),"closed without closed date; ","")&amp;IF(AND($V99&lt;&gt;"",$C99&lt;&gt;"",$V99&lt;INT($C99)),"closed before aware; ","")&amp;IF(AND($C99&lt;&gt;"",$C99&gt;=ReportDate+1),"aware after snapshot date; ","")="","OK","Check: "&amp;IF(OR($C99="",$E99="",$F99="",$K99="",$T99="",$U99=""),"missing required field; ","")&amp;IF(COUNTIF($A$2:$A$101,$A99)&gt;1,"duplicate ID; ","")&amp;IF($H99="","subjects affected missing; ","")&amp;IF(AND($B99&lt;&gt;"",$C99&lt;&gt;"",INT($C99)&lt;$B99),"aware before occurred; ","")&amp;IF(AND($N99&lt;&gt;"",$C99&lt;&gt;"",$N99&lt;$C99),"notified before aware; ","")&amp;IF(AND($L99="Yes",$N99="",$U99="Closed"),"closed without DPC notification; ","")&amp;IF(AND($N99&lt;&gt;"",$L99&lt;&gt;"Yes"),"notified although assessed not notifiable - confirm; ","")&amp;IF(AND($U99="Closed",$V99=""),"closed without closed date; ","")&amp;IF(AND($V99&lt;&gt;"",$C99&lt;&gt;"",$V99&lt;INT($C99)),"closed before aware; ","")&amp;IF(AND($C99&lt;&gt;"",$C99&gt;=ReportDate+1),"aware after snapshot date; ","")))</f>
        <v/>
      </c>
      <c r="X99" s="22"/>
    </row>
    <row r="100" spans="1:24" x14ac:dyDescent="0.35">
      <c r="A100" s="22"/>
      <c r="B100" s="23"/>
      <c r="C100" s="25"/>
      <c r="D100" s="22"/>
      <c r="E100" s="22"/>
      <c r="F100" s="22"/>
      <c r="G100" s="22"/>
      <c r="H100" s="22"/>
      <c r="I100" s="20" t="str">
        <f>IF(OR($A100="",$H100=""),"",VLOOKUP($H100,SubjectBands,2,TRUE))</f>
        <v/>
      </c>
      <c r="J100" s="22"/>
      <c r="K100" s="22"/>
      <c r="L100" s="20" t="str">
        <f t="shared" si="6"/>
        <v/>
      </c>
      <c r="M100" s="24" t="str">
        <f>IF($L100="Yes",$C100+NotifyHours/24,"")</f>
        <v/>
      </c>
      <c r="N100" s="25"/>
      <c r="O100" s="20" t="str">
        <f t="shared" si="7"/>
        <v/>
      </c>
      <c r="P100" s="20" t="str">
        <f>IF($O100="","",VLOOKUP($O100,TimeBands,2,TRUE))</f>
        <v/>
      </c>
      <c r="Q100" s="20" t="str">
        <f>IF($L100&lt;&gt;"Yes","",IF($N100="",IF(ReportDate&gt;$M100,"Overdue","Pending"),IF($N100&lt;=$M100,"Y","N")))</f>
        <v/>
      </c>
      <c r="R100" s="20" t="str">
        <f t="shared" si="8"/>
        <v/>
      </c>
      <c r="S100" s="22"/>
      <c r="T100" s="22"/>
      <c r="U100" s="22"/>
      <c r="V100" s="23"/>
      <c r="W100" s="20" t="str">
        <f>IF($A100="","",IF(IF(OR($C100="",$E100="",$F100="",$K100="",$T100="",$U100=""),"missing required field; ","")&amp;IF(COUNTIF($A$2:$A$101,$A100)&gt;1,"duplicate ID; ","")&amp;IF($H100="","subjects affected missing; ","")&amp;IF(AND($B100&lt;&gt;"",$C100&lt;&gt;"",INT($C100)&lt;$B100),"aware before occurred; ","")&amp;IF(AND($N100&lt;&gt;"",$C100&lt;&gt;"",$N100&lt;$C100),"notified before aware; ","")&amp;IF(AND($L100="Yes",$N100="",$U100="Closed"),"closed without DPC notification; ","")&amp;IF(AND($N100&lt;&gt;"",$L100&lt;&gt;"Yes"),"notified although assessed not notifiable - confirm; ","")&amp;IF(AND($U100="Closed",$V100=""),"closed without closed date; ","")&amp;IF(AND($V100&lt;&gt;"",$C100&lt;&gt;"",$V100&lt;INT($C100)),"closed before aware; ","")&amp;IF(AND($C100&lt;&gt;"",$C100&gt;=ReportDate+1),"aware after snapshot date; ","")="","OK","Check: "&amp;IF(OR($C100="",$E100="",$F100="",$K100="",$T100="",$U100=""),"missing required field; ","")&amp;IF(COUNTIF($A$2:$A$101,$A100)&gt;1,"duplicate ID; ","")&amp;IF($H100="","subjects affected missing; ","")&amp;IF(AND($B100&lt;&gt;"",$C100&lt;&gt;"",INT($C100)&lt;$B100),"aware before occurred; ","")&amp;IF(AND($N100&lt;&gt;"",$C100&lt;&gt;"",$N100&lt;$C100),"notified before aware; ","")&amp;IF(AND($L100="Yes",$N100="",$U100="Closed"),"closed without DPC notification; ","")&amp;IF(AND($N100&lt;&gt;"",$L100&lt;&gt;"Yes"),"notified although assessed not notifiable - confirm; ","")&amp;IF(AND($U100="Closed",$V100=""),"closed without closed date; ","")&amp;IF(AND($V100&lt;&gt;"",$C100&lt;&gt;"",$V100&lt;INT($C100)),"closed before aware; ","")&amp;IF(AND($C100&lt;&gt;"",$C100&gt;=ReportDate+1),"aware after snapshot date; ","")))</f>
        <v/>
      </c>
      <c r="X100" s="22"/>
    </row>
    <row r="101" spans="1:24" x14ac:dyDescent="0.35">
      <c r="A101" s="22"/>
      <c r="B101" s="23"/>
      <c r="C101" s="25"/>
      <c r="D101" s="22"/>
      <c r="E101" s="22"/>
      <c r="F101" s="22"/>
      <c r="G101" s="22"/>
      <c r="H101" s="22"/>
      <c r="I101" s="20" t="str">
        <f>IF(OR($A101="",$H101=""),"",VLOOKUP($H101,SubjectBands,2,TRUE))</f>
        <v/>
      </c>
      <c r="J101" s="22"/>
      <c r="K101" s="22"/>
      <c r="L101" s="20" t="str">
        <f t="shared" si="6"/>
        <v/>
      </c>
      <c r="M101" s="24" t="str">
        <f>IF($L101="Yes",$C101+NotifyHours/24,"")</f>
        <v/>
      </c>
      <c r="N101" s="25"/>
      <c r="O101" s="20" t="str">
        <f t="shared" si="7"/>
        <v/>
      </c>
      <c r="P101" s="20" t="str">
        <f>IF($O101="","",VLOOKUP($O101,TimeBands,2,TRUE))</f>
        <v/>
      </c>
      <c r="Q101" s="20" t="str">
        <f>IF($L101&lt;&gt;"Yes","",IF($N101="",IF(ReportDate&gt;$M101,"Overdue","Pending"),IF($N101&lt;=$M101,"Y","N")))</f>
        <v/>
      </c>
      <c r="R101" s="20" t="str">
        <f t="shared" si="8"/>
        <v/>
      </c>
      <c r="S101" s="22"/>
      <c r="T101" s="22"/>
      <c r="U101" s="22"/>
      <c r="V101" s="23"/>
      <c r="W101" s="20" t="str">
        <f>IF($A101="","",IF(IF(OR($C101="",$E101="",$F101="",$K101="",$T101="",$U101=""),"missing required field; ","")&amp;IF(COUNTIF($A$2:$A$101,$A101)&gt;1,"duplicate ID; ","")&amp;IF($H101="","subjects affected missing; ","")&amp;IF(AND($B101&lt;&gt;"",$C101&lt;&gt;"",INT($C101)&lt;$B101),"aware before occurred; ","")&amp;IF(AND($N101&lt;&gt;"",$C101&lt;&gt;"",$N101&lt;$C101),"notified before aware; ","")&amp;IF(AND($L101="Yes",$N101="",$U101="Closed"),"closed without DPC notification; ","")&amp;IF(AND($N101&lt;&gt;"",$L101&lt;&gt;"Yes"),"notified although assessed not notifiable - confirm; ","")&amp;IF(AND($U101="Closed",$V101=""),"closed without closed date; ","")&amp;IF(AND($V101&lt;&gt;"",$C101&lt;&gt;"",$V101&lt;INT($C101)),"closed before aware; ","")&amp;IF(AND($C101&lt;&gt;"",$C101&gt;=ReportDate+1),"aware after snapshot date; ","")="","OK","Check: "&amp;IF(OR($C101="",$E101="",$F101="",$K101="",$T101="",$U101=""),"missing required field; ","")&amp;IF(COUNTIF($A$2:$A$101,$A101)&gt;1,"duplicate ID; ","")&amp;IF($H101="","subjects affected missing; ","")&amp;IF(AND($B101&lt;&gt;"",$C101&lt;&gt;"",INT($C101)&lt;$B101),"aware before occurred; ","")&amp;IF(AND($N101&lt;&gt;"",$C101&lt;&gt;"",$N101&lt;$C101),"notified before aware; ","")&amp;IF(AND($L101="Yes",$N101="",$U101="Closed"),"closed without DPC notification; ","")&amp;IF(AND($N101&lt;&gt;"",$L101&lt;&gt;"Yes"),"notified although assessed not notifiable - confirm; ","")&amp;IF(AND($U101="Closed",$V101=""),"closed without closed date; ","")&amp;IF(AND($V101&lt;&gt;"",$C101&lt;&gt;"",$V101&lt;INT($C101)),"closed before aware; ","")&amp;IF(AND($C101&lt;&gt;"",$C101&gt;=ReportDate+1),"aware after snapshot date; ","")))</f>
        <v/>
      </c>
      <c r="X101" s="22"/>
    </row>
  </sheetData>
  <sheetProtection sheet="1" objects="1" scenarios="1" formatCells="0" formatColumns="0" formatRows="0" autoFilter="0"/>
  <autoFilter ref="A1:X1" xr:uid="{E20DBF63-43E6-4F69-99A4-BE0AB84853E3}"/>
  <phoneticPr fontId="1" type="noConversion"/>
  <conditionalFormatting sqref="W2:W101">
    <cfRule type="containsText" dxfId="26" priority="1" stopIfTrue="1" operator="containsText" text="Check">
      <formula>NOT(ISERROR(SEARCH("Check",W2)))</formula>
    </cfRule>
  </conditionalFormatting>
  <conditionalFormatting sqref="Q2:Q101">
    <cfRule type="cellIs" dxfId="25" priority="2" stopIfTrue="1" operator="equal">
      <formula>"N"</formula>
    </cfRule>
    <cfRule type="cellIs" dxfId="24" priority="3" stopIfTrue="1" operator="equal">
      <formula>"Overdue"</formula>
    </cfRule>
    <cfRule type="cellIs" dxfId="23" priority="4" stopIfTrue="1" operator="equal">
      <formula>"Pending"</formula>
    </cfRule>
  </conditionalFormatting>
  <conditionalFormatting sqref="R2:R101">
    <cfRule type="cellIs" dxfId="22" priority="5" stopIfTrue="1" operator="equal">
      <formula>"Yes (Art 34)"</formula>
    </cfRule>
  </conditionalFormatting>
  <conditionalFormatting sqref="K2:K101">
    <cfRule type="cellIs" dxfId="21" priority="6" stopIfTrue="1" operator="equal">
      <formula>"High"</formula>
    </cfRule>
    <cfRule type="cellIs" dxfId="20" priority="7" stopIfTrue="1" operator="equal">
      <formula>"Medium"</formula>
    </cfRule>
  </conditionalFormatting>
  <dataValidations count="13">
    <dataValidation type="date" allowBlank="1" showInputMessage="1" showErrorMessage="1" errorTitle="Date expected" error="Enter a date between 2020 and 2030, for example 2026-10-30." sqref="B2:B101" xr:uid="{9D92A5DD-E933-4E67-A043-51430F548182}">
      <formula1>43831</formula1>
      <formula2>47848</formula2>
    </dataValidation>
    <dataValidation type="date" allowBlank="1" showInputMessage="1" showErrorMessage="1" errorTitle="Date expected" error="Enter a date between 2020 and 2030, for example 2026-10-30." sqref="C2:C101" xr:uid="{EA5369FC-EEF5-416C-8968-147645D182C1}">
      <formula1>43831</formula1>
      <formula2>47848</formula2>
    </dataValidation>
    <dataValidation type="date" allowBlank="1" showInputMessage="1" showErrorMessage="1" errorTitle="Date expected" error="Enter a date between 2020 and 2030, for example 2026-10-30." sqref="N2:N101" xr:uid="{A47A9DBE-2556-4A5E-BF3E-7EB8F918D5CB}">
      <formula1>43831</formula1>
      <formula2>47848</formula2>
    </dataValidation>
    <dataValidation type="date" allowBlank="1" showInputMessage="1" showErrorMessage="1" errorTitle="Date expected" error="Enter a date between 2020 and 2030, for example 2026-10-30." sqref="V2:V101" xr:uid="{CC372A60-4CB4-4FFD-8335-12FDA5391EF7}">
      <formula1>43831</formula1>
      <formula2>47848</formula2>
    </dataValidation>
    <dataValidation type="whole" operator="greaterThanOrEqual" allowBlank="1" showInputMessage="1" showErrorMessage="1" error="Enter a whole number of people (0 or more)." sqref="H2:H101" xr:uid="{DB218C51-1893-48AA-8E3C-DDFD06D74776}">
      <formula1>0</formula1>
    </dataValidation>
    <dataValidation type="list" allowBlank="1" showInputMessage="1" showErrorMessage="1" sqref="E2:E101" xr:uid="{077933A7-BE3F-4463-BF4A-5BCF9D9EECF7}">
      <formula1>L_IncType</formula1>
    </dataValidation>
    <dataValidation type="list" allowBlank="1" showInputMessage="1" showErrorMessage="1" sqref="F2:F101" xr:uid="{6697D376-3CE4-4ABA-9C2A-7F6319D4B3F3}">
      <formula1>L_IncCat</formula1>
    </dataValidation>
    <dataValidation type="list" allowBlank="1" showInputMessage="1" showErrorMessage="1" sqref="G2:G101" xr:uid="{A2E8154C-20F9-47DB-A9B2-C40EFB80DAD2}">
      <formula1>L_SubjType</formula1>
    </dataValidation>
    <dataValidation type="list" allowBlank="1" showInputMessage="1" showErrorMessage="1" sqref="U2:U101" xr:uid="{1F5AC275-0219-47F5-A790-FA83377EE326}">
      <formula1>L_IncStatus</formula1>
    </dataValidation>
    <dataValidation type="list" allowBlank="1" showInputMessage="1" showErrorMessage="1" sqref="J2:J101" xr:uid="{4690563E-872B-49B0-A5A6-3AFB78DF9E53}">
      <formula1>L_YesNo</formula1>
    </dataValidation>
    <dataValidation type="list" allowBlank="1" showInputMessage="1" showErrorMessage="1" sqref="T2:T101" xr:uid="{E3096977-9643-4C66-9CFA-0E307A37C06E}">
      <formula1>L_Owner</formula1>
    </dataValidation>
    <dataValidation type="list" allowBlank="1" showInputMessage="1" showErrorMessage="1" sqref="K2:K101" xr:uid="{1930B692-1997-44A4-9C33-94564D6A14A5}">
      <formula1>L_Risk</formula1>
    </dataValidation>
    <dataValidation type="list" allowBlank="1" showInputMessage="1" showErrorMessage="1" sqref="D2:D101" xr:uid="{807E1CF7-883E-48B2-837E-2CB4F5423ECD}">
      <formula1>L_Area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15E39-AF3E-46C2-8F29-57A88742FEAA}">
  <sheetPr>
    <tabColor rgb="FF4472C4"/>
  </sheetPr>
  <dimension ref="A1:AC51"/>
  <sheetViews>
    <sheetView workbookViewId="0">
      <pane xSplit="2" ySplit="1" topLeftCell="C2" activePane="bottomRight" state="frozenSplit"/>
      <selection pane="bottomLeft" activeCell="A2" sqref="A2"/>
      <selection pane="topRight" activeCell="C1" sqref="C1"/>
      <selection pane="bottomRight"/>
    </sheetView>
  </sheetViews>
  <sheetFormatPr defaultRowHeight="13.5" x14ac:dyDescent="0.35"/>
  <cols>
    <col min="1" max="1" width="12.5" style="20" bestFit="1" customWidth="1"/>
    <col min="2" max="2" width="30.5625" style="26" customWidth="1"/>
    <col min="3" max="3" width="17" style="20" bestFit="1" customWidth="1"/>
    <col min="4" max="4" width="30.5625" style="26" customWidth="1"/>
    <col min="5" max="5" width="10" style="20" bestFit="1" customWidth="1"/>
    <col min="6" max="6" width="8.5" style="20" bestFit="1" customWidth="1"/>
    <col min="7" max="8" width="30.5625" style="26" customWidth="1"/>
    <col min="9" max="9" width="9" style="20"/>
    <col min="10" max="10" width="6.875" style="20" bestFit="1" customWidth="1"/>
    <col min="11" max="12" width="8.1875" style="20" bestFit="1" customWidth="1"/>
    <col min="13" max="13" width="30.5625" style="26" customWidth="1"/>
    <col min="14" max="14" width="15.0625" style="20" bestFit="1" customWidth="1"/>
    <col min="15" max="15" width="10" style="20" bestFit="1" customWidth="1"/>
    <col min="16" max="16" width="10.0625" style="20" bestFit="1" customWidth="1"/>
    <col min="17" max="17" width="8.9375" style="20" bestFit="1" customWidth="1"/>
    <col min="18" max="18" width="10.125" style="20" bestFit="1" customWidth="1"/>
    <col min="19" max="21" width="8.5625" style="20" bestFit="1" customWidth="1"/>
    <col min="22" max="22" width="18.5" style="20" bestFit="1" customWidth="1"/>
    <col min="23" max="23" width="15.8125" style="20" bestFit="1" customWidth="1"/>
    <col min="24" max="24" width="12.1875" style="20" bestFit="1" customWidth="1"/>
    <col min="25" max="25" width="10.3125" style="20" bestFit="1" customWidth="1"/>
    <col min="26" max="26" width="19.1875" style="20" bestFit="1" customWidth="1"/>
    <col min="27" max="28" width="10" style="20" bestFit="1" customWidth="1"/>
    <col min="29" max="29" width="40.5625" style="20" customWidth="1"/>
    <col min="30" max="16384" width="9" style="20"/>
  </cols>
  <sheetData>
    <row r="1" spans="1:29" ht="32" customHeight="1" x14ac:dyDescent="0.35">
      <c r="A1" s="18" t="s">
        <v>3353</v>
      </c>
      <c r="B1" s="18" t="s">
        <v>3354</v>
      </c>
      <c r="C1" s="18" t="s">
        <v>61</v>
      </c>
      <c r="D1" s="18" t="s">
        <v>3355</v>
      </c>
      <c r="E1" s="18" t="s">
        <v>3356</v>
      </c>
      <c r="F1" s="18" t="s">
        <v>3357</v>
      </c>
      <c r="G1" s="18" t="s">
        <v>3358</v>
      </c>
      <c r="H1" s="18" t="s">
        <v>3359</v>
      </c>
      <c r="I1" s="18" t="s">
        <v>3360</v>
      </c>
      <c r="J1" s="18" t="s">
        <v>3361</v>
      </c>
      <c r="K1" s="19" t="s">
        <v>3362</v>
      </c>
      <c r="L1" s="19" t="s">
        <v>3363</v>
      </c>
      <c r="M1" s="18" t="s">
        <v>3364</v>
      </c>
      <c r="N1" s="18" t="s">
        <v>3365</v>
      </c>
      <c r="O1" s="18" t="s">
        <v>3366</v>
      </c>
      <c r="P1" s="18" t="s">
        <v>68</v>
      </c>
      <c r="Q1" s="19" t="s">
        <v>3367</v>
      </c>
      <c r="R1" s="18" t="s">
        <v>3368</v>
      </c>
      <c r="S1" s="18" t="s">
        <v>3369</v>
      </c>
      <c r="T1" s="19" t="s">
        <v>3370</v>
      </c>
      <c r="U1" s="19" t="s">
        <v>3371</v>
      </c>
      <c r="V1" s="19" t="s">
        <v>3372</v>
      </c>
      <c r="W1" s="18" t="s">
        <v>135</v>
      </c>
      <c r="X1" s="18" t="s">
        <v>3373</v>
      </c>
      <c r="Y1" s="18" t="s">
        <v>3374</v>
      </c>
      <c r="Z1" s="18" t="s">
        <v>3375</v>
      </c>
      <c r="AA1" s="18" t="s">
        <v>3376</v>
      </c>
      <c r="AB1" s="19" t="s">
        <v>3377</v>
      </c>
      <c r="AC1" s="19" t="s">
        <v>174</v>
      </c>
    </row>
    <row r="2" spans="1:29" ht="27" x14ac:dyDescent="0.35">
      <c r="A2" s="22" t="s">
        <v>3378</v>
      </c>
      <c r="B2" s="27" t="s">
        <v>3379</v>
      </c>
      <c r="C2" s="22" t="s">
        <v>101</v>
      </c>
      <c r="D2" s="27" t="s">
        <v>3380</v>
      </c>
      <c r="E2" s="23">
        <v>46153</v>
      </c>
      <c r="F2" s="22" t="s">
        <v>42</v>
      </c>
      <c r="G2" s="27" t="s">
        <v>3381</v>
      </c>
      <c r="H2" s="27" t="s">
        <v>3382</v>
      </c>
      <c r="I2" s="22">
        <v>4</v>
      </c>
      <c r="J2" s="22">
        <v>4</v>
      </c>
      <c r="K2" s="20">
        <f t="shared" ref="K2:K33" si="0">IF(OR($A2="",$I2="",$J2=""),"",$I2*$J2)</f>
        <v>16</v>
      </c>
      <c r="L2" s="20" t="str">
        <f>IF($K2="","",IF($K2&gt;=HighScore,"High",IF($K2&gt;=MediumScore,"Medium","Low")))</f>
        <v>High</v>
      </c>
      <c r="M2" s="27" t="s">
        <v>3383</v>
      </c>
      <c r="N2" s="22" t="s">
        <v>105</v>
      </c>
      <c r="O2" s="23">
        <v>46234</v>
      </c>
      <c r="P2" s="22" t="s">
        <v>93</v>
      </c>
      <c r="Q2" s="20" t="str">
        <f>IF(OR($A2="",$O2="",$P2="Done"),"",IF($O2&lt;ReportDate,"Overdue","On track"))</f>
        <v/>
      </c>
      <c r="R2" s="22">
        <v>2</v>
      </c>
      <c r="S2" s="22">
        <v>4</v>
      </c>
      <c r="T2" s="20">
        <f t="shared" ref="T2:T33" si="1">IF(OR($A2="",$R2="",$S2=""),"",$R2*$S2)</f>
        <v>8</v>
      </c>
      <c r="U2" s="20" t="str">
        <f>IF($T2="","",IF($T2&gt;=HighScore,"High",IF($T2&gt;=MediumScore,"Medium","Low")))</f>
        <v>Medium</v>
      </c>
      <c r="V2" s="20" t="str">
        <f t="shared" ref="V2:V33" si="2">IF(OR($A2="",$F2&lt;&gt;"Y",$U2=""),"",IF($U2="High","Consult DPC (Art 36)","Not required"))</f>
        <v>Not required</v>
      </c>
      <c r="W2" s="22" t="s">
        <v>144</v>
      </c>
      <c r="X2" s="23"/>
      <c r="Y2" s="23"/>
      <c r="Z2" s="22" t="s">
        <v>139</v>
      </c>
      <c r="AA2" s="23">
        <v>46188</v>
      </c>
      <c r="AB2" s="21">
        <f>IF(OR($A2="",$AA2=""),"",EDATE($AA2,ReviewMonths))</f>
        <v>46553</v>
      </c>
      <c r="AC2" s="20" t="str">
        <f t="shared" ref="AC2:AC33" si="3">IF($A2="","",IF(IF(OR($B2="",$C2="",$E2="",$F2=""),"missing required field; ","")&amp;IF(COUNTIF($A$2:$A$51,$A2)&gt;1,"duplicate ID; ","")&amp;IF(AND($F2="Y",OR($I2="",$J2="")),"inherent scores missing; ","")&amp;IF(AND($F2="Y",$M2=""),"mitigation action missing; ","")&amp;IF(AND($M2&lt;&gt;"",OR($N2="",$O2="",$P2="")),"action owner, due date or status missing; ","")&amp;IF(AND($T2&lt;&gt;"",$K2&lt;&gt;"",$T2&gt;$K2),"residual score above inherent; ","")&amp;IF(AND($V2="Consult DPC (Art 36)",OR($W2="",$W2="Not started",$W2="Not required")),"Art 36 consultation not started; ","")&amp;IF(AND($V2="Consult DPC (Art 36)",$AA2&lt;&gt;"",OR($Y2="",$AA2&lt;$Y2)),"approved before DPC advice; ","")&amp;IF(AND($W2="Submitted to DPC",$X2=""),"submission date missing; ","")&amp;IF(AND($W2="DPC advice received",$Y2=""),"DPC response date missing; ","")&amp;IF(AND($Y2&lt;&gt;"",$X2&lt;&gt;"",$Y2&lt;$X2),"DPC response before submission; ","")&amp;IF(AND($AA2&lt;&gt;"",$Z2=""),"approver missing; ","")&amp;IF(AND($Z2&lt;&gt;"",$AA2=""),"approval date missing; ","")&amp;IF(AND($AA2&lt;&gt;"",$E2&lt;&gt;"",$AA2&lt;$E2),"approved before screening; ","")="","OK","Check: "&amp;IF(OR($B2="",$C2="",$E2="",$F2=""),"missing required field; ","")&amp;IF(COUNTIF($A$2:$A$51,$A2)&gt;1,"duplicate ID; ","")&amp;IF(AND($F2="Y",OR($I2="",$J2="")),"inherent scores missing; ","")&amp;IF(AND($F2="Y",$M2=""),"mitigation action missing; ","")&amp;IF(AND($M2&lt;&gt;"",OR($N2="",$O2="",$P2="")),"action owner, due date or status missing; ","")&amp;IF(AND($T2&lt;&gt;"",$K2&lt;&gt;"",$T2&gt;$K2),"residual score above inherent; ","")&amp;IF(AND($V2="Consult DPC (Art 36)",OR($W2="",$W2="Not started",$W2="Not required")),"Art 36 consultation not started; ","")&amp;IF(AND($V2="Consult DPC (Art 36)",$AA2&lt;&gt;"",OR($Y2="",$AA2&lt;$Y2)),"approved before DPC advice; ","")&amp;IF(AND($W2="Submitted to DPC",$X2=""),"submission date missing; ","")&amp;IF(AND($W2="DPC advice received",$Y2=""),"DPC response date missing; ","")&amp;IF(AND($Y2&lt;&gt;"",$X2&lt;&gt;"",$Y2&lt;$X2),"DPC response before submission; ","")&amp;IF(AND($AA2&lt;&gt;"",$Z2=""),"approver missing; ","")&amp;IF(AND($Z2&lt;&gt;"",$AA2=""),"approval date missing; ","")&amp;IF(AND($AA2&lt;&gt;"",$E2&lt;&gt;"",$AA2&lt;$E2),"approved before screening; ","")))</f>
        <v>OK</v>
      </c>
    </row>
    <row r="3" spans="1:29" ht="27" x14ac:dyDescent="0.35">
      <c r="A3" s="22" t="s">
        <v>3384</v>
      </c>
      <c r="B3" s="27" t="s">
        <v>3385</v>
      </c>
      <c r="C3" s="22" t="s">
        <v>90</v>
      </c>
      <c r="D3" s="27" t="s">
        <v>3386</v>
      </c>
      <c r="E3" s="23">
        <v>46174</v>
      </c>
      <c r="F3" s="22" t="s">
        <v>42</v>
      </c>
      <c r="G3" s="27" t="s">
        <v>3387</v>
      </c>
      <c r="H3" s="27" t="s">
        <v>3388</v>
      </c>
      <c r="I3" s="22">
        <v>4</v>
      </c>
      <c r="J3" s="22">
        <v>3</v>
      </c>
      <c r="K3" s="20">
        <f t="shared" si="0"/>
        <v>12</v>
      </c>
      <c r="L3" s="20" t="str">
        <f>IF($K3="","",IF($K3&gt;=HighScore,"High",IF($K3&gt;=MediumScore,"Medium","Low")))</f>
        <v>Medium</v>
      </c>
      <c r="M3" s="27" t="s">
        <v>3389</v>
      </c>
      <c r="N3" s="22" t="s">
        <v>103</v>
      </c>
      <c r="O3" s="23">
        <v>46295</v>
      </c>
      <c r="P3" s="22" t="s">
        <v>87</v>
      </c>
      <c r="Q3" s="20" t="str">
        <f>IF(OR($A3="",$O3="",$P3="Done"),"",IF($O3&lt;ReportDate,"Overdue","On track"))</f>
        <v>Overdue</v>
      </c>
      <c r="R3" s="22">
        <v>2</v>
      </c>
      <c r="S3" s="22">
        <v>3</v>
      </c>
      <c r="T3" s="20">
        <f t="shared" si="1"/>
        <v>6</v>
      </c>
      <c r="U3" s="20" t="str">
        <f>IF($T3="","",IF($T3&gt;=HighScore,"High",IF($T3&gt;=MediumScore,"Medium","Low")))</f>
        <v>Low</v>
      </c>
      <c r="V3" s="20" t="str">
        <f t="shared" si="2"/>
        <v>Not required</v>
      </c>
      <c r="W3" s="22" t="s">
        <v>144</v>
      </c>
      <c r="X3" s="23"/>
      <c r="Y3" s="23"/>
      <c r="Z3" s="22" t="s">
        <v>139</v>
      </c>
      <c r="AA3" s="23">
        <v>46223</v>
      </c>
      <c r="AB3" s="21">
        <f>IF(OR($A3="",$AA3=""),"",EDATE($AA3,ReviewMonths))</f>
        <v>46588</v>
      </c>
      <c r="AC3" s="20" t="str">
        <f t="shared" si="3"/>
        <v>OK</v>
      </c>
    </row>
    <row r="4" spans="1:29" ht="27" x14ac:dyDescent="0.35">
      <c r="A4" s="22" t="s">
        <v>3390</v>
      </c>
      <c r="B4" s="27" t="s">
        <v>3391</v>
      </c>
      <c r="C4" s="22" t="s">
        <v>91</v>
      </c>
      <c r="D4" s="27" t="s">
        <v>3392</v>
      </c>
      <c r="E4" s="23">
        <v>46209</v>
      </c>
      <c r="F4" s="22" t="s">
        <v>42</v>
      </c>
      <c r="G4" s="27" t="s">
        <v>3393</v>
      </c>
      <c r="H4" s="27" t="s">
        <v>3394</v>
      </c>
      <c r="I4" s="22">
        <v>3</v>
      </c>
      <c r="J4" s="22">
        <v>4</v>
      </c>
      <c r="K4" s="20">
        <f t="shared" si="0"/>
        <v>12</v>
      </c>
      <c r="L4" s="20" t="str">
        <f>IF($K4="","",IF($K4&gt;=HighScore,"High",IF($K4&gt;=MediumScore,"Medium","Low")))</f>
        <v>Medium</v>
      </c>
      <c r="M4" s="27" t="s">
        <v>3395</v>
      </c>
      <c r="N4" s="22" t="s">
        <v>91</v>
      </c>
      <c r="O4" s="23">
        <v>46356</v>
      </c>
      <c r="P4" s="22" t="s">
        <v>87</v>
      </c>
      <c r="Q4" s="20" t="str">
        <f>IF(OR($A4="",$O4="",$P4="Done"),"",IF($O4&lt;ReportDate,"Overdue","On track"))</f>
        <v>On track</v>
      </c>
      <c r="R4" s="22">
        <v>2</v>
      </c>
      <c r="S4" s="22">
        <v>3</v>
      </c>
      <c r="T4" s="20">
        <f t="shared" si="1"/>
        <v>6</v>
      </c>
      <c r="U4" s="20" t="str">
        <f>IF($T4="","",IF($T4&gt;=HighScore,"High",IF($T4&gt;=MediumScore,"Medium","Low")))</f>
        <v>Low</v>
      </c>
      <c r="V4" s="20" t="str">
        <f t="shared" si="2"/>
        <v>Not required</v>
      </c>
      <c r="W4" s="22" t="s">
        <v>144</v>
      </c>
      <c r="X4" s="23"/>
      <c r="Y4" s="23"/>
      <c r="Z4" s="22"/>
      <c r="AA4" s="23"/>
      <c r="AB4" s="21" t="str">
        <f>IF(OR($A4="",$AA4=""),"",EDATE($AA4,ReviewMonths))</f>
        <v/>
      </c>
      <c r="AC4" s="20" t="str">
        <f t="shared" si="3"/>
        <v>OK</v>
      </c>
    </row>
    <row r="5" spans="1:29" ht="27" x14ac:dyDescent="0.35">
      <c r="A5" s="22" t="s">
        <v>3396</v>
      </c>
      <c r="B5" s="27" t="s">
        <v>3397</v>
      </c>
      <c r="C5" s="22" t="s">
        <v>72</v>
      </c>
      <c r="D5" s="27" t="s">
        <v>3398</v>
      </c>
      <c r="E5" s="23">
        <v>46244</v>
      </c>
      <c r="F5" s="22" t="s">
        <v>57</v>
      </c>
      <c r="G5" s="27" t="s">
        <v>3399</v>
      </c>
      <c r="H5" s="27"/>
      <c r="I5" s="22"/>
      <c r="J5" s="22"/>
      <c r="K5" s="20" t="str">
        <f t="shared" si="0"/>
        <v/>
      </c>
      <c r="L5" s="20" t="str">
        <f>IF($K5="","",IF($K5&gt;=HighScore,"High",IF($K5&gt;=MediumScore,"Medium","Low")))</f>
        <v/>
      </c>
      <c r="M5" s="27"/>
      <c r="N5" s="22"/>
      <c r="O5" s="23"/>
      <c r="P5" s="22"/>
      <c r="Q5" s="20" t="str">
        <f>IF(OR($A5="",$O5="",$P5="Done"),"",IF($O5&lt;ReportDate,"Overdue","On track"))</f>
        <v/>
      </c>
      <c r="R5" s="22"/>
      <c r="S5" s="22"/>
      <c r="T5" s="20" t="str">
        <f t="shared" si="1"/>
        <v/>
      </c>
      <c r="U5" s="20" t="str">
        <f>IF($T5="","",IF($T5&gt;=HighScore,"High",IF($T5&gt;=MediumScore,"Medium","Low")))</f>
        <v/>
      </c>
      <c r="V5" s="20" t="str">
        <f t="shared" si="2"/>
        <v/>
      </c>
      <c r="W5" s="22" t="s">
        <v>144</v>
      </c>
      <c r="X5" s="23"/>
      <c r="Y5" s="23"/>
      <c r="Z5" s="22"/>
      <c r="AA5" s="23"/>
      <c r="AB5" s="21" t="str">
        <f>IF(OR($A5="",$AA5=""),"",EDATE($AA5,ReviewMonths))</f>
        <v/>
      </c>
      <c r="AC5" s="20" t="str">
        <f t="shared" si="3"/>
        <v>OK</v>
      </c>
    </row>
    <row r="6" spans="1:29" ht="40.5" x14ac:dyDescent="0.35">
      <c r="A6" s="22" t="s">
        <v>3400</v>
      </c>
      <c r="B6" s="27" t="s">
        <v>3401</v>
      </c>
      <c r="C6" s="22" t="s">
        <v>81</v>
      </c>
      <c r="D6" s="27" t="s">
        <v>3402</v>
      </c>
      <c r="E6" s="23">
        <v>46266</v>
      </c>
      <c r="F6" s="22" t="s">
        <v>42</v>
      </c>
      <c r="G6" s="27" t="s">
        <v>3403</v>
      </c>
      <c r="H6" s="27" t="s">
        <v>3404</v>
      </c>
      <c r="I6" s="22">
        <v>4</v>
      </c>
      <c r="J6" s="22">
        <v>5</v>
      </c>
      <c r="K6" s="20">
        <f t="shared" si="0"/>
        <v>20</v>
      </c>
      <c r="L6" s="20" t="str">
        <f>IF($K6="","",IF($K6&gt;=HighScore,"High",IF($K6&gt;=MediumScore,"Medium","Low")))</f>
        <v>High</v>
      </c>
      <c r="M6" s="27" t="s">
        <v>3405</v>
      </c>
      <c r="N6" s="22" t="s">
        <v>97</v>
      </c>
      <c r="O6" s="23">
        <v>46341</v>
      </c>
      <c r="P6" s="22" t="s">
        <v>78</v>
      </c>
      <c r="Q6" s="20" t="str">
        <f>IF(OR($A6="",$O6="",$P6="Done"),"",IF($O6&lt;ReportDate,"Overdue","On track"))</f>
        <v>On track</v>
      </c>
      <c r="R6" s="22">
        <v>3</v>
      </c>
      <c r="S6" s="22">
        <v>5</v>
      </c>
      <c r="T6" s="20">
        <f t="shared" si="1"/>
        <v>15</v>
      </c>
      <c r="U6" s="20" t="str">
        <f>IF($T6="","",IF($T6&gt;=HighScore,"High",IF($T6&gt;=MediumScore,"Medium","Low")))</f>
        <v>High</v>
      </c>
      <c r="V6" s="20" t="str">
        <f t="shared" si="2"/>
        <v>Consult DPC (Art 36)</v>
      </c>
      <c r="W6" s="22" t="s">
        <v>140</v>
      </c>
      <c r="X6" s="23">
        <v>46315</v>
      </c>
      <c r="Y6" s="23"/>
      <c r="Z6" s="22"/>
      <c r="AA6" s="23"/>
      <c r="AB6" s="21" t="str">
        <f>IF(OR($A6="",$AA6=""),"",EDATE($AA6,ReviewMonths))</f>
        <v/>
      </c>
      <c r="AC6" s="20" t="str">
        <f t="shared" si="3"/>
        <v>OK</v>
      </c>
    </row>
    <row r="7" spans="1:29" ht="27" x14ac:dyDescent="0.35">
      <c r="A7" s="22" t="s">
        <v>3406</v>
      </c>
      <c r="B7" s="27" t="s">
        <v>3407</v>
      </c>
      <c r="C7" s="22" t="s">
        <v>91</v>
      </c>
      <c r="D7" s="27" t="s">
        <v>3408</v>
      </c>
      <c r="E7" s="23">
        <v>46254</v>
      </c>
      <c r="F7" s="22" t="s">
        <v>42</v>
      </c>
      <c r="G7" s="27" t="s">
        <v>3409</v>
      </c>
      <c r="H7" s="27" t="s">
        <v>3410</v>
      </c>
      <c r="I7" s="22">
        <v>3</v>
      </c>
      <c r="J7" s="22">
        <v>3</v>
      </c>
      <c r="K7" s="20">
        <f t="shared" si="0"/>
        <v>9</v>
      </c>
      <c r="L7" s="20" t="str">
        <f>IF($K7="","",IF($K7&gt;=HighScore,"High",IF($K7&gt;=MediumScore,"Medium","Low")))</f>
        <v>Medium</v>
      </c>
      <c r="M7" s="27" t="s">
        <v>3411</v>
      </c>
      <c r="N7" s="22" t="s">
        <v>91</v>
      </c>
      <c r="O7" s="23">
        <v>46310</v>
      </c>
      <c r="P7" s="22" t="s">
        <v>93</v>
      </c>
      <c r="Q7" s="20" t="str">
        <f>IF(OR($A7="",$O7="",$P7="Done"),"",IF($O7&lt;ReportDate,"Overdue","On track"))</f>
        <v/>
      </c>
      <c r="R7" s="22">
        <v>1</v>
      </c>
      <c r="S7" s="22">
        <v>3</v>
      </c>
      <c r="T7" s="20">
        <f t="shared" si="1"/>
        <v>3</v>
      </c>
      <c r="U7" s="20" t="str">
        <f>IF($T7="","",IF($T7&gt;=HighScore,"High",IF($T7&gt;=MediumScore,"Medium","Low")))</f>
        <v>Low</v>
      </c>
      <c r="V7" s="20" t="str">
        <f t="shared" si="2"/>
        <v>Not required</v>
      </c>
      <c r="W7" s="22" t="s">
        <v>144</v>
      </c>
      <c r="X7" s="23"/>
      <c r="Y7" s="23"/>
      <c r="Z7" s="22" t="s">
        <v>139</v>
      </c>
      <c r="AA7" s="23">
        <v>46275</v>
      </c>
      <c r="AB7" s="21">
        <f>IF(OR($A7="",$AA7=""),"",EDATE($AA7,ReviewMonths))</f>
        <v>46640</v>
      </c>
      <c r="AC7" s="20" t="str">
        <f t="shared" si="3"/>
        <v>OK</v>
      </c>
    </row>
    <row r="8" spans="1:29" x14ac:dyDescent="0.35">
      <c r="A8" s="22"/>
      <c r="B8" s="27"/>
      <c r="C8" s="22"/>
      <c r="D8" s="27"/>
      <c r="E8" s="23"/>
      <c r="F8" s="22"/>
      <c r="G8" s="27"/>
      <c r="H8" s="27"/>
      <c r="I8" s="22"/>
      <c r="J8" s="22"/>
      <c r="K8" s="20" t="str">
        <f t="shared" si="0"/>
        <v/>
      </c>
      <c r="L8" s="20" t="str">
        <f>IF($K8="","",IF($K8&gt;=HighScore,"High",IF($K8&gt;=MediumScore,"Medium","Low")))</f>
        <v/>
      </c>
      <c r="M8" s="27"/>
      <c r="N8" s="22"/>
      <c r="O8" s="23"/>
      <c r="P8" s="22"/>
      <c r="Q8" s="20" t="str">
        <f>IF(OR($A8="",$O8="",$P8="Done"),"",IF($O8&lt;ReportDate,"Overdue","On track"))</f>
        <v/>
      </c>
      <c r="R8" s="22"/>
      <c r="S8" s="22"/>
      <c r="T8" s="20" t="str">
        <f t="shared" si="1"/>
        <v/>
      </c>
      <c r="U8" s="20" t="str">
        <f>IF($T8="","",IF($T8&gt;=HighScore,"High",IF($T8&gt;=MediumScore,"Medium","Low")))</f>
        <v/>
      </c>
      <c r="V8" s="20" t="str">
        <f t="shared" si="2"/>
        <v/>
      </c>
      <c r="W8" s="22"/>
      <c r="X8" s="23"/>
      <c r="Y8" s="23"/>
      <c r="Z8" s="22"/>
      <c r="AA8" s="23"/>
      <c r="AB8" s="21" t="str">
        <f>IF(OR($A8="",$AA8=""),"",EDATE($AA8,ReviewMonths))</f>
        <v/>
      </c>
      <c r="AC8" s="20" t="str">
        <f t="shared" si="3"/>
        <v/>
      </c>
    </row>
    <row r="9" spans="1:29" x14ac:dyDescent="0.35">
      <c r="A9" s="22"/>
      <c r="B9" s="27"/>
      <c r="C9" s="22"/>
      <c r="D9" s="27"/>
      <c r="E9" s="23"/>
      <c r="F9" s="22"/>
      <c r="G9" s="27"/>
      <c r="H9" s="27"/>
      <c r="I9" s="22"/>
      <c r="J9" s="22"/>
      <c r="K9" s="20" t="str">
        <f t="shared" si="0"/>
        <v/>
      </c>
      <c r="L9" s="20" t="str">
        <f>IF($K9="","",IF($K9&gt;=HighScore,"High",IF($K9&gt;=MediumScore,"Medium","Low")))</f>
        <v/>
      </c>
      <c r="M9" s="27"/>
      <c r="N9" s="22"/>
      <c r="O9" s="23"/>
      <c r="P9" s="22"/>
      <c r="Q9" s="20" t="str">
        <f>IF(OR($A9="",$O9="",$P9="Done"),"",IF($O9&lt;ReportDate,"Overdue","On track"))</f>
        <v/>
      </c>
      <c r="R9" s="22"/>
      <c r="S9" s="22"/>
      <c r="T9" s="20" t="str">
        <f t="shared" si="1"/>
        <v/>
      </c>
      <c r="U9" s="20" t="str">
        <f>IF($T9="","",IF($T9&gt;=HighScore,"High",IF($T9&gt;=MediumScore,"Medium","Low")))</f>
        <v/>
      </c>
      <c r="V9" s="20" t="str">
        <f t="shared" si="2"/>
        <v/>
      </c>
      <c r="W9" s="22"/>
      <c r="X9" s="23"/>
      <c r="Y9" s="23"/>
      <c r="Z9" s="22"/>
      <c r="AA9" s="23"/>
      <c r="AB9" s="21" t="str">
        <f>IF(OR($A9="",$AA9=""),"",EDATE($AA9,ReviewMonths))</f>
        <v/>
      </c>
      <c r="AC9" s="20" t="str">
        <f t="shared" si="3"/>
        <v/>
      </c>
    </row>
    <row r="10" spans="1:29" x14ac:dyDescent="0.35">
      <c r="A10" s="22"/>
      <c r="B10" s="27"/>
      <c r="C10" s="22"/>
      <c r="D10" s="27"/>
      <c r="E10" s="23"/>
      <c r="F10" s="22"/>
      <c r="G10" s="27"/>
      <c r="H10" s="27"/>
      <c r="I10" s="22"/>
      <c r="J10" s="22"/>
      <c r="K10" s="20" t="str">
        <f t="shared" si="0"/>
        <v/>
      </c>
      <c r="L10" s="20" t="str">
        <f>IF($K10="","",IF($K10&gt;=HighScore,"High",IF($K10&gt;=MediumScore,"Medium","Low")))</f>
        <v/>
      </c>
      <c r="M10" s="27"/>
      <c r="N10" s="22"/>
      <c r="O10" s="23"/>
      <c r="P10" s="22"/>
      <c r="Q10" s="20" t="str">
        <f>IF(OR($A10="",$O10="",$P10="Done"),"",IF($O10&lt;ReportDate,"Overdue","On track"))</f>
        <v/>
      </c>
      <c r="R10" s="22"/>
      <c r="S10" s="22"/>
      <c r="T10" s="20" t="str">
        <f t="shared" si="1"/>
        <v/>
      </c>
      <c r="U10" s="20" t="str">
        <f>IF($T10="","",IF($T10&gt;=HighScore,"High",IF($T10&gt;=MediumScore,"Medium","Low")))</f>
        <v/>
      </c>
      <c r="V10" s="20" t="str">
        <f t="shared" si="2"/>
        <v/>
      </c>
      <c r="W10" s="22"/>
      <c r="X10" s="23"/>
      <c r="Y10" s="23"/>
      <c r="Z10" s="22"/>
      <c r="AA10" s="23"/>
      <c r="AB10" s="21" t="str">
        <f>IF(OR($A10="",$AA10=""),"",EDATE($AA10,ReviewMonths))</f>
        <v/>
      </c>
      <c r="AC10" s="20" t="str">
        <f t="shared" si="3"/>
        <v/>
      </c>
    </row>
    <row r="11" spans="1:29" x14ac:dyDescent="0.35">
      <c r="A11" s="22"/>
      <c r="B11" s="27"/>
      <c r="C11" s="22"/>
      <c r="D11" s="27"/>
      <c r="E11" s="23"/>
      <c r="F11" s="22"/>
      <c r="G11" s="27"/>
      <c r="H11" s="27"/>
      <c r="I11" s="22"/>
      <c r="J11" s="22"/>
      <c r="K11" s="20" t="str">
        <f t="shared" si="0"/>
        <v/>
      </c>
      <c r="L11" s="20" t="str">
        <f>IF($K11="","",IF($K11&gt;=HighScore,"High",IF($K11&gt;=MediumScore,"Medium","Low")))</f>
        <v/>
      </c>
      <c r="M11" s="27"/>
      <c r="N11" s="22"/>
      <c r="O11" s="23"/>
      <c r="P11" s="22"/>
      <c r="Q11" s="20" t="str">
        <f>IF(OR($A11="",$O11="",$P11="Done"),"",IF($O11&lt;ReportDate,"Overdue","On track"))</f>
        <v/>
      </c>
      <c r="R11" s="22"/>
      <c r="S11" s="22"/>
      <c r="T11" s="20" t="str">
        <f t="shared" si="1"/>
        <v/>
      </c>
      <c r="U11" s="20" t="str">
        <f>IF($T11="","",IF($T11&gt;=HighScore,"High",IF($T11&gt;=MediumScore,"Medium","Low")))</f>
        <v/>
      </c>
      <c r="V11" s="20" t="str">
        <f t="shared" si="2"/>
        <v/>
      </c>
      <c r="W11" s="22"/>
      <c r="X11" s="23"/>
      <c r="Y11" s="23"/>
      <c r="Z11" s="22"/>
      <c r="AA11" s="23"/>
      <c r="AB11" s="21" t="str">
        <f>IF(OR($A11="",$AA11=""),"",EDATE($AA11,ReviewMonths))</f>
        <v/>
      </c>
      <c r="AC11" s="20" t="str">
        <f t="shared" si="3"/>
        <v/>
      </c>
    </row>
    <row r="12" spans="1:29" x14ac:dyDescent="0.35">
      <c r="A12" s="22"/>
      <c r="B12" s="27"/>
      <c r="C12" s="22"/>
      <c r="D12" s="27"/>
      <c r="E12" s="23"/>
      <c r="F12" s="22"/>
      <c r="G12" s="27"/>
      <c r="H12" s="27"/>
      <c r="I12" s="22"/>
      <c r="J12" s="22"/>
      <c r="K12" s="20" t="str">
        <f t="shared" si="0"/>
        <v/>
      </c>
      <c r="L12" s="20" t="str">
        <f>IF($K12="","",IF($K12&gt;=HighScore,"High",IF($K12&gt;=MediumScore,"Medium","Low")))</f>
        <v/>
      </c>
      <c r="M12" s="27"/>
      <c r="N12" s="22"/>
      <c r="O12" s="23"/>
      <c r="P12" s="22"/>
      <c r="Q12" s="20" t="str">
        <f>IF(OR($A12="",$O12="",$P12="Done"),"",IF($O12&lt;ReportDate,"Overdue","On track"))</f>
        <v/>
      </c>
      <c r="R12" s="22"/>
      <c r="S12" s="22"/>
      <c r="T12" s="20" t="str">
        <f t="shared" si="1"/>
        <v/>
      </c>
      <c r="U12" s="20" t="str">
        <f>IF($T12="","",IF($T12&gt;=HighScore,"High",IF($T12&gt;=MediumScore,"Medium","Low")))</f>
        <v/>
      </c>
      <c r="V12" s="20" t="str">
        <f t="shared" si="2"/>
        <v/>
      </c>
      <c r="W12" s="22"/>
      <c r="X12" s="23"/>
      <c r="Y12" s="23"/>
      <c r="Z12" s="22"/>
      <c r="AA12" s="23"/>
      <c r="AB12" s="21" t="str">
        <f>IF(OR($A12="",$AA12=""),"",EDATE($AA12,ReviewMonths))</f>
        <v/>
      </c>
      <c r="AC12" s="20" t="str">
        <f t="shared" si="3"/>
        <v/>
      </c>
    </row>
    <row r="13" spans="1:29" x14ac:dyDescent="0.35">
      <c r="A13" s="22"/>
      <c r="B13" s="27"/>
      <c r="C13" s="22"/>
      <c r="D13" s="27"/>
      <c r="E13" s="23"/>
      <c r="F13" s="22"/>
      <c r="G13" s="27"/>
      <c r="H13" s="27"/>
      <c r="I13" s="22"/>
      <c r="J13" s="22"/>
      <c r="K13" s="20" t="str">
        <f t="shared" si="0"/>
        <v/>
      </c>
      <c r="L13" s="20" t="str">
        <f>IF($K13="","",IF($K13&gt;=HighScore,"High",IF($K13&gt;=MediumScore,"Medium","Low")))</f>
        <v/>
      </c>
      <c r="M13" s="27"/>
      <c r="N13" s="22"/>
      <c r="O13" s="23"/>
      <c r="P13" s="22"/>
      <c r="Q13" s="20" t="str">
        <f>IF(OR($A13="",$O13="",$P13="Done"),"",IF($O13&lt;ReportDate,"Overdue","On track"))</f>
        <v/>
      </c>
      <c r="R13" s="22"/>
      <c r="S13" s="22"/>
      <c r="T13" s="20" t="str">
        <f t="shared" si="1"/>
        <v/>
      </c>
      <c r="U13" s="20" t="str">
        <f>IF($T13="","",IF($T13&gt;=HighScore,"High",IF($T13&gt;=MediumScore,"Medium","Low")))</f>
        <v/>
      </c>
      <c r="V13" s="20" t="str">
        <f t="shared" si="2"/>
        <v/>
      </c>
      <c r="W13" s="22"/>
      <c r="X13" s="23"/>
      <c r="Y13" s="23"/>
      <c r="Z13" s="22"/>
      <c r="AA13" s="23"/>
      <c r="AB13" s="21" t="str">
        <f>IF(OR($A13="",$AA13=""),"",EDATE($AA13,ReviewMonths))</f>
        <v/>
      </c>
      <c r="AC13" s="20" t="str">
        <f t="shared" si="3"/>
        <v/>
      </c>
    </row>
    <row r="14" spans="1:29" x14ac:dyDescent="0.35">
      <c r="A14" s="22"/>
      <c r="B14" s="27"/>
      <c r="C14" s="22"/>
      <c r="D14" s="27"/>
      <c r="E14" s="23"/>
      <c r="F14" s="22"/>
      <c r="G14" s="27"/>
      <c r="H14" s="27"/>
      <c r="I14" s="22"/>
      <c r="J14" s="22"/>
      <c r="K14" s="20" t="str">
        <f t="shared" si="0"/>
        <v/>
      </c>
      <c r="L14" s="20" t="str">
        <f>IF($K14="","",IF($K14&gt;=HighScore,"High",IF($K14&gt;=MediumScore,"Medium","Low")))</f>
        <v/>
      </c>
      <c r="M14" s="27"/>
      <c r="N14" s="22"/>
      <c r="O14" s="23"/>
      <c r="P14" s="22"/>
      <c r="Q14" s="20" t="str">
        <f>IF(OR($A14="",$O14="",$P14="Done"),"",IF($O14&lt;ReportDate,"Overdue","On track"))</f>
        <v/>
      </c>
      <c r="R14" s="22"/>
      <c r="S14" s="22"/>
      <c r="T14" s="20" t="str">
        <f t="shared" si="1"/>
        <v/>
      </c>
      <c r="U14" s="20" t="str">
        <f>IF($T14="","",IF($T14&gt;=HighScore,"High",IF($T14&gt;=MediumScore,"Medium","Low")))</f>
        <v/>
      </c>
      <c r="V14" s="20" t="str">
        <f t="shared" si="2"/>
        <v/>
      </c>
      <c r="W14" s="22"/>
      <c r="X14" s="23"/>
      <c r="Y14" s="23"/>
      <c r="Z14" s="22"/>
      <c r="AA14" s="23"/>
      <c r="AB14" s="21" t="str">
        <f>IF(OR($A14="",$AA14=""),"",EDATE($AA14,ReviewMonths))</f>
        <v/>
      </c>
      <c r="AC14" s="20" t="str">
        <f t="shared" si="3"/>
        <v/>
      </c>
    </row>
    <row r="15" spans="1:29" x14ac:dyDescent="0.35">
      <c r="A15" s="22"/>
      <c r="B15" s="27"/>
      <c r="C15" s="22"/>
      <c r="D15" s="27"/>
      <c r="E15" s="23"/>
      <c r="F15" s="22"/>
      <c r="G15" s="27"/>
      <c r="H15" s="27"/>
      <c r="I15" s="22"/>
      <c r="J15" s="22"/>
      <c r="K15" s="20" t="str">
        <f t="shared" si="0"/>
        <v/>
      </c>
      <c r="L15" s="20" t="str">
        <f>IF($K15="","",IF($K15&gt;=HighScore,"High",IF($K15&gt;=MediumScore,"Medium","Low")))</f>
        <v/>
      </c>
      <c r="M15" s="27"/>
      <c r="N15" s="22"/>
      <c r="O15" s="23"/>
      <c r="P15" s="22"/>
      <c r="Q15" s="20" t="str">
        <f>IF(OR($A15="",$O15="",$P15="Done"),"",IF($O15&lt;ReportDate,"Overdue","On track"))</f>
        <v/>
      </c>
      <c r="R15" s="22"/>
      <c r="S15" s="22"/>
      <c r="T15" s="20" t="str">
        <f t="shared" si="1"/>
        <v/>
      </c>
      <c r="U15" s="20" t="str">
        <f>IF($T15="","",IF($T15&gt;=HighScore,"High",IF($T15&gt;=MediumScore,"Medium","Low")))</f>
        <v/>
      </c>
      <c r="V15" s="20" t="str">
        <f t="shared" si="2"/>
        <v/>
      </c>
      <c r="W15" s="22"/>
      <c r="X15" s="23"/>
      <c r="Y15" s="23"/>
      <c r="Z15" s="22"/>
      <c r="AA15" s="23"/>
      <c r="AB15" s="21" t="str">
        <f>IF(OR($A15="",$AA15=""),"",EDATE($AA15,ReviewMonths))</f>
        <v/>
      </c>
      <c r="AC15" s="20" t="str">
        <f t="shared" si="3"/>
        <v/>
      </c>
    </row>
    <row r="16" spans="1:29" x14ac:dyDescent="0.35">
      <c r="A16" s="22"/>
      <c r="B16" s="27"/>
      <c r="C16" s="22"/>
      <c r="D16" s="27"/>
      <c r="E16" s="23"/>
      <c r="F16" s="22"/>
      <c r="G16" s="27"/>
      <c r="H16" s="27"/>
      <c r="I16" s="22"/>
      <c r="J16" s="22"/>
      <c r="K16" s="20" t="str">
        <f t="shared" si="0"/>
        <v/>
      </c>
      <c r="L16" s="20" t="str">
        <f>IF($K16="","",IF($K16&gt;=HighScore,"High",IF($K16&gt;=MediumScore,"Medium","Low")))</f>
        <v/>
      </c>
      <c r="M16" s="27"/>
      <c r="N16" s="22"/>
      <c r="O16" s="23"/>
      <c r="P16" s="22"/>
      <c r="Q16" s="20" t="str">
        <f>IF(OR($A16="",$O16="",$P16="Done"),"",IF($O16&lt;ReportDate,"Overdue","On track"))</f>
        <v/>
      </c>
      <c r="R16" s="22"/>
      <c r="S16" s="22"/>
      <c r="T16" s="20" t="str">
        <f t="shared" si="1"/>
        <v/>
      </c>
      <c r="U16" s="20" t="str">
        <f>IF($T16="","",IF($T16&gt;=HighScore,"High",IF($T16&gt;=MediumScore,"Medium","Low")))</f>
        <v/>
      </c>
      <c r="V16" s="20" t="str">
        <f t="shared" si="2"/>
        <v/>
      </c>
      <c r="W16" s="22"/>
      <c r="X16" s="23"/>
      <c r="Y16" s="23"/>
      <c r="Z16" s="22"/>
      <c r="AA16" s="23"/>
      <c r="AB16" s="21" t="str">
        <f>IF(OR($A16="",$AA16=""),"",EDATE($AA16,ReviewMonths))</f>
        <v/>
      </c>
      <c r="AC16" s="20" t="str">
        <f t="shared" si="3"/>
        <v/>
      </c>
    </row>
    <row r="17" spans="1:29" x14ac:dyDescent="0.35">
      <c r="A17" s="22"/>
      <c r="B17" s="27"/>
      <c r="C17" s="22"/>
      <c r="D17" s="27"/>
      <c r="E17" s="23"/>
      <c r="F17" s="22"/>
      <c r="G17" s="27"/>
      <c r="H17" s="27"/>
      <c r="I17" s="22"/>
      <c r="J17" s="22"/>
      <c r="K17" s="20" t="str">
        <f t="shared" si="0"/>
        <v/>
      </c>
      <c r="L17" s="20" t="str">
        <f>IF($K17="","",IF($K17&gt;=HighScore,"High",IF($K17&gt;=MediumScore,"Medium","Low")))</f>
        <v/>
      </c>
      <c r="M17" s="27"/>
      <c r="N17" s="22"/>
      <c r="O17" s="23"/>
      <c r="P17" s="22"/>
      <c r="Q17" s="20" t="str">
        <f>IF(OR($A17="",$O17="",$P17="Done"),"",IF($O17&lt;ReportDate,"Overdue","On track"))</f>
        <v/>
      </c>
      <c r="R17" s="22"/>
      <c r="S17" s="22"/>
      <c r="T17" s="20" t="str">
        <f t="shared" si="1"/>
        <v/>
      </c>
      <c r="U17" s="20" t="str">
        <f>IF($T17="","",IF($T17&gt;=HighScore,"High",IF($T17&gt;=MediumScore,"Medium","Low")))</f>
        <v/>
      </c>
      <c r="V17" s="20" t="str">
        <f t="shared" si="2"/>
        <v/>
      </c>
      <c r="W17" s="22"/>
      <c r="X17" s="23"/>
      <c r="Y17" s="23"/>
      <c r="Z17" s="22"/>
      <c r="AA17" s="23"/>
      <c r="AB17" s="21" t="str">
        <f>IF(OR($A17="",$AA17=""),"",EDATE($AA17,ReviewMonths))</f>
        <v/>
      </c>
      <c r="AC17" s="20" t="str">
        <f t="shared" si="3"/>
        <v/>
      </c>
    </row>
    <row r="18" spans="1:29" x14ac:dyDescent="0.35">
      <c r="A18" s="22"/>
      <c r="B18" s="27"/>
      <c r="C18" s="22"/>
      <c r="D18" s="27"/>
      <c r="E18" s="23"/>
      <c r="F18" s="22"/>
      <c r="G18" s="27"/>
      <c r="H18" s="27"/>
      <c r="I18" s="22"/>
      <c r="J18" s="22"/>
      <c r="K18" s="20" t="str">
        <f t="shared" si="0"/>
        <v/>
      </c>
      <c r="L18" s="20" t="str">
        <f>IF($K18="","",IF($K18&gt;=HighScore,"High",IF($K18&gt;=MediumScore,"Medium","Low")))</f>
        <v/>
      </c>
      <c r="M18" s="27"/>
      <c r="N18" s="22"/>
      <c r="O18" s="23"/>
      <c r="P18" s="22"/>
      <c r="Q18" s="20" t="str">
        <f>IF(OR($A18="",$O18="",$P18="Done"),"",IF($O18&lt;ReportDate,"Overdue","On track"))</f>
        <v/>
      </c>
      <c r="R18" s="22"/>
      <c r="S18" s="22"/>
      <c r="T18" s="20" t="str">
        <f t="shared" si="1"/>
        <v/>
      </c>
      <c r="U18" s="20" t="str">
        <f>IF($T18="","",IF($T18&gt;=HighScore,"High",IF($T18&gt;=MediumScore,"Medium","Low")))</f>
        <v/>
      </c>
      <c r="V18" s="20" t="str">
        <f t="shared" si="2"/>
        <v/>
      </c>
      <c r="W18" s="22"/>
      <c r="X18" s="23"/>
      <c r="Y18" s="23"/>
      <c r="Z18" s="22"/>
      <c r="AA18" s="23"/>
      <c r="AB18" s="21" t="str">
        <f>IF(OR($A18="",$AA18=""),"",EDATE($AA18,ReviewMonths))</f>
        <v/>
      </c>
      <c r="AC18" s="20" t="str">
        <f t="shared" si="3"/>
        <v/>
      </c>
    </row>
    <row r="19" spans="1:29" x14ac:dyDescent="0.35">
      <c r="A19" s="22"/>
      <c r="B19" s="27"/>
      <c r="C19" s="22"/>
      <c r="D19" s="27"/>
      <c r="E19" s="23"/>
      <c r="F19" s="22"/>
      <c r="G19" s="27"/>
      <c r="H19" s="27"/>
      <c r="I19" s="22"/>
      <c r="J19" s="22"/>
      <c r="K19" s="20" t="str">
        <f t="shared" si="0"/>
        <v/>
      </c>
      <c r="L19" s="20" t="str">
        <f>IF($K19="","",IF($K19&gt;=HighScore,"High",IF($K19&gt;=MediumScore,"Medium","Low")))</f>
        <v/>
      </c>
      <c r="M19" s="27"/>
      <c r="N19" s="22"/>
      <c r="O19" s="23"/>
      <c r="P19" s="22"/>
      <c r="Q19" s="20" t="str">
        <f>IF(OR($A19="",$O19="",$P19="Done"),"",IF($O19&lt;ReportDate,"Overdue","On track"))</f>
        <v/>
      </c>
      <c r="R19" s="22"/>
      <c r="S19" s="22"/>
      <c r="T19" s="20" t="str">
        <f t="shared" si="1"/>
        <v/>
      </c>
      <c r="U19" s="20" t="str">
        <f>IF($T19="","",IF($T19&gt;=HighScore,"High",IF($T19&gt;=MediumScore,"Medium","Low")))</f>
        <v/>
      </c>
      <c r="V19" s="20" t="str">
        <f t="shared" si="2"/>
        <v/>
      </c>
      <c r="W19" s="22"/>
      <c r="X19" s="23"/>
      <c r="Y19" s="23"/>
      <c r="Z19" s="22"/>
      <c r="AA19" s="23"/>
      <c r="AB19" s="21" t="str">
        <f>IF(OR($A19="",$AA19=""),"",EDATE($AA19,ReviewMonths))</f>
        <v/>
      </c>
      <c r="AC19" s="20" t="str">
        <f t="shared" si="3"/>
        <v/>
      </c>
    </row>
    <row r="20" spans="1:29" x14ac:dyDescent="0.35">
      <c r="A20" s="22"/>
      <c r="B20" s="27"/>
      <c r="C20" s="22"/>
      <c r="D20" s="27"/>
      <c r="E20" s="23"/>
      <c r="F20" s="22"/>
      <c r="G20" s="27"/>
      <c r="H20" s="27"/>
      <c r="I20" s="22"/>
      <c r="J20" s="22"/>
      <c r="K20" s="20" t="str">
        <f t="shared" si="0"/>
        <v/>
      </c>
      <c r="L20" s="20" t="str">
        <f>IF($K20="","",IF($K20&gt;=HighScore,"High",IF($K20&gt;=MediumScore,"Medium","Low")))</f>
        <v/>
      </c>
      <c r="M20" s="27"/>
      <c r="N20" s="22"/>
      <c r="O20" s="23"/>
      <c r="P20" s="22"/>
      <c r="Q20" s="20" t="str">
        <f>IF(OR($A20="",$O20="",$P20="Done"),"",IF($O20&lt;ReportDate,"Overdue","On track"))</f>
        <v/>
      </c>
      <c r="R20" s="22"/>
      <c r="S20" s="22"/>
      <c r="T20" s="20" t="str">
        <f t="shared" si="1"/>
        <v/>
      </c>
      <c r="U20" s="20" t="str">
        <f>IF($T20="","",IF($T20&gt;=HighScore,"High",IF($T20&gt;=MediumScore,"Medium","Low")))</f>
        <v/>
      </c>
      <c r="V20" s="20" t="str">
        <f t="shared" si="2"/>
        <v/>
      </c>
      <c r="W20" s="22"/>
      <c r="X20" s="23"/>
      <c r="Y20" s="23"/>
      <c r="Z20" s="22"/>
      <c r="AA20" s="23"/>
      <c r="AB20" s="21" t="str">
        <f>IF(OR($A20="",$AA20=""),"",EDATE($AA20,ReviewMonths))</f>
        <v/>
      </c>
      <c r="AC20" s="20" t="str">
        <f t="shared" si="3"/>
        <v/>
      </c>
    </row>
    <row r="21" spans="1:29" x14ac:dyDescent="0.35">
      <c r="A21" s="22"/>
      <c r="B21" s="27"/>
      <c r="C21" s="22"/>
      <c r="D21" s="27"/>
      <c r="E21" s="23"/>
      <c r="F21" s="22"/>
      <c r="G21" s="27"/>
      <c r="H21" s="27"/>
      <c r="I21" s="22"/>
      <c r="J21" s="22"/>
      <c r="K21" s="20" t="str">
        <f t="shared" si="0"/>
        <v/>
      </c>
      <c r="L21" s="20" t="str">
        <f>IF($K21="","",IF($K21&gt;=HighScore,"High",IF($K21&gt;=MediumScore,"Medium","Low")))</f>
        <v/>
      </c>
      <c r="M21" s="27"/>
      <c r="N21" s="22"/>
      <c r="O21" s="23"/>
      <c r="P21" s="22"/>
      <c r="Q21" s="20" t="str">
        <f>IF(OR($A21="",$O21="",$P21="Done"),"",IF($O21&lt;ReportDate,"Overdue","On track"))</f>
        <v/>
      </c>
      <c r="R21" s="22"/>
      <c r="S21" s="22"/>
      <c r="T21" s="20" t="str">
        <f t="shared" si="1"/>
        <v/>
      </c>
      <c r="U21" s="20" t="str">
        <f>IF($T21="","",IF($T21&gt;=HighScore,"High",IF($T21&gt;=MediumScore,"Medium","Low")))</f>
        <v/>
      </c>
      <c r="V21" s="20" t="str">
        <f t="shared" si="2"/>
        <v/>
      </c>
      <c r="W21" s="22"/>
      <c r="X21" s="23"/>
      <c r="Y21" s="23"/>
      <c r="Z21" s="22"/>
      <c r="AA21" s="23"/>
      <c r="AB21" s="21" t="str">
        <f>IF(OR($A21="",$AA21=""),"",EDATE($AA21,ReviewMonths))</f>
        <v/>
      </c>
      <c r="AC21" s="20" t="str">
        <f t="shared" si="3"/>
        <v/>
      </c>
    </row>
    <row r="22" spans="1:29" x14ac:dyDescent="0.35">
      <c r="A22" s="22"/>
      <c r="B22" s="27"/>
      <c r="C22" s="22"/>
      <c r="D22" s="27"/>
      <c r="E22" s="23"/>
      <c r="F22" s="22"/>
      <c r="G22" s="27"/>
      <c r="H22" s="27"/>
      <c r="I22" s="22"/>
      <c r="J22" s="22"/>
      <c r="K22" s="20" t="str">
        <f t="shared" si="0"/>
        <v/>
      </c>
      <c r="L22" s="20" t="str">
        <f>IF($K22="","",IF($K22&gt;=HighScore,"High",IF($K22&gt;=MediumScore,"Medium","Low")))</f>
        <v/>
      </c>
      <c r="M22" s="27"/>
      <c r="N22" s="22"/>
      <c r="O22" s="23"/>
      <c r="P22" s="22"/>
      <c r="Q22" s="20" t="str">
        <f>IF(OR($A22="",$O22="",$P22="Done"),"",IF($O22&lt;ReportDate,"Overdue","On track"))</f>
        <v/>
      </c>
      <c r="R22" s="22"/>
      <c r="S22" s="22"/>
      <c r="T22" s="20" t="str">
        <f t="shared" si="1"/>
        <v/>
      </c>
      <c r="U22" s="20" t="str">
        <f>IF($T22="","",IF($T22&gt;=HighScore,"High",IF($T22&gt;=MediumScore,"Medium","Low")))</f>
        <v/>
      </c>
      <c r="V22" s="20" t="str">
        <f t="shared" si="2"/>
        <v/>
      </c>
      <c r="W22" s="22"/>
      <c r="X22" s="23"/>
      <c r="Y22" s="23"/>
      <c r="Z22" s="22"/>
      <c r="AA22" s="23"/>
      <c r="AB22" s="21" t="str">
        <f>IF(OR($A22="",$AA22=""),"",EDATE($AA22,ReviewMonths))</f>
        <v/>
      </c>
      <c r="AC22" s="20" t="str">
        <f t="shared" si="3"/>
        <v/>
      </c>
    </row>
    <row r="23" spans="1:29" x14ac:dyDescent="0.35">
      <c r="A23" s="22"/>
      <c r="B23" s="27"/>
      <c r="C23" s="22"/>
      <c r="D23" s="27"/>
      <c r="E23" s="23"/>
      <c r="F23" s="22"/>
      <c r="G23" s="27"/>
      <c r="H23" s="27"/>
      <c r="I23" s="22"/>
      <c r="J23" s="22"/>
      <c r="K23" s="20" t="str">
        <f t="shared" si="0"/>
        <v/>
      </c>
      <c r="L23" s="20" t="str">
        <f>IF($K23="","",IF($K23&gt;=HighScore,"High",IF($K23&gt;=MediumScore,"Medium","Low")))</f>
        <v/>
      </c>
      <c r="M23" s="27"/>
      <c r="N23" s="22"/>
      <c r="O23" s="23"/>
      <c r="P23" s="22"/>
      <c r="Q23" s="20" t="str">
        <f>IF(OR($A23="",$O23="",$P23="Done"),"",IF($O23&lt;ReportDate,"Overdue","On track"))</f>
        <v/>
      </c>
      <c r="R23" s="22"/>
      <c r="S23" s="22"/>
      <c r="T23" s="20" t="str">
        <f t="shared" si="1"/>
        <v/>
      </c>
      <c r="U23" s="20" t="str">
        <f>IF($T23="","",IF($T23&gt;=HighScore,"High",IF($T23&gt;=MediumScore,"Medium","Low")))</f>
        <v/>
      </c>
      <c r="V23" s="20" t="str">
        <f t="shared" si="2"/>
        <v/>
      </c>
      <c r="W23" s="22"/>
      <c r="X23" s="23"/>
      <c r="Y23" s="23"/>
      <c r="Z23" s="22"/>
      <c r="AA23" s="23"/>
      <c r="AB23" s="21" t="str">
        <f>IF(OR($A23="",$AA23=""),"",EDATE($AA23,ReviewMonths))</f>
        <v/>
      </c>
      <c r="AC23" s="20" t="str">
        <f t="shared" si="3"/>
        <v/>
      </c>
    </row>
    <row r="24" spans="1:29" x14ac:dyDescent="0.35">
      <c r="A24" s="22"/>
      <c r="B24" s="27"/>
      <c r="C24" s="22"/>
      <c r="D24" s="27"/>
      <c r="E24" s="23"/>
      <c r="F24" s="22"/>
      <c r="G24" s="27"/>
      <c r="H24" s="27"/>
      <c r="I24" s="22"/>
      <c r="J24" s="22"/>
      <c r="K24" s="20" t="str">
        <f t="shared" si="0"/>
        <v/>
      </c>
      <c r="L24" s="20" t="str">
        <f>IF($K24="","",IF($K24&gt;=HighScore,"High",IF($K24&gt;=MediumScore,"Medium","Low")))</f>
        <v/>
      </c>
      <c r="M24" s="27"/>
      <c r="N24" s="22"/>
      <c r="O24" s="23"/>
      <c r="P24" s="22"/>
      <c r="Q24" s="20" t="str">
        <f>IF(OR($A24="",$O24="",$P24="Done"),"",IF($O24&lt;ReportDate,"Overdue","On track"))</f>
        <v/>
      </c>
      <c r="R24" s="22"/>
      <c r="S24" s="22"/>
      <c r="T24" s="20" t="str">
        <f t="shared" si="1"/>
        <v/>
      </c>
      <c r="U24" s="20" t="str">
        <f>IF($T24="","",IF($T24&gt;=HighScore,"High",IF($T24&gt;=MediumScore,"Medium","Low")))</f>
        <v/>
      </c>
      <c r="V24" s="20" t="str">
        <f t="shared" si="2"/>
        <v/>
      </c>
      <c r="W24" s="22"/>
      <c r="X24" s="23"/>
      <c r="Y24" s="23"/>
      <c r="Z24" s="22"/>
      <c r="AA24" s="23"/>
      <c r="AB24" s="21" t="str">
        <f>IF(OR($A24="",$AA24=""),"",EDATE($AA24,ReviewMonths))</f>
        <v/>
      </c>
      <c r="AC24" s="20" t="str">
        <f t="shared" si="3"/>
        <v/>
      </c>
    </row>
    <row r="25" spans="1:29" x14ac:dyDescent="0.35">
      <c r="A25" s="22"/>
      <c r="B25" s="27"/>
      <c r="C25" s="22"/>
      <c r="D25" s="27"/>
      <c r="E25" s="23"/>
      <c r="F25" s="22"/>
      <c r="G25" s="27"/>
      <c r="H25" s="27"/>
      <c r="I25" s="22"/>
      <c r="J25" s="22"/>
      <c r="K25" s="20" t="str">
        <f t="shared" si="0"/>
        <v/>
      </c>
      <c r="L25" s="20" t="str">
        <f>IF($K25="","",IF($K25&gt;=HighScore,"High",IF($K25&gt;=MediumScore,"Medium","Low")))</f>
        <v/>
      </c>
      <c r="M25" s="27"/>
      <c r="N25" s="22"/>
      <c r="O25" s="23"/>
      <c r="P25" s="22"/>
      <c r="Q25" s="20" t="str">
        <f>IF(OR($A25="",$O25="",$P25="Done"),"",IF($O25&lt;ReportDate,"Overdue","On track"))</f>
        <v/>
      </c>
      <c r="R25" s="22"/>
      <c r="S25" s="22"/>
      <c r="T25" s="20" t="str">
        <f t="shared" si="1"/>
        <v/>
      </c>
      <c r="U25" s="20" t="str">
        <f>IF($T25="","",IF($T25&gt;=HighScore,"High",IF($T25&gt;=MediumScore,"Medium","Low")))</f>
        <v/>
      </c>
      <c r="V25" s="20" t="str">
        <f t="shared" si="2"/>
        <v/>
      </c>
      <c r="W25" s="22"/>
      <c r="X25" s="23"/>
      <c r="Y25" s="23"/>
      <c r="Z25" s="22"/>
      <c r="AA25" s="23"/>
      <c r="AB25" s="21" t="str">
        <f>IF(OR($A25="",$AA25=""),"",EDATE($AA25,ReviewMonths))</f>
        <v/>
      </c>
      <c r="AC25" s="20" t="str">
        <f t="shared" si="3"/>
        <v/>
      </c>
    </row>
    <row r="26" spans="1:29" x14ac:dyDescent="0.35">
      <c r="A26" s="22"/>
      <c r="B26" s="27"/>
      <c r="C26" s="22"/>
      <c r="D26" s="27"/>
      <c r="E26" s="23"/>
      <c r="F26" s="22"/>
      <c r="G26" s="27"/>
      <c r="H26" s="27"/>
      <c r="I26" s="22"/>
      <c r="J26" s="22"/>
      <c r="K26" s="20" t="str">
        <f t="shared" si="0"/>
        <v/>
      </c>
      <c r="L26" s="20" t="str">
        <f>IF($K26="","",IF($K26&gt;=HighScore,"High",IF($K26&gt;=MediumScore,"Medium","Low")))</f>
        <v/>
      </c>
      <c r="M26" s="27"/>
      <c r="N26" s="22"/>
      <c r="O26" s="23"/>
      <c r="P26" s="22"/>
      <c r="Q26" s="20" t="str">
        <f>IF(OR($A26="",$O26="",$P26="Done"),"",IF($O26&lt;ReportDate,"Overdue","On track"))</f>
        <v/>
      </c>
      <c r="R26" s="22"/>
      <c r="S26" s="22"/>
      <c r="T26" s="20" t="str">
        <f t="shared" si="1"/>
        <v/>
      </c>
      <c r="U26" s="20" t="str">
        <f>IF($T26="","",IF($T26&gt;=HighScore,"High",IF($T26&gt;=MediumScore,"Medium","Low")))</f>
        <v/>
      </c>
      <c r="V26" s="20" t="str">
        <f t="shared" si="2"/>
        <v/>
      </c>
      <c r="W26" s="22"/>
      <c r="X26" s="23"/>
      <c r="Y26" s="23"/>
      <c r="Z26" s="22"/>
      <c r="AA26" s="23"/>
      <c r="AB26" s="21" t="str">
        <f>IF(OR($A26="",$AA26=""),"",EDATE($AA26,ReviewMonths))</f>
        <v/>
      </c>
      <c r="AC26" s="20" t="str">
        <f t="shared" si="3"/>
        <v/>
      </c>
    </row>
    <row r="27" spans="1:29" x14ac:dyDescent="0.35">
      <c r="A27" s="22"/>
      <c r="B27" s="27"/>
      <c r="C27" s="22"/>
      <c r="D27" s="27"/>
      <c r="E27" s="23"/>
      <c r="F27" s="22"/>
      <c r="G27" s="27"/>
      <c r="H27" s="27"/>
      <c r="I27" s="22"/>
      <c r="J27" s="22"/>
      <c r="K27" s="20" t="str">
        <f t="shared" si="0"/>
        <v/>
      </c>
      <c r="L27" s="20" t="str">
        <f>IF($K27="","",IF($K27&gt;=HighScore,"High",IF($K27&gt;=MediumScore,"Medium","Low")))</f>
        <v/>
      </c>
      <c r="M27" s="27"/>
      <c r="N27" s="22"/>
      <c r="O27" s="23"/>
      <c r="P27" s="22"/>
      <c r="Q27" s="20" t="str">
        <f>IF(OR($A27="",$O27="",$P27="Done"),"",IF($O27&lt;ReportDate,"Overdue","On track"))</f>
        <v/>
      </c>
      <c r="R27" s="22"/>
      <c r="S27" s="22"/>
      <c r="T27" s="20" t="str">
        <f t="shared" si="1"/>
        <v/>
      </c>
      <c r="U27" s="20" t="str">
        <f>IF($T27="","",IF($T27&gt;=HighScore,"High",IF($T27&gt;=MediumScore,"Medium","Low")))</f>
        <v/>
      </c>
      <c r="V27" s="20" t="str">
        <f t="shared" si="2"/>
        <v/>
      </c>
      <c r="W27" s="22"/>
      <c r="X27" s="23"/>
      <c r="Y27" s="23"/>
      <c r="Z27" s="22"/>
      <c r="AA27" s="23"/>
      <c r="AB27" s="21" t="str">
        <f>IF(OR($A27="",$AA27=""),"",EDATE($AA27,ReviewMonths))</f>
        <v/>
      </c>
      <c r="AC27" s="20" t="str">
        <f t="shared" si="3"/>
        <v/>
      </c>
    </row>
    <row r="28" spans="1:29" x14ac:dyDescent="0.35">
      <c r="A28" s="22"/>
      <c r="B28" s="27"/>
      <c r="C28" s="22"/>
      <c r="D28" s="27"/>
      <c r="E28" s="23"/>
      <c r="F28" s="22"/>
      <c r="G28" s="27"/>
      <c r="H28" s="27"/>
      <c r="I28" s="22"/>
      <c r="J28" s="22"/>
      <c r="K28" s="20" t="str">
        <f t="shared" si="0"/>
        <v/>
      </c>
      <c r="L28" s="20" t="str">
        <f>IF($K28="","",IF($K28&gt;=HighScore,"High",IF($K28&gt;=MediumScore,"Medium","Low")))</f>
        <v/>
      </c>
      <c r="M28" s="27"/>
      <c r="N28" s="22"/>
      <c r="O28" s="23"/>
      <c r="P28" s="22"/>
      <c r="Q28" s="20" t="str">
        <f>IF(OR($A28="",$O28="",$P28="Done"),"",IF($O28&lt;ReportDate,"Overdue","On track"))</f>
        <v/>
      </c>
      <c r="R28" s="22"/>
      <c r="S28" s="22"/>
      <c r="T28" s="20" t="str">
        <f t="shared" si="1"/>
        <v/>
      </c>
      <c r="U28" s="20" t="str">
        <f>IF($T28="","",IF($T28&gt;=HighScore,"High",IF($T28&gt;=MediumScore,"Medium","Low")))</f>
        <v/>
      </c>
      <c r="V28" s="20" t="str">
        <f t="shared" si="2"/>
        <v/>
      </c>
      <c r="W28" s="22"/>
      <c r="X28" s="23"/>
      <c r="Y28" s="23"/>
      <c r="Z28" s="22"/>
      <c r="AA28" s="23"/>
      <c r="AB28" s="21" t="str">
        <f>IF(OR($A28="",$AA28=""),"",EDATE($AA28,ReviewMonths))</f>
        <v/>
      </c>
      <c r="AC28" s="20" t="str">
        <f t="shared" si="3"/>
        <v/>
      </c>
    </row>
    <row r="29" spans="1:29" x14ac:dyDescent="0.35">
      <c r="A29" s="22"/>
      <c r="B29" s="27"/>
      <c r="C29" s="22"/>
      <c r="D29" s="27"/>
      <c r="E29" s="23"/>
      <c r="F29" s="22"/>
      <c r="G29" s="27"/>
      <c r="H29" s="27"/>
      <c r="I29" s="22"/>
      <c r="J29" s="22"/>
      <c r="K29" s="20" t="str">
        <f t="shared" si="0"/>
        <v/>
      </c>
      <c r="L29" s="20" t="str">
        <f>IF($K29="","",IF($K29&gt;=HighScore,"High",IF($K29&gt;=MediumScore,"Medium","Low")))</f>
        <v/>
      </c>
      <c r="M29" s="27"/>
      <c r="N29" s="22"/>
      <c r="O29" s="23"/>
      <c r="P29" s="22"/>
      <c r="Q29" s="20" t="str">
        <f>IF(OR($A29="",$O29="",$P29="Done"),"",IF($O29&lt;ReportDate,"Overdue","On track"))</f>
        <v/>
      </c>
      <c r="R29" s="22"/>
      <c r="S29" s="22"/>
      <c r="T29" s="20" t="str">
        <f t="shared" si="1"/>
        <v/>
      </c>
      <c r="U29" s="20" t="str">
        <f>IF($T29="","",IF($T29&gt;=HighScore,"High",IF($T29&gt;=MediumScore,"Medium","Low")))</f>
        <v/>
      </c>
      <c r="V29" s="20" t="str">
        <f t="shared" si="2"/>
        <v/>
      </c>
      <c r="W29" s="22"/>
      <c r="X29" s="23"/>
      <c r="Y29" s="23"/>
      <c r="Z29" s="22"/>
      <c r="AA29" s="23"/>
      <c r="AB29" s="21" t="str">
        <f>IF(OR($A29="",$AA29=""),"",EDATE($AA29,ReviewMonths))</f>
        <v/>
      </c>
      <c r="AC29" s="20" t="str">
        <f t="shared" si="3"/>
        <v/>
      </c>
    </row>
    <row r="30" spans="1:29" x14ac:dyDescent="0.35">
      <c r="A30" s="22"/>
      <c r="B30" s="27"/>
      <c r="C30" s="22"/>
      <c r="D30" s="27"/>
      <c r="E30" s="23"/>
      <c r="F30" s="22"/>
      <c r="G30" s="27"/>
      <c r="H30" s="27"/>
      <c r="I30" s="22"/>
      <c r="J30" s="22"/>
      <c r="K30" s="20" t="str">
        <f t="shared" si="0"/>
        <v/>
      </c>
      <c r="L30" s="20" t="str">
        <f>IF($K30="","",IF($K30&gt;=HighScore,"High",IF($K30&gt;=MediumScore,"Medium","Low")))</f>
        <v/>
      </c>
      <c r="M30" s="27"/>
      <c r="N30" s="22"/>
      <c r="O30" s="23"/>
      <c r="P30" s="22"/>
      <c r="Q30" s="20" t="str">
        <f>IF(OR($A30="",$O30="",$P30="Done"),"",IF($O30&lt;ReportDate,"Overdue","On track"))</f>
        <v/>
      </c>
      <c r="R30" s="22"/>
      <c r="S30" s="22"/>
      <c r="T30" s="20" t="str">
        <f t="shared" si="1"/>
        <v/>
      </c>
      <c r="U30" s="20" t="str">
        <f>IF($T30="","",IF($T30&gt;=HighScore,"High",IF($T30&gt;=MediumScore,"Medium","Low")))</f>
        <v/>
      </c>
      <c r="V30" s="20" t="str">
        <f t="shared" si="2"/>
        <v/>
      </c>
      <c r="W30" s="22"/>
      <c r="X30" s="23"/>
      <c r="Y30" s="23"/>
      <c r="Z30" s="22"/>
      <c r="AA30" s="23"/>
      <c r="AB30" s="21" t="str">
        <f>IF(OR($A30="",$AA30=""),"",EDATE($AA30,ReviewMonths))</f>
        <v/>
      </c>
      <c r="AC30" s="20" t="str">
        <f t="shared" si="3"/>
        <v/>
      </c>
    </row>
    <row r="31" spans="1:29" x14ac:dyDescent="0.35">
      <c r="A31" s="22"/>
      <c r="B31" s="27"/>
      <c r="C31" s="22"/>
      <c r="D31" s="27"/>
      <c r="E31" s="23"/>
      <c r="F31" s="22"/>
      <c r="G31" s="27"/>
      <c r="H31" s="27"/>
      <c r="I31" s="22"/>
      <c r="J31" s="22"/>
      <c r="K31" s="20" t="str">
        <f t="shared" si="0"/>
        <v/>
      </c>
      <c r="L31" s="20" t="str">
        <f>IF($K31="","",IF($K31&gt;=HighScore,"High",IF($K31&gt;=MediumScore,"Medium","Low")))</f>
        <v/>
      </c>
      <c r="M31" s="27"/>
      <c r="N31" s="22"/>
      <c r="O31" s="23"/>
      <c r="P31" s="22"/>
      <c r="Q31" s="20" t="str">
        <f>IF(OR($A31="",$O31="",$P31="Done"),"",IF($O31&lt;ReportDate,"Overdue","On track"))</f>
        <v/>
      </c>
      <c r="R31" s="22"/>
      <c r="S31" s="22"/>
      <c r="T31" s="20" t="str">
        <f t="shared" si="1"/>
        <v/>
      </c>
      <c r="U31" s="20" t="str">
        <f>IF($T31="","",IF($T31&gt;=HighScore,"High",IF($T31&gt;=MediumScore,"Medium","Low")))</f>
        <v/>
      </c>
      <c r="V31" s="20" t="str">
        <f t="shared" si="2"/>
        <v/>
      </c>
      <c r="W31" s="22"/>
      <c r="X31" s="23"/>
      <c r="Y31" s="23"/>
      <c r="Z31" s="22"/>
      <c r="AA31" s="23"/>
      <c r="AB31" s="21" t="str">
        <f>IF(OR($A31="",$AA31=""),"",EDATE($AA31,ReviewMonths))</f>
        <v/>
      </c>
      <c r="AC31" s="20" t="str">
        <f t="shared" si="3"/>
        <v/>
      </c>
    </row>
    <row r="32" spans="1:29" x14ac:dyDescent="0.35">
      <c r="A32" s="22"/>
      <c r="B32" s="27"/>
      <c r="C32" s="22"/>
      <c r="D32" s="27"/>
      <c r="E32" s="23"/>
      <c r="F32" s="22"/>
      <c r="G32" s="27"/>
      <c r="H32" s="27"/>
      <c r="I32" s="22"/>
      <c r="J32" s="22"/>
      <c r="K32" s="20" t="str">
        <f t="shared" si="0"/>
        <v/>
      </c>
      <c r="L32" s="20" t="str">
        <f>IF($K32="","",IF($K32&gt;=HighScore,"High",IF($K32&gt;=MediumScore,"Medium","Low")))</f>
        <v/>
      </c>
      <c r="M32" s="27"/>
      <c r="N32" s="22"/>
      <c r="O32" s="23"/>
      <c r="P32" s="22"/>
      <c r="Q32" s="20" t="str">
        <f>IF(OR($A32="",$O32="",$P32="Done"),"",IF($O32&lt;ReportDate,"Overdue","On track"))</f>
        <v/>
      </c>
      <c r="R32" s="22"/>
      <c r="S32" s="22"/>
      <c r="T32" s="20" t="str">
        <f t="shared" si="1"/>
        <v/>
      </c>
      <c r="U32" s="20" t="str">
        <f>IF($T32="","",IF($T32&gt;=HighScore,"High",IF($T32&gt;=MediumScore,"Medium","Low")))</f>
        <v/>
      </c>
      <c r="V32" s="20" t="str">
        <f t="shared" si="2"/>
        <v/>
      </c>
      <c r="W32" s="22"/>
      <c r="X32" s="23"/>
      <c r="Y32" s="23"/>
      <c r="Z32" s="22"/>
      <c r="AA32" s="23"/>
      <c r="AB32" s="21" t="str">
        <f>IF(OR($A32="",$AA32=""),"",EDATE($AA32,ReviewMonths))</f>
        <v/>
      </c>
      <c r="AC32" s="20" t="str">
        <f t="shared" si="3"/>
        <v/>
      </c>
    </row>
    <row r="33" spans="1:29" x14ac:dyDescent="0.35">
      <c r="A33" s="22"/>
      <c r="B33" s="27"/>
      <c r="C33" s="22"/>
      <c r="D33" s="27"/>
      <c r="E33" s="23"/>
      <c r="F33" s="22"/>
      <c r="G33" s="27"/>
      <c r="H33" s="27"/>
      <c r="I33" s="22"/>
      <c r="J33" s="22"/>
      <c r="K33" s="20" t="str">
        <f t="shared" si="0"/>
        <v/>
      </c>
      <c r="L33" s="20" t="str">
        <f>IF($K33="","",IF($K33&gt;=HighScore,"High",IF($K33&gt;=MediumScore,"Medium","Low")))</f>
        <v/>
      </c>
      <c r="M33" s="27"/>
      <c r="N33" s="22"/>
      <c r="O33" s="23"/>
      <c r="P33" s="22"/>
      <c r="Q33" s="20" t="str">
        <f>IF(OR($A33="",$O33="",$P33="Done"),"",IF($O33&lt;ReportDate,"Overdue","On track"))</f>
        <v/>
      </c>
      <c r="R33" s="22"/>
      <c r="S33" s="22"/>
      <c r="T33" s="20" t="str">
        <f t="shared" si="1"/>
        <v/>
      </c>
      <c r="U33" s="20" t="str">
        <f>IF($T33="","",IF($T33&gt;=HighScore,"High",IF($T33&gt;=MediumScore,"Medium","Low")))</f>
        <v/>
      </c>
      <c r="V33" s="20" t="str">
        <f t="shared" si="2"/>
        <v/>
      </c>
      <c r="W33" s="22"/>
      <c r="X33" s="23"/>
      <c r="Y33" s="23"/>
      <c r="Z33" s="22"/>
      <c r="AA33" s="23"/>
      <c r="AB33" s="21" t="str">
        <f>IF(OR($A33="",$AA33=""),"",EDATE($AA33,ReviewMonths))</f>
        <v/>
      </c>
      <c r="AC33" s="20" t="str">
        <f t="shared" si="3"/>
        <v/>
      </c>
    </row>
    <row r="34" spans="1:29" x14ac:dyDescent="0.35">
      <c r="A34" s="22"/>
      <c r="B34" s="27"/>
      <c r="C34" s="22"/>
      <c r="D34" s="27"/>
      <c r="E34" s="23"/>
      <c r="F34" s="22"/>
      <c r="G34" s="27"/>
      <c r="H34" s="27"/>
      <c r="I34" s="22"/>
      <c r="J34" s="22"/>
      <c r="K34" s="20" t="str">
        <f t="shared" ref="K34:K51" si="4">IF(OR($A34="",$I34="",$J34=""),"",$I34*$J34)</f>
        <v/>
      </c>
      <c r="L34" s="20" t="str">
        <f>IF($K34="","",IF($K34&gt;=HighScore,"High",IF($K34&gt;=MediumScore,"Medium","Low")))</f>
        <v/>
      </c>
      <c r="M34" s="27"/>
      <c r="N34" s="22"/>
      <c r="O34" s="23"/>
      <c r="P34" s="22"/>
      <c r="Q34" s="20" t="str">
        <f>IF(OR($A34="",$O34="",$P34="Done"),"",IF($O34&lt;ReportDate,"Overdue","On track"))</f>
        <v/>
      </c>
      <c r="R34" s="22"/>
      <c r="S34" s="22"/>
      <c r="T34" s="20" t="str">
        <f t="shared" ref="T34:T51" si="5">IF(OR($A34="",$R34="",$S34=""),"",$R34*$S34)</f>
        <v/>
      </c>
      <c r="U34" s="20" t="str">
        <f>IF($T34="","",IF($T34&gt;=HighScore,"High",IF($T34&gt;=MediumScore,"Medium","Low")))</f>
        <v/>
      </c>
      <c r="V34" s="20" t="str">
        <f t="shared" ref="V34:V51" si="6">IF(OR($A34="",$F34&lt;&gt;"Y",$U34=""),"",IF($U34="High","Consult DPC (Art 36)","Not required"))</f>
        <v/>
      </c>
      <c r="W34" s="22"/>
      <c r="X34" s="23"/>
      <c r="Y34" s="23"/>
      <c r="Z34" s="22"/>
      <c r="AA34" s="23"/>
      <c r="AB34" s="21" t="str">
        <f>IF(OR($A34="",$AA34=""),"",EDATE($AA34,ReviewMonths))</f>
        <v/>
      </c>
      <c r="AC34" s="20" t="str">
        <f t="shared" ref="AC34:AC51" si="7">IF($A34="","",IF(IF(OR($B34="",$C34="",$E34="",$F34=""),"missing required field; ","")&amp;IF(COUNTIF($A$2:$A$51,$A34)&gt;1,"duplicate ID; ","")&amp;IF(AND($F34="Y",OR($I34="",$J34="")),"inherent scores missing; ","")&amp;IF(AND($F34="Y",$M34=""),"mitigation action missing; ","")&amp;IF(AND($M34&lt;&gt;"",OR($N34="",$O34="",$P34="")),"action owner, due date or status missing; ","")&amp;IF(AND($T34&lt;&gt;"",$K34&lt;&gt;"",$T34&gt;$K34),"residual score above inherent; ","")&amp;IF(AND($V34="Consult DPC (Art 36)",OR($W34="",$W34="Not started",$W34="Not required")),"Art 36 consultation not started; ","")&amp;IF(AND($V34="Consult DPC (Art 36)",$AA34&lt;&gt;"",OR($Y34="",$AA34&lt;$Y34)),"approved before DPC advice; ","")&amp;IF(AND($W34="Submitted to DPC",$X34=""),"submission date missing; ","")&amp;IF(AND($W34="DPC advice received",$Y34=""),"DPC response date missing; ","")&amp;IF(AND($Y34&lt;&gt;"",$X34&lt;&gt;"",$Y34&lt;$X34),"DPC response before submission; ","")&amp;IF(AND($AA34&lt;&gt;"",$Z34=""),"approver missing; ","")&amp;IF(AND($Z34&lt;&gt;"",$AA34=""),"approval date missing; ","")&amp;IF(AND($AA34&lt;&gt;"",$E34&lt;&gt;"",$AA34&lt;$E34),"approved before screening; ","")="","OK","Check: "&amp;IF(OR($B34="",$C34="",$E34="",$F34=""),"missing required field; ","")&amp;IF(COUNTIF($A$2:$A$51,$A34)&gt;1,"duplicate ID; ","")&amp;IF(AND($F34="Y",OR($I34="",$J34="")),"inherent scores missing; ","")&amp;IF(AND($F34="Y",$M34=""),"mitigation action missing; ","")&amp;IF(AND($M34&lt;&gt;"",OR($N34="",$O34="",$P34="")),"action owner, due date or status missing; ","")&amp;IF(AND($T34&lt;&gt;"",$K34&lt;&gt;"",$T34&gt;$K34),"residual score above inherent; ","")&amp;IF(AND($V34="Consult DPC (Art 36)",OR($W34="",$W34="Not started",$W34="Not required")),"Art 36 consultation not started; ","")&amp;IF(AND($V34="Consult DPC (Art 36)",$AA34&lt;&gt;"",OR($Y34="",$AA34&lt;$Y34)),"approved before DPC advice; ","")&amp;IF(AND($W34="Submitted to DPC",$X34=""),"submission date missing; ","")&amp;IF(AND($W34="DPC advice received",$Y34=""),"DPC response date missing; ","")&amp;IF(AND($Y34&lt;&gt;"",$X34&lt;&gt;"",$Y34&lt;$X34),"DPC response before submission; ","")&amp;IF(AND($AA34&lt;&gt;"",$Z34=""),"approver missing; ","")&amp;IF(AND($Z34&lt;&gt;"",$AA34=""),"approval date missing; ","")&amp;IF(AND($AA34&lt;&gt;"",$E34&lt;&gt;"",$AA34&lt;$E34),"approved before screening; ","")))</f>
        <v/>
      </c>
    </row>
    <row r="35" spans="1:29" x14ac:dyDescent="0.35">
      <c r="A35" s="22"/>
      <c r="B35" s="27"/>
      <c r="C35" s="22"/>
      <c r="D35" s="27"/>
      <c r="E35" s="23"/>
      <c r="F35" s="22"/>
      <c r="G35" s="27"/>
      <c r="H35" s="27"/>
      <c r="I35" s="22"/>
      <c r="J35" s="22"/>
      <c r="K35" s="20" t="str">
        <f t="shared" si="4"/>
        <v/>
      </c>
      <c r="L35" s="20" t="str">
        <f>IF($K35="","",IF($K35&gt;=HighScore,"High",IF($K35&gt;=MediumScore,"Medium","Low")))</f>
        <v/>
      </c>
      <c r="M35" s="27"/>
      <c r="N35" s="22"/>
      <c r="O35" s="23"/>
      <c r="P35" s="22"/>
      <c r="Q35" s="20" t="str">
        <f>IF(OR($A35="",$O35="",$P35="Done"),"",IF($O35&lt;ReportDate,"Overdue","On track"))</f>
        <v/>
      </c>
      <c r="R35" s="22"/>
      <c r="S35" s="22"/>
      <c r="T35" s="20" t="str">
        <f t="shared" si="5"/>
        <v/>
      </c>
      <c r="U35" s="20" t="str">
        <f>IF($T35="","",IF($T35&gt;=HighScore,"High",IF($T35&gt;=MediumScore,"Medium","Low")))</f>
        <v/>
      </c>
      <c r="V35" s="20" t="str">
        <f t="shared" si="6"/>
        <v/>
      </c>
      <c r="W35" s="22"/>
      <c r="X35" s="23"/>
      <c r="Y35" s="23"/>
      <c r="Z35" s="22"/>
      <c r="AA35" s="23"/>
      <c r="AB35" s="21" t="str">
        <f>IF(OR($A35="",$AA35=""),"",EDATE($AA35,ReviewMonths))</f>
        <v/>
      </c>
      <c r="AC35" s="20" t="str">
        <f t="shared" si="7"/>
        <v/>
      </c>
    </row>
    <row r="36" spans="1:29" x14ac:dyDescent="0.35">
      <c r="A36" s="22"/>
      <c r="B36" s="27"/>
      <c r="C36" s="22"/>
      <c r="D36" s="27"/>
      <c r="E36" s="23"/>
      <c r="F36" s="22"/>
      <c r="G36" s="27"/>
      <c r="H36" s="27"/>
      <c r="I36" s="22"/>
      <c r="J36" s="22"/>
      <c r="K36" s="20" t="str">
        <f t="shared" si="4"/>
        <v/>
      </c>
      <c r="L36" s="20" t="str">
        <f>IF($K36="","",IF($K36&gt;=HighScore,"High",IF($K36&gt;=MediumScore,"Medium","Low")))</f>
        <v/>
      </c>
      <c r="M36" s="27"/>
      <c r="N36" s="22"/>
      <c r="O36" s="23"/>
      <c r="P36" s="22"/>
      <c r="Q36" s="20" t="str">
        <f>IF(OR($A36="",$O36="",$P36="Done"),"",IF($O36&lt;ReportDate,"Overdue","On track"))</f>
        <v/>
      </c>
      <c r="R36" s="22"/>
      <c r="S36" s="22"/>
      <c r="T36" s="20" t="str">
        <f t="shared" si="5"/>
        <v/>
      </c>
      <c r="U36" s="20" t="str">
        <f>IF($T36="","",IF($T36&gt;=HighScore,"High",IF($T36&gt;=MediumScore,"Medium","Low")))</f>
        <v/>
      </c>
      <c r="V36" s="20" t="str">
        <f t="shared" si="6"/>
        <v/>
      </c>
      <c r="W36" s="22"/>
      <c r="X36" s="23"/>
      <c r="Y36" s="23"/>
      <c r="Z36" s="22"/>
      <c r="AA36" s="23"/>
      <c r="AB36" s="21" t="str">
        <f>IF(OR($A36="",$AA36=""),"",EDATE($AA36,ReviewMonths))</f>
        <v/>
      </c>
      <c r="AC36" s="20" t="str">
        <f t="shared" si="7"/>
        <v/>
      </c>
    </row>
    <row r="37" spans="1:29" x14ac:dyDescent="0.35">
      <c r="A37" s="22"/>
      <c r="B37" s="27"/>
      <c r="C37" s="22"/>
      <c r="D37" s="27"/>
      <c r="E37" s="23"/>
      <c r="F37" s="22"/>
      <c r="G37" s="27"/>
      <c r="H37" s="27"/>
      <c r="I37" s="22"/>
      <c r="J37" s="22"/>
      <c r="K37" s="20" t="str">
        <f t="shared" si="4"/>
        <v/>
      </c>
      <c r="L37" s="20" t="str">
        <f>IF($K37="","",IF($K37&gt;=HighScore,"High",IF($K37&gt;=MediumScore,"Medium","Low")))</f>
        <v/>
      </c>
      <c r="M37" s="27"/>
      <c r="N37" s="22"/>
      <c r="O37" s="23"/>
      <c r="P37" s="22"/>
      <c r="Q37" s="20" t="str">
        <f>IF(OR($A37="",$O37="",$P37="Done"),"",IF($O37&lt;ReportDate,"Overdue","On track"))</f>
        <v/>
      </c>
      <c r="R37" s="22"/>
      <c r="S37" s="22"/>
      <c r="T37" s="20" t="str">
        <f t="shared" si="5"/>
        <v/>
      </c>
      <c r="U37" s="20" t="str">
        <f>IF($T37="","",IF($T37&gt;=HighScore,"High",IF($T37&gt;=MediumScore,"Medium","Low")))</f>
        <v/>
      </c>
      <c r="V37" s="20" t="str">
        <f t="shared" si="6"/>
        <v/>
      </c>
      <c r="W37" s="22"/>
      <c r="X37" s="23"/>
      <c r="Y37" s="23"/>
      <c r="Z37" s="22"/>
      <c r="AA37" s="23"/>
      <c r="AB37" s="21" t="str">
        <f>IF(OR($A37="",$AA37=""),"",EDATE($AA37,ReviewMonths))</f>
        <v/>
      </c>
      <c r="AC37" s="20" t="str">
        <f t="shared" si="7"/>
        <v/>
      </c>
    </row>
    <row r="38" spans="1:29" x14ac:dyDescent="0.35">
      <c r="A38" s="22"/>
      <c r="B38" s="27"/>
      <c r="C38" s="22"/>
      <c r="D38" s="27"/>
      <c r="E38" s="23"/>
      <c r="F38" s="22"/>
      <c r="G38" s="27"/>
      <c r="H38" s="27"/>
      <c r="I38" s="22"/>
      <c r="J38" s="22"/>
      <c r="K38" s="20" t="str">
        <f t="shared" si="4"/>
        <v/>
      </c>
      <c r="L38" s="20" t="str">
        <f>IF($K38="","",IF($K38&gt;=HighScore,"High",IF($K38&gt;=MediumScore,"Medium","Low")))</f>
        <v/>
      </c>
      <c r="M38" s="27"/>
      <c r="N38" s="22"/>
      <c r="O38" s="23"/>
      <c r="P38" s="22"/>
      <c r="Q38" s="20" t="str">
        <f>IF(OR($A38="",$O38="",$P38="Done"),"",IF($O38&lt;ReportDate,"Overdue","On track"))</f>
        <v/>
      </c>
      <c r="R38" s="22"/>
      <c r="S38" s="22"/>
      <c r="T38" s="20" t="str">
        <f t="shared" si="5"/>
        <v/>
      </c>
      <c r="U38" s="20" t="str">
        <f>IF($T38="","",IF($T38&gt;=HighScore,"High",IF($T38&gt;=MediumScore,"Medium","Low")))</f>
        <v/>
      </c>
      <c r="V38" s="20" t="str">
        <f t="shared" si="6"/>
        <v/>
      </c>
      <c r="W38" s="22"/>
      <c r="X38" s="23"/>
      <c r="Y38" s="23"/>
      <c r="Z38" s="22"/>
      <c r="AA38" s="23"/>
      <c r="AB38" s="21" t="str">
        <f>IF(OR($A38="",$AA38=""),"",EDATE($AA38,ReviewMonths))</f>
        <v/>
      </c>
      <c r="AC38" s="20" t="str">
        <f t="shared" si="7"/>
        <v/>
      </c>
    </row>
    <row r="39" spans="1:29" x14ac:dyDescent="0.35">
      <c r="A39" s="22"/>
      <c r="B39" s="27"/>
      <c r="C39" s="22"/>
      <c r="D39" s="27"/>
      <c r="E39" s="23"/>
      <c r="F39" s="22"/>
      <c r="G39" s="27"/>
      <c r="H39" s="27"/>
      <c r="I39" s="22"/>
      <c r="J39" s="22"/>
      <c r="K39" s="20" t="str">
        <f t="shared" si="4"/>
        <v/>
      </c>
      <c r="L39" s="20" t="str">
        <f>IF($K39="","",IF($K39&gt;=HighScore,"High",IF($K39&gt;=MediumScore,"Medium","Low")))</f>
        <v/>
      </c>
      <c r="M39" s="27"/>
      <c r="N39" s="22"/>
      <c r="O39" s="23"/>
      <c r="P39" s="22"/>
      <c r="Q39" s="20" t="str">
        <f>IF(OR($A39="",$O39="",$P39="Done"),"",IF($O39&lt;ReportDate,"Overdue","On track"))</f>
        <v/>
      </c>
      <c r="R39" s="22"/>
      <c r="S39" s="22"/>
      <c r="T39" s="20" t="str">
        <f t="shared" si="5"/>
        <v/>
      </c>
      <c r="U39" s="20" t="str">
        <f>IF($T39="","",IF($T39&gt;=HighScore,"High",IF($T39&gt;=MediumScore,"Medium","Low")))</f>
        <v/>
      </c>
      <c r="V39" s="20" t="str">
        <f t="shared" si="6"/>
        <v/>
      </c>
      <c r="W39" s="22"/>
      <c r="X39" s="23"/>
      <c r="Y39" s="23"/>
      <c r="Z39" s="22"/>
      <c r="AA39" s="23"/>
      <c r="AB39" s="21" t="str">
        <f>IF(OR($A39="",$AA39=""),"",EDATE($AA39,ReviewMonths))</f>
        <v/>
      </c>
      <c r="AC39" s="20" t="str">
        <f t="shared" si="7"/>
        <v/>
      </c>
    </row>
    <row r="40" spans="1:29" x14ac:dyDescent="0.35">
      <c r="A40" s="22"/>
      <c r="B40" s="27"/>
      <c r="C40" s="22"/>
      <c r="D40" s="27"/>
      <c r="E40" s="23"/>
      <c r="F40" s="22"/>
      <c r="G40" s="27"/>
      <c r="H40" s="27"/>
      <c r="I40" s="22"/>
      <c r="J40" s="22"/>
      <c r="K40" s="20" t="str">
        <f t="shared" si="4"/>
        <v/>
      </c>
      <c r="L40" s="20" t="str">
        <f>IF($K40="","",IF($K40&gt;=HighScore,"High",IF($K40&gt;=MediumScore,"Medium","Low")))</f>
        <v/>
      </c>
      <c r="M40" s="27"/>
      <c r="N40" s="22"/>
      <c r="O40" s="23"/>
      <c r="P40" s="22"/>
      <c r="Q40" s="20" t="str">
        <f>IF(OR($A40="",$O40="",$P40="Done"),"",IF($O40&lt;ReportDate,"Overdue","On track"))</f>
        <v/>
      </c>
      <c r="R40" s="22"/>
      <c r="S40" s="22"/>
      <c r="T40" s="20" t="str">
        <f t="shared" si="5"/>
        <v/>
      </c>
      <c r="U40" s="20" t="str">
        <f>IF($T40="","",IF($T40&gt;=HighScore,"High",IF($T40&gt;=MediumScore,"Medium","Low")))</f>
        <v/>
      </c>
      <c r="V40" s="20" t="str">
        <f t="shared" si="6"/>
        <v/>
      </c>
      <c r="W40" s="22"/>
      <c r="X40" s="23"/>
      <c r="Y40" s="23"/>
      <c r="Z40" s="22"/>
      <c r="AA40" s="23"/>
      <c r="AB40" s="21" t="str">
        <f>IF(OR($A40="",$AA40=""),"",EDATE($AA40,ReviewMonths))</f>
        <v/>
      </c>
      <c r="AC40" s="20" t="str">
        <f t="shared" si="7"/>
        <v/>
      </c>
    </row>
    <row r="41" spans="1:29" x14ac:dyDescent="0.35">
      <c r="A41" s="22"/>
      <c r="B41" s="27"/>
      <c r="C41" s="22"/>
      <c r="D41" s="27"/>
      <c r="E41" s="23"/>
      <c r="F41" s="22"/>
      <c r="G41" s="27"/>
      <c r="H41" s="27"/>
      <c r="I41" s="22"/>
      <c r="J41" s="22"/>
      <c r="K41" s="20" t="str">
        <f t="shared" si="4"/>
        <v/>
      </c>
      <c r="L41" s="20" t="str">
        <f>IF($K41="","",IF($K41&gt;=HighScore,"High",IF($K41&gt;=MediumScore,"Medium","Low")))</f>
        <v/>
      </c>
      <c r="M41" s="27"/>
      <c r="N41" s="22"/>
      <c r="O41" s="23"/>
      <c r="P41" s="22"/>
      <c r="Q41" s="20" t="str">
        <f>IF(OR($A41="",$O41="",$P41="Done"),"",IF($O41&lt;ReportDate,"Overdue","On track"))</f>
        <v/>
      </c>
      <c r="R41" s="22"/>
      <c r="S41" s="22"/>
      <c r="T41" s="20" t="str">
        <f t="shared" si="5"/>
        <v/>
      </c>
      <c r="U41" s="20" t="str">
        <f>IF($T41="","",IF($T41&gt;=HighScore,"High",IF($T41&gt;=MediumScore,"Medium","Low")))</f>
        <v/>
      </c>
      <c r="V41" s="20" t="str">
        <f t="shared" si="6"/>
        <v/>
      </c>
      <c r="W41" s="22"/>
      <c r="X41" s="23"/>
      <c r="Y41" s="23"/>
      <c r="Z41" s="22"/>
      <c r="AA41" s="23"/>
      <c r="AB41" s="21" t="str">
        <f>IF(OR($A41="",$AA41=""),"",EDATE($AA41,ReviewMonths))</f>
        <v/>
      </c>
      <c r="AC41" s="20" t="str">
        <f t="shared" si="7"/>
        <v/>
      </c>
    </row>
    <row r="42" spans="1:29" x14ac:dyDescent="0.35">
      <c r="A42" s="22"/>
      <c r="B42" s="27"/>
      <c r="C42" s="22"/>
      <c r="D42" s="27"/>
      <c r="E42" s="23"/>
      <c r="F42" s="22"/>
      <c r="G42" s="27"/>
      <c r="H42" s="27"/>
      <c r="I42" s="22"/>
      <c r="J42" s="22"/>
      <c r="K42" s="20" t="str">
        <f t="shared" si="4"/>
        <v/>
      </c>
      <c r="L42" s="20" t="str">
        <f>IF($K42="","",IF($K42&gt;=HighScore,"High",IF($K42&gt;=MediumScore,"Medium","Low")))</f>
        <v/>
      </c>
      <c r="M42" s="27"/>
      <c r="N42" s="22"/>
      <c r="O42" s="23"/>
      <c r="P42" s="22"/>
      <c r="Q42" s="20" t="str">
        <f>IF(OR($A42="",$O42="",$P42="Done"),"",IF($O42&lt;ReportDate,"Overdue","On track"))</f>
        <v/>
      </c>
      <c r="R42" s="22"/>
      <c r="S42" s="22"/>
      <c r="T42" s="20" t="str">
        <f t="shared" si="5"/>
        <v/>
      </c>
      <c r="U42" s="20" t="str">
        <f>IF($T42="","",IF($T42&gt;=HighScore,"High",IF($T42&gt;=MediumScore,"Medium","Low")))</f>
        <v/>
      </c>
      <c r="V42" s="20" t="str">
        <f t="shared" si="6"/>
        <v/>
      </c>
      <c r="W42" s="22"/>
      <c r="X42" s="23"/>
      <c r="Y42" s="23"/>
      <c r="Z42" s="22"/>
      <c r="AA42" s="23"/>
      <c r="AB42" s="21" t="str">
        <f>IF(OR($A42="",$AA42=""),"",EDATE($AA42,ReviewMonths))</f>
        <v/>
      </c>
      <c r="AC42" s="20" t="str">
        <f t="shared" si="7"/>
        <v/>
      </c>
    </row>
    <row r="43" spans="1:29" x14ac:dyDescent="0.35">
      <c r="A43" s="22"/>
      <c r="B43" s="27"/>
      <c r="C43" s="22"/>
      <c r="D43" s="27"/>
      <c r="E43" s="23"/>
      <c r="F43" s="22"/>
      <c r="G43" s="27"/>
      <c r="H43" s="27"/>
      <c r="I43" s="22"/>
      <c r="J43" s="22"/>
      <c r="K43" s="20" t="str">
        <f t="shared" si="4"/>
        <v/>
      </c>
      <c r="L43" s="20" t="str">
        <f>IF($K43="","",IF($K43&gt;=HighScore,"High",IF($K43&gt;=MediumScore,"Medium","Low")))</f>
        <v/>
      </c>
      <c r="M43" s="27"/>
      <c r="N43" s="22"/>
      <c r="O43" s="23"/>
      <c r="P43" s="22"/>
      <c r="Q43" s="20" t="str">
        <f>IF(OR($A43="",$O43="",$P43="Done"),"",IF($O43&lt;ReportDate,"Overdue","On track"))</f>
        <v/>
      </c>
      <c r="R43" s="22"/>
      <c r="S43" s="22"/>
      <c r="T43" s="20" t="str">
        <f t="shared" si="5"/>
        <v/>
      </c>
      <c r="U43" s="20" t="str">
        <f>IF($T43="","",IF($T43&gt;=HighScore,"High",IF($T43&gt;=MediumScore,"Medium","Low")))</f>
        <v/>
      </c>
      <c r="V43" s="20" t="str">
        <f t="shared" si="6"/>
        <v/>
      </c>
      <c r="W43" s="22"/>
      <c r="X43" s="23"/>
      <c r="Y43" s="23"/>
      <c r="Z43" s="22"/>
      <c r="AA43" s="23"/>
      <c r="AB43" s="21" t="str">
        <f>IF(OR($A43="",$AA43=""),"",EDATE($AA43,ReviewMonths))</f>
        <v/>
      </c>
      <c r="AC43" s="20" t="str">
        <f t="shared" si="7"/>
        <v/>
      </c>
    </row>
    <row r="44" spans="1:29" x14ac:dyDescent="0.35">
      <c r="A44" s="22"/>
      <c r="B44" s="27"/>
      <c r="C44" s="22"/>
      <c r="D44" s="27"/>
      <c r="E44" s="23"/>
      <c r="F44" s="22"/>
      <c r="G44" s="27"/>
      <c r="H44" s="27"/>
      <c r="I44" s="22"/>
      <c r="J44" s="22"/>
      <c r="K44" s="20" t="str">
        <f t="shared" si="4"/>
        <v/>
      </c>
      <c r="L44" s="20" t="str">
        <f>IF($K44="","",IF($K44&gt;=HighScore,"High",IF($K44&gt;=MediumScore,"Medium","Low")))</f>
        <v/>
      </c>
      <c r="M44" s="27"/>
      <c r="N44" s="22"/>
      <c r="O44" s="23"/>
      <c r="P44" s="22"/>
      <c r="Q44" s="20" t="str">
        <f>IF(OR($A44="",$O44="",$P44="Done"),"",IF($O44&lt;ReportDate,"Overdue","On track"))</f>
        <v/>
      </c>
      <c r="R44" s="22"/>
      <c r="S44" s="22"/>
      <c r="T44" s="20" t="str">
        <f t="shared" si="5"/>
        <v/>
      </c>
      <c r="U44" s="20" t="str">
        <f>IF($T44="","",IF($T44&gt;=HighScore,"High",IF($T44&gt;=MediumScore,"Medium","Low")))</f>
        <v/>
      </c>
      <c r="V44" s="20" t="str">
        <f t="shared" si="6"/>
        <v/>
      </c>
      <c r="W44" s="22"/>
      <c r="X44" s="23"/>
      <c r="Y44" s="23"/>
      <c r="Z44" s="22"/>
      <c r="AA44" s="23"/>
      <c r="AB44" s="21" t="str">
        <f>IF(OR($A44="",$AA44=""),"",EDATE($AA44,ReviewMonths))</f>
        <v/>
      </c>
      <c r="AC44" s="20" t="str">
        <f t="shared" si="7"/>
        <v/>
      </c>
    </row>
    <row r="45" spans="1:29" x14ac:dyDescent="0.35">
      <c r="A45" s="22"/>
      <c r="B45" s="27"/>
      <c r="C45" s="22"/>
      <c r="D45" s="27"/>
      <c r="E45" s="23"/>
      <c r="F45" s="22"/>
      <c r="G45" s="27"/>
      <c r="H45" s="27"/>
      <c r="I45" s="22"/>
      <c r="J45" s="22"/>
      <c r="K45" s="20" t="str">
        <f t="shared" si="4"/>
        <v/>
      </c>
      <c r="L45" s="20" t="str">
        <f>IF($K45="","",IF($K45&gt;=HighScore,"High",IF($K45&gt;=MediumScore,"Medium","Low")))</f>
        <v/>
      </c>
      <c r="M45" s="27"/>
      <c r="N45" s="22"/>
      <c r="O45" s="23"/>
      <c r="P45" s="22"/>
      <c r="Q45" s="20" t="str">
        <f>IF(OR($A45="",$O45="",$P45="Done"),"",IF($O45&lt;ReportDate,"Overdue","On track"))</f>
        <v/>
      </c>
      <c r="R45" s="22"/>
      <c r="S45" s="22"/>
      <c r="T45" s="20" t="str">
        <f t="shared" si="5"/>
        <v/>
      </c>
      <c r="U45" s="20" t="str">
        <f>IF($T45="","",IF($T45&gt;=HighScore,"High",IF($T45&gt;=MediumScore,"Medium","Low")))</f>
        <v/>
      </c>
      <c r="V45" s="20" t="str">
        <f t="shared" si="6"/>
        <v/>
      </c>
      <c r="W45" s="22"/>
      <c r="X45" s="23"/>
      <c r="Y45" s="23"/>
      <c r="Z45" s="22"/>
      <c r="AA45" s="23"/>
      <c r="AB45" s="21" t="str">
        <f>IF(OR($A45="",$AA45=""),"",EDATE($AA45,ReviewMonths))</f>
        <v/>
      </c>
      <c r="AC45" s="20" t="str">
        <f t="shared" si="7"/>
        <v/>
      </c>
    </row>
    <row r="46" spans="1:29" x14ac:dyDescent="0.35">
      <c r="A46" s="22"/>
      <c r="B46" s="27"/>
      <c r="C46" s="22"/>
      <c r="D46" s="27"/>
      <c r="E46" s="23"/>
      <c r="F46" s="22"/>
      <c r="G46" s="27"/>
      <c r="H46" s="27"/>
      <c r="I46" s="22"/>
      <c r="J46" s="22"/>
      <c r="K46" s="20" t="str">
        <f t="shared" si="4"/>
        <v/>
      </c>
      <c r="L46" s="20" t="str">
        <f>IF($K46="","",IF($K46&gt;=HighScore,"High",IF($K46&gt;=MediumScore,"Medium","Low")))</f>
        <v/>
      </c>
      <c r="M46" s="27"/>
      <c r="N46" s="22"/>
      <c r="O46" s="23"/>
      <c r="P46" s="22"/>
      <c r="Q46" s="20" t="str">
        <f>IF(OR($A46="",$O46="",$P46="Done"),"",IF($O46&lt;ReportDate,"Overdue","On track"))</f>
        <v/>
      </c>
      <c r="R46" s="22"/>
      <c r="S46" s="22"/>
      <c r="T46" s="20" t="str">
        <f t="shared" si="5"/>
        <v/>
      </c>
      <c r="U46" s="20" t="str">
        <f>IF($T46="","",IF($T46&gt;=HighScore,"High",IF($T46&gt;=MediumScore,"Medium","Low")))</f>
        <v/>
      </c>
      <c r="V46" s="20" t="str">
        <f t="shared" si="6"/>
        <v/>
      </c>
      <c r="W46" s="22"/>
      <c r="X46" s="23"/>
      <c r="Y46" s="23"/>
      <c r="Z46" s="22"/>
      <c r="AA46" s="23"/>
      <c r="AB46" s="21" t="str">
        <f>IF(OR($A46="",$AA46=""),"",EDATE($AA46,ReviewMonths))</f>
        <v/>
      </c>
      <c r="AC46" s="20" t="str">
        <f t="shared" si="7"/>
        <v/>
      </c>
    </row>
    <row r="47" spans="1:29" x14ac:dyDescent="0.35">
      <c r="A47" s="22"/>
      <c r="B47" s="27"/>
      <c r="C47" s="22"/>
      <c r="D47" s="27"/>
      <c r="E47" s="23"/>
      <c r="F47" s="22"/>
      <c r="G47" s="27"/>
      <c r="H47" s="27"/>
      <c r="I47" s="22"/>
      <c r="J47" s="22"/>
      <c r="K47" s="20" t="str">
        <f t="shared" si="4"/>
        <v/>
      </c>
      <c r="L47" s="20" t="str">
        <f>IF($K47="","",IF($K47&gt;=HighScore,"High",IF($K47&gt;=MediumScore,"Medium","Low")))</f>
        <v/>
      </c>
      <c r="M47" s="27"/>
      <c r="N47" s="22"/>
      <c r="O47" s="23"/>
      <c r="P47" s="22"/>
      <c r="Q47" s="20" t="str">
        <f>IF(OR($A47="",$O47="",$P47="Done"),"",IF($O47&lt;ReportDate,"Overdue","On track"))</f>
        <v/>
      </c>
      <c r="R47" s="22"/>
      <c r="S47" s="22"/>
      <c r="T47" s="20" t="str">
        <f t="shared" si="5"/>
        <v/>
      </c>
      <c r="U47" s="20" t="str">
        <f>IF($T47="","",IF($T47&gt;=HighScore,"High",IF($T47&gt;=MediumScore,"Medium","Low")))</f>
        <v/>
      </c>
      <c r="V47" s="20" t="str">
        <f t="shared" si="6"/>
        <v/>
      </c>
      <c r="W47" s="22"/>
      <c r="X47" s="23"/>
      <c r="Y47" s="23"/>
      <c r="Z47" s="22"/>
      <c r="AA47" s="23"/>
      <c r="AB47" s="21" t="str">
        <f>IF(OR($A47="",$AA47=""),"",EDATE($AA47,ReviewMonths))</f>
        <v/>
      </c>
      <c r="AC47" s="20" t="str">
        <f t="shared" si="7"/>
        <v/>
      </c>
    </row>
    <row r="48" spans="1:29" x14ac:dyDescent="0.35">
      <c r="A48" s="22"/>
      <c r="B48" s="27"/>
      <c r="C48" s="22"/>
      <c r="D48" s="27"/>
      <c r="E48" s="23"/>
      <c r="F48" s="22"/>
      <c r="G48" s="27"/>
      <c r="H48" s="27"/>
      <c r="I48" s="22"/>
      <c r="J48" s="22"/>
      <c r="K48" s="20" t="str">
        <f t="shared" si="4"/>
        <v/>
      </c>
      <c r="L48" s="20" t="str">
        <f>IF($K48="","",IF($K48&gt;=HighScore,"High",IF($K48&gt;=MediumScore,"Medium","Low")))</f>
        <v/>
      </c>
      <c r="M48" s="27"/>
      <c r="N48" s="22"/>
      <c r="O48" s="23"/>
      <c r="P48" s="22"/>
      <c r="Q48" s="20" t="str">
        <f>IF(OR($A48="",$O48="",$P48="Done"),"",IF($O48&lt;ReportDate,"Overdue","On track"))</f>
        <v/>
      </c>
      <c r="R48" s="22"/>
      <c r="S48" s="22"/>
      <c r="T48" s="20" t="str">
        <f t="shared" si="5"/>
        <v/>
      </c>
      <c r="U48" s="20" t="str">
        <f>IF($T48="","",IF($T48&gt;=HighScore,"High",IF($T48&gt;=MediumScore,"Medium","Low")))</f>
        <v/>
      </c>
      <c r="V48" s="20" t="str">
        <f t="shared" si="6"/>
        <v/>
      </c>
      <c r="W48" s="22"/>
      <c r="X48" s="23"/>
      <c r="Y48" s="23"/>
      <c r="Z48" s="22"/>
      <c r="AA48" s="23"/>
      <c r="AB48" s="21" t="str">
        <f>IF(OR($A48="",$AA48=""),"",EDATE($AA48,ReviewMonths))</f>
        <v/>
      </c>
      <c r="AC48" s="20" t="str">
        <f t="shared" si="7"/>
        <v/>
      </c>
    </row>
    <row r="49" spans="1:29" x14ac:dyDescent="0.35">
      <c r="A49" s="22"/>
      <c r="B49" s="27"/>
      <c r="C49" s="22"/>
      <c r="D49" s="27"/>
      <c r="E49" s="23"/>
      <c r="F49" s="22"/>
      <c r="G49" s="27"/>
      <c r="H49" s="27"/>
      <c r="I49" s="22"/>
      <c r="J49" s="22"/>
      <c r="K49" s="20" t="str">
        <f t="shared" si="4"/>
        <v/>
      </c>
      <c r="L49" s="20" t="str">
        <f>IF($K49="","",IF($K49&gt;=HighScore,"High",IF($K49&gt;=MediumScore,"Medium","Low")))</f>
        <v/>
      </c>
      <c r="M49" s="27"/>
      <c r="N49" s="22"/>
      <c r="O49" s="23"/>
      <c r="P49" s="22"/>
      <c r="Q49" s="20" t="str">
        <f>IF(OR($A49="",$O49="",$P49="Done"),"",IF($O49&lt;ReportDate,"Overdue","On track"))</f>
        <v/>
      </c>
      <c r="R49" s="22"/>
      <c r="S49" s="22"/>
      <c r="T49" s="20" t="str">
        <f t="shared" si="5"/>
        <v/>
      </c>
      <c r="U49" s="20" t="str">
        <f>IF($T49="","",IF($T49&gt;=HighScore,"High",IF($T49&gt;=MediumScore,"Medium","Low")))</f>
        <v/>
      </c>
      <c r="V49" s="20" t="str">
        <f t="shared" si="6"/>
        <v/>
      </c>
      <c r="W49" s="22"/>
      <c r="X49" s="23"/>
      <c r="Y49" s="23"/>
      <c r="Z49" s="22"/>
      <c r="AA49" s="23"/>
      <c r="AB49" s="21" t="str">
        <f>IF(OR($A49="",$AA49=""),"",EDATE($AA49,ReviewMonths))</f>
        <v/>
      </c>
      <c r="AC49" s="20" t="str">
        <f t="shared" si="7"/>
        <v/>
      </c>
    </row>
    <row r="50" spans="1:29" x14ac:dyDescent="0.35">
      <c r="A50" s="22"/>
      <c r="B50" s="27"/>
      <c r="C50" s="22"/>
      <c r="D50" s="27"/>
      <c r="E50" s="23"/>
      <c r="F50" s="22"/>
      <c r="G50" s="27"/>
      <c r="H50" s="27"/>
      <c r="I50" s="22"/>
      <c r="J50" s="22"/>
      <c r="K50" s="20" t="str">
        <f t="shared" si="4"/>
        <v/>
      </c>
      <c r="L50" s="20" t="str">
        <f>IF($K50="","",IF($K50&gt;=HighScore,"High",IF($K50&gt;=MediumScore,"Medium","Low")))</f>
        <v/>
      </c>
      <c r="M50" s="27"/>
      <c r="N50" s="22"/>
      <c r="O50" s="23"/>
      <c r="P50" s="22"/>
      <c r="Q50" s="20" t="str">
        <f>IF(OR($A50="",$O50="",$P50="Done"),"",IF($O50&lt;ReportDate,"Overdue","On track"))</f>
        <v/>
      </c>
      <c r="R50" s="22"/>
      <c r="S50" s="22"/>
      <c r="T50" s="20" t="str">
        <f t="shared" si="5"/>
        <v/>
      </c>
      <c r="U50" s="20" t="str">
        <f>IF($T50="","",IF($T50&gt;=HighScore,"High",IF($T50&gt;=MediumScore,"Medium","Low")))</f>
        <v/>
      </c>
      <c r="V50" s="20" t="str">
        <f t="shared" si="6"/>
        <v/>
      </c>
      <c r="W50" s="22"/>
      <c r="X50" s="23"/>
      <c r="Y50" s="23"/>
      <c r="Z50" s="22"/>
      <c r="AA50" s="23"/>
      <c r="AB50" s="21" t="str">
        <f>IF(OR($A50="",$AA50=""),"",EDATE($AA50,ReviewMonths))</f>
        <v/>
      </c>
      <c r="AC50" s="20" t="str">
        <f t="shared" si="7"/>
        <v/>
      </c>
    </row>
    <row r="51" spans="1:29" x14ac:dyDescent="0.35">
      <c r="A51" s="22"/>
      <c r="B51" s="27"/>
      <c r="C51" s="22"/>
      <c r="D51" s="27"/>
      <c r="E51" s="23"/>
      <c r="F51" s="22"/>
      <c r="G51" s="27"/>
      <c r="H51" s="27"/>
      <c r="I51" s="22"/>
      <c r="J51" s="22"/>
      <c r="K51" s="20" t="str">
        <f t="shared" si="4"/>
        <v/>
      </c>
      <c r="L51" s="20" t="str">
        <f>IF($K51="","",IF($K51&gt;=HighScore,"High",IF($K51&gt;=MediumScore,"Medium","Low")))</f>
        <v/>
      </c>
      <c r="M51" s="27"/>
      <c r="N51" s="22"/>
      <c r="O51" s="23"/>
      <c r="P51" s="22"/>
      <c r="Q51" s="20" t="str">
        <f>IF(OR($A51="",$O51="",$P51="Done"),"",IF($O51&lt;ReportDate,"Overdue","On track"))</f>
        <v/>
      </c>
      <c r="R51" s="22"/>
      <c r="S51" s="22"/>
      <c r="T51" s="20" t="str">
        <f t="shared" si="5"/>
        <v/>
      </c>
      <c r="U51" s="20" t="str">
        <f>IF($T51="","",IF($T51&gt;=HighScore,"High",IF($T51&gt;=MediumScore,"Medium","Low")))</f>
        <v/>
      </c>
      <c r="V51" s="20" t="str">
        <f t="shared" si="6"/>
        <v/>
      </c>
      <c r="W51" s="22"/>
      <c r="X51" s="23"/>
      <c r="Y51" s="23"/>
      <c r="Z51" s="22"/>
      <c r="AA51" s="23"/>
      <c r="AB51" s="21" t="str">
        <f>IF(OR($A51="",$AA51=""),"",EDATE($AA51,ReviewMonths))</f>
        <v/>
      </c>
      <c r="AC51" s="20" t="str">
        <f t="shared" si="7"/>
        <v/>
      </c>
    </row>
  </sheetData>
  <sheetProtection sheet="1" objects="1" scenarios="1" formatCells="0" formatColumns="0" formatRows="0" autoFilter="0"/>
  <autoFilter ref="A1:AC1" xr:uid="{96515E39-AF3E-46C2-8F29-57A88742FEAA}"/>
  <phoneticPr fontId="1" type="noConversion"/>
  <conditionalFormatting sqref="AC2:AC51">
    <cfRule type="containsText" dxfId="19" priority="1" stopIfTrue="1" operator="containsText" text="Check">
      <formula>NOT(ISERROR(SEARCH("Check",AC2)))</formula>
    </cfRule>
  </conditionalFormatting>
  <conditionalFormatting sqref="L2:L51">
    <cfRule type="cellIs" dxfId="18" priority="2" stopIfTrue="1" operator="equal">
      <formula>"High"</formula>
    </cfRule>
    <cfRule type="cellIs" dxfId="17" priority="3" stopIfTrue="1" operator="equal">
      <formula>"Medium"</formula>
    </cfRule>
    <cfRule type="cellIs" dxfId="16" priority="4" stopIfTrue="1" operator="equal">
      <formula>"Low"</formula>
    </cfRule>
  </conditionalFormatting>
  <conditionalFormatting sqref="U2:U51">
    <cfRule type="cellIs" dxfId="15" priority="5" stopIfTrue="1" operator="equal">
      <formula>"High"</formula>
    </cfRule>
    <cfRule type="cellIs" dxfId="14" priority="6" stopIfTrue="1" operator="equal">
      <formula>"Medium"</formula>
    </cfRule>
    <cfRule type="cellIs" dxfId="13" priority="7" stopIfTrue="1" operator="equal">
      <formula>"Low"</formula>
    </cfRule>
  </conditionalFormatting>
  <conditionalFormatting sqref="Q2:Q51">
    <cfRule type="cellIs" dxfId="12" priority="8" stopIfTrue="1" operator="equal">
      <formula>"Overdue"</formula>
    </cfRule>
  </conditionalFormatting>
  <conditionalFormatting sqref="V2:V51">
    <cfRule type="cellIs" dxfId="11" priority="9" stopIfTrue="1" operator="equal">
      <formula>"Consult DPC (Art 36)"</formula>
    </cfRule>
  </conditionalFormatting>
  <dataValidations count="12">
    <dataValidation type="date" allowBlank="1" showInputMessage="1" showErrorMessage="1" errorTitle="Date expected" error="Enter a date between 2020 and 2030, for example 2026-10-30." sqref="E2:E51" xr:uid="{D2EA471C-306E-40BA-B9BB-FE6C858ECC88}">
      <formula1>43831</formula1>
      <formula2>47848</formula2>
    </dataValidation>
    <dataValidation type="date" allowBlank="1" showInputMessage="1" showErrorMessage="1" errorTitle="Date expected" error="Enter a date between 2020 and 2030, for example 2026-10-30." sqref="O2:O51" xr:uid="{F10CF2B1-D530-4930-A3CD-727114793782}">
      <formula1>43831</formula1>
      <formula2>47848</formula2>
    </dataValidation>
    <dataValidation type="date" allowBlank="1" showInputMessage="1" showErrorMessage="1" errorTitle="Date expected" error="Enter a date between 2020 and 2030, for example 2026-10-30." sqref="X2:X51" xr:uid="{935041E0-6A4A-4819-8119-18C24710C0DA}">
      <formula1>43831</formula1>
      <formula2>47848</formula2>
    </dataValidation>
    <dataValidation type="date" allowBlank="1" showInputMessage="1" showErrorMessage="1" errorTitle="Date expected" error="Enter a date between 2020 and 2030, for example 2026-10-30." sqref="Y2:Y51" xr:uid="{EB22F9B1-8A53-4B4D-8619-0587613FD770}">
      <formula1>43831</formula1>
      <formula2>47848</formula2>
    </dataValidation>
    <dataValidation type="date" allowBlank="1" showInputMessage="1" showErrorMessage="1" errorTitle="Date expected" error="Enter a date between 2020 and 2030, for example 2026-10-30." sqref="AA2:AA51" xr:uid="{1F515838-5019-4DE2-98FA-92FE1FCE0759}">
      <formula1>43831</formula1>
      <formula2>47848</formula2>
    </dataValidation>
    <dataValidation type="list" allowBlank="1" showInputMessage="1" showErrorMessage="1" sqref="Z2:Z51" xr:uid="{BF084C94-4A86-4E85-B810-C273A59702FA}">
      <formula1>L_Approver</formula1>
    </dataValidation>
    <dataValidation type="list" allowBlank="1" showInputMessage="1" showErrorMessage="1" sqref="S2:S51 J2:J51 I2:I51 R2:R51" xr:uid="{13715336-FABE-42CE-A582-F4C5F3F38F1A}">
      <formula1>L_Score</formula1>
    </dataValidation>
    <dataValidation type="list" allowBlank="1" showInputMessage="1" showErrorMessage="1" sqref="F2:F51" xr:uid="{8901F653-A846-4DD5-B5CA-13EBF5C83DB8}">
      <formula1>L_YesNo</formula1>
    </dataValidation>
    <dataValidation type="list" allowBlank="1" showInputMessage="1" showErrorMessage="1" sqref="W2:W51" xr:uid="{21C1A7D8-1184-421B-ACC9-9DFD1204652D}">
      <formula1>L_Consult</formula1>
    </dataValidation>
    <dataValidation type="list" allowBlank="1" showInputMessage="1" showErrorMessage="1" sqref="P2:P51" xr:uid="{4AD7C46A-AD64-4DE4-B1F7-14F976F5FB78}">
      <formula1>L_ActionStatus</formula1>
    </dataValidation>
    <dataValidation type="list" allowBlank="1" showInputMessage="1" showErrorMessage="1" sqref="C2:C51" xr:uid="{21D2F7C4-CB3F-4200-A924-FD497A9A4A7C}">
      <formula1>L_Area</formula1>
    </dataValidation>
    <dataValidation type="list" allowBlank="1" showInputMessage="1" showErrorMessage="1" sqref="N2:N51" xr:uid="{3C3DA7F8-622F-462A-AB9B-4A3BADBEFC5D}">
      <formula1>L_Owner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B8AED-9D16-4B35-93A3-16CA73BDAA8D}">
  <sheetPr>
    <tabColor rgb="FFC00000"/>
  </sheetPr>
  <dimension ref="A1:J69"/>
  <sheetViews>
    <sheetView workbookViewId="0"/>
  </sheetViews>
  <sheetFormatPr defaultRowHeight="13.5" x14ac:dyDescent="0.35"/>
  <cols>
    <col min="1" max="1" width="30.5625" customWidth="1"/>
    <col min="2" max="2" width="16.5625" customWidth="1"/>
    <col min="3" max="3" width="40.5625" customWidth="1"/>
    <col min="4" max="8" width="18.5625" customWidth="1"/>
    <col min="10" max="10" width="0" hidden="1" customWidth="1"/>
  </cols>
  <sheetData>
    <row r="1" spans="1:10" ht="17.649999999999999" x14ac:dyDescent="0.35">
      <c r="A1" s="10" t="s">
        <v>3412</v>
      </c>
    </row>
    <row r="2" spans="1:10" ht="13.9" x14ac:dyDescent="0.35">
      <c r="A2" s="2" t="s">
        <v>3413</v>
      </c>
      <c r="B2" s="1">
        <f ca="1">TODAY()</f>
        <v>46315</v>
      </c>
    </row>
    <row r="3" spans="1:10" x14ac:dyDescent="0.35">
      <c r="A3" s="12" t="s">
        <v>3414</v>
      </c>
    </row>
    <row r="5" spans="1:10" ht="13.9" x14ac:dyDescent="0.35">
      <c r="A5" s="3" t="s">
        <v>3415</v>
      </c>
      <c r="B5" s="11"/>
      <c r="C5" s="11"/>
      <c r="D5" s="11"/>
      <c r="E5" s="11"/>
      <c r="F5" s="11"/>
      <c r="G5" s="11"/>
      <c r="H5" s="11"/>
    </row>
    <row r="6" spans="1:10" ht="13.9" x14ac:dyDescent="0.35">
      <c r="A6" s="2" t="s">
        <v>3416</v>
      </c>
      <c r="B6" s="2" t="s">
        <v>151</v>
      </c>
      <c r="C6" s="2" t="s">
        <v>37</v>
      </c>
      <c r="D6" s="2" t="s">
        <v>166</v>
      </c>
      <c r="E6" s="2" t="s">
        <v>63</v>
      </c>
      <c r="F6" s="2" t="s">
        <v>165</v>
      </c>
      <c r="G6" s="2" t="s">
        <v>3417</v>
      </c>
      <c r="H6" s="2" t="s">
        <v>3418</v>
      </c>
      <c r="I6" s="2"/>
      <c r="J6" s="2" t="s">
        <v>3419</v>
      </c>
    </row>
    <row r="7" spans="1:10" x14ac:dyDescent="0.35">
      <c r="A7">
        <f>IF($J7="","",ROWS(A$7:A7))</f>
        <v>1</v>
      </c>
      <c r="B7" t="str">
        <f>IF($J7="","",INDEX(DSR_Register!$A:$A,$J7))</f>
        <v>DSR-2026-030</v>
      </c>
      <c r="C7" t="str">
        <f>IF($J7="","",INDEX(DSR_Register!$D:$D,$J7))</f>
        <v>Access</v>
      </c>
      <c r="D7" t="str">
        <f>IF($J7="","",INDEX(DSR_Register!$W:$W,$J7))</f>
        <v>Escalated</v>
      </c>
      <c r="E7" t="str">
        <f>IF($J7="","",INDEX(DSR_Register!$V:$V,$J7))</f>
        <v>HR</v>
      </c>
      <c r="F7" s="1">
        <f>IF($J7="","",INDEX(DSR_Register!$U:$U,$J7))</f>
        <v>46309</v>
      </c>
      <c r="G7">
        <f t="shared" ref="G7:G36" ca="1" si="0">IF($J7="","",IF($D7="Awaiting ID","Paused",$F7-$B$2))</f>
        <v>-6</v>
      </c>
      <c r="H7" t="str">
        <f ca="1">IF($J7="","",IF($D7="Awaiting ID","Paused",IF($G7&lt;0,"Overdue",IF($G7&lt;=RedDays,"Red",IF($G7&lt;=AmberDays,"Amber","Green")))))</f>
        <v>Overdue</v>
      </c>
      <c r="J7">
        <f>IFERROR(ROUND(MOD(_xlfn.AGGREGATE(15,6,(DSR_Register!$U$2:$U$201+ROW(DSR_Register!$U$2:$U$201)/100000)/((DSR_Register!$A$2:$A$201&lt;&gt;"")*(DSR_Register!$W$2:$W$201&lt;&gt;"Closed")),ROWS(J$7:J7)),1)*100000,0),"")</f>
        <v>31</v>
      </c>
    </row>
    <row r="8" spans="1:10" x14ac:dyDescent="0.35">
      <c r="A8">
        <f>IF($J8="","",ROWS(A$7:A8))</f>
        <v>2</v>
      </c>
      <c r="B8" t="str">
        <f>IF($J8="","",INDEX(DSR_Register!$A:$A,$J8))</f>
        <v>DSR-2026-032</v>
      </c>
      <c r="C8" t="str">
        <f>IF($J8="","",INDEX(DSR_Register!$D:$D,$J8))</f>
        <v>Access</v>
      </c>
      <c r="D8" t="str">
        <f>IF($J8="","",INDEX(DSR_Register!$W:$W,$J8))</f>
        <v>In progress</v>
      </c>
      <c r="E8" t="str">
        <f>IF($J8="","",INDEX(DSR_Register!$V:$V,$J8))</f>
        <v>Privacy Analyst</v>
      </c>
      <c r="F8" s="1">
        <f>IF($J8="","",INDEX(DSR_Register!$U:$U,$J8))</f>
        <v>46328</v>
      </c>
      <c r="G8">
        <f t="shared" ca="1" si="0"/>
        <v>13</v>
      </c>
      <c r="H8" t="str">
        <f ca="1">IF($J8="","",IF($D8="Awaiting ID","Paused",IF($G8&lt;0,"Overdue",IF($G8&lt;=RedDays,"Red",IF($G8&lt;=AmberDays,"Amber","Green")))))</f>
        <v>Amber</v>
      </c>
      <c r="J8">
        <f>IFERROR(ROUND(MOD(_xlfn.AGGREGATE(15,6,(DSR_Register!$U$2:$U$201+ROW(DSR_Register!$U$2:$U$201)/100000)/((DSR_Register!$A$2:$A$201&lt;&gt;"")*(DSR_Register!$W$2:$W$201&lt;&gt;"Closed")),ROWS(J$7:J8)),1)*100000,0),"")</f>
        <v>33</v>
      </c>
    </row>
    <row r="9" spans="1:10" x14ac:dyDescent="0.35">
      <c r="A9">
        <f>IF($J9="","",ROWS(A$7:A9))</f>
        <v>3</v>
      </c>
      <c r="B9" t="str">
        <f>IF($J9="","",INDEX(DSR_Register!$A:$A,$J9))</f>
        <v>DSR-2026-034</v>
      </c>
      <c r="C9" t="str">
        <f>IF($J9="","",INDEX(DSR_Register!$D:$D,$J9))</f>
        <v>Access</v>
      </c>
      <c r="D9" t="str">
        <f>IF($J9="","",INDEX(DSR_Register!$W:$W,$J9))</f>
        <v>In progress</v>
      </c>
      <c r="E9" t="str">
        <f>IF($J9="","",INDEX(DSR_Register!$V:$V,$J9))</f>
        <v>Privacy Analyst</v>
      </c>
      <c r="F9" s="1">
        <f>IF($J9="","",INDEX(DSR_Register!$U:$U,$J9))</f>
        <v>46332</v>
      </c>
      <c r="G9">
        <f t="shared" ca="1" si="0"/>
        <v>17</v>
      </c>
      <c r="H9" t="str">
        <f ca="1">IF($J9="","",IF($D9="Awaiting ID","Paused",IF($G9&lt;0,"Overdue",IF($G9&lt;=RedDays,"Red",IF($G9&lt;=AmberDays,"Amber","Green")))))</f>
        <v>Green</v>
      </c>
      <c r="J9">
        <f>IFERROR(ROUND(MOD(_xlfn.AGGREGATE(15,6,(DSR_Register!$U$2:$U$201+ROW(DSR_Register!$U$2:$U$201)/100000)/((DSR_Register!$A$2:$A$201&lt;&gt;"")*(DSR_Register!$W$2:$W$201&lt;&gt;"Closed")),ROWS(J$7:J9)),1)*100000,0),"")</f>
        <v>35</v>
      </c>
    </row>
    <row r="10" spans="1:10" x14ac:dyDescent="0.35">
      <c r="A10">
        <f>IF($J10="","",ROWS(A$7:A10))</f>
        <v>4</v>
      </c>
      <c r="B10" t="str">
        <f>IF($J10="","",INDEX(DSR_Register!$A:$A,$J10))</f>
        <v>DSR-2026-035</v>
      </c>
      <c r="C10" t="str">
        <f>IF($J10="","",INDEX(DSR_Register!$D:$D,$J10))</f>
        <v>Access</v>
      </c>
      <c r="D10" t="str">
        <f>IF($J10="","",INDEX(DSR_Register!$W:$W,$J10))</f>
        <v>In progress</v>
      </c>
      <c r="E10" t="str">
        <f>IF($J10="","",INDEX(DSR_Register!$V:$V,$J10))</f>
        <v>HR</v>
      </c>
      <c r="F10" s="1">
        <f>IF($J10="","",INDEX(DSR_Register!$U:$U,$J10))</f>
        <v>46335</v>
      </c>
      <c r="G10">
        <f t="shared" ca="1" si="0"/>
        <v>20</v>
      </c>
      <c r="H10" t="str">
        <f ca="1">IF($J10="","",IF($D10="Awaiting ID","Paused",IF($G10&lt;0,"Overdue",IF($G10&lt;=RedDays,"Red",IF($G10&lt;=AmberDays,"Amber","Green")))))</f>
        <v>Green</v>
      </c>
      <c r="J10">
        <f>IFERROR(ROUND(MOD(_xlfn.AGGREGATE(15,6,(DSR_Register!$U$2:$U$201+ROW(DSR_Register!$U$2:$U$201)/100000)/((DSR_Register!$A$2:$A$201&lt;&gt;"")*(DSR_Register!$W$2:$W$201&lt;&gt;"Closed")),ROWS(J$7:J10)),1)*100000,0),"")</f>
        <v>36</v>
      </c>
    </row>
    <row r="11" spans="1:10" x14ac:dyDescent="0.35">
      <c r="A11">
        <f>IF($J11="","",ROWS(A$7:A11))</f>
        <v>5</v>
      </c>
      <c r="B11" t="str">
        <f>IF($J11="","",INDEX(DSR_Register!$A:$A,$J11))</f>
        <v>DSR-2026-039</v>
      </c>
      <c r="C11" t="str">
        <f>IF($J11="","",INDEX(DSR_Register!$D:$D,$J11))</f>
        <v>Complaint</v>
      </c>
      <c r="D11" t="str">
        <f>IF($J11="","",INDEX(DSR_Register!$W:$W,$J11))</f>
        <v>In progress</v>
      </c>
      <c r="E11" t="str">
        <f>IF($J11="","",INDEX(DSR_Register!$V:$V,$J11))</f>
        <v>Privacy Manager</v>
      </c>
      <c r="F11" s="1">
        <f>IF($J11="","",INDEX(DSR_Register!$U:$U,$J11))</f>
        <v>46336</v>
      </c>
      <c r="G11">
        <f t="shared" ca="1" si="0"/>
        <v>21</v>
      </c>
      <c r="H11" t="str">
        <f ca="1">IF($J11="","",IF($D11="Awaiting ID","Paused",IF($G11&lt;0,"Overdue",IF($G11&lt;=RedDays,"Red",IF($G11&lt;=AmberDays,"Amber","Green")))))</f>
        <v>Green</v>
      </c>
      <c r="J11">
        <f>IFERROR(ROUND(MOD(_xlfn.AGGREGATE(15,6,(DSR_Register!$U$2:$U$201+ROW(DSR_Register!$U$2:$U$201)/100000)/((DSR_Register!$A$2:$A$201&lt;&gt;"")*(DSR_Register!$W$2:$W$201&lt;&gt;"Closed")),ROWS(J$7:J11)),1)*100000,0),"")</f>
        <v>40</v>
      </c>
    </row>
    <row r="12" spans="1:10" x14ac:dyDescent="0.35">
      <c r="A12">
        <f>IF($J12="","",ROWS(A$7:A12))</f>
        <v>6</v>
      </c>
      <c r="B12" t="str">
        <f>IF($J12="","",INDEX(DSR_Register!$A:$A,$J12))</f>
        <v>DSR-2026-037</v>
      </c>
      <c r="C12" t="str">
        <f>IF($J12="","",INDEX(DSR_Register!$D:$D,$J12))</f>
        <v>Erasure</v>
      </c>
      <c r="D12" t="str">
        <f>IF($J12="","",INDEX(DSR_Register!$W:$W,$J12))</f>
        <v>In progress</v>
      </c>
      <c r="E12" t="str">
        <f>IF($J12="","",INDEX(DSR_Register!$V:$V,$J12))</f>
        <v>IT</v>
      </c>
      <c r="F12" s="1">
        <f>IF($J12="","",INDEX(DSR_Register!$U:$U,$J12))</f>
        <v>46345</v>
      </c>
      <c r="G12">
        <f t="shared" ca="1" si="0"/>
        <v>30</v>
      </c>
      <c r="H12" t="str">
        <f ca="1">IF($J12="","",IF($D12="Awaiting ID","Paused",IF($G12&lt;0,"Overdue",IF($G12&lt;=RedDays,"Red",IF($G12&lt;=AmberDays,"Amber","Green")))))</f>
        <v>Green</v>
      </c>
      <c r="J12">
        <f>IFERROR(ROUND(MOD(_xlfn.AGGREGATE(15,6,(DSR_Register!$U$2:$U$201+ROW(DSR_Register!$U$2:$U$201)/100000)/((DSR_Register!$A$2:$A$201&lt;&gt;"")*(DSR_Register!$W$2:$W$201&lt;&gt;"Closed")),ROWS(J$7:J12)),1)*100000,0),"")</f>
        <v>38</v>
      </c>
    </row>
    <row r="13" spans="1:10" x14ac:dyDescent="0.35">
      <c r="A13">
        <f>IF($J13="","",ROWS(A$7:A13))</f>
        <v>7</v>
      </c>
      <c r="B13" t="str">
        <f>IF($J13="","",INDEX(DSR_Register!$A:$A,$J13))</f>
        <v>DSR-2026-038</v>
      </c>
      <c r="C13" t="str">
        <f>IF($J13="","",INDEX(DSR_Register!$D:$D,$J13))</f>
        <v>Access</v>
      </c>
      <c r="D13" t="str">
        <f>IF($J13="","",INDEX(DSR_Register!$W:$W,$J13))</f>
        <v>Awaiting ID</v>
      </c>
      <c r="E13" t="str">
        <f>IF($J13="","",INDEX(DSR_Register!$V:$V,$J13))</f>
        <v>Privacy Analyst</v>
      </c>
      <c r="F13" s="1">
        <f>IF($J13="","",INDEX(DSR_Register!$U:$U,$J13))</f>
        <v>46356</v>
      </c>
      <c r="G13" t="str">
        <f t="shared" si="0"/>
        <v>Paused</v>
      </c>
      <c r="H13" t="str">
        <f>IF($J13="","",IF($D13="Awaiting ID","Paused",IF($G13&lt;0,"Overdue",IF($G13&lt;=RedDays,"Red",IF($G13&lt;=AmberDays,"Amber","Green")))))</f>
        <v>Paused</v>
      </c>
      <c r="J13">
        <f>IFERROR(ROUND(MOD(_xlfn.AGGREGATE(15,6,(DSR_Register!$U$2:$U$201+ROW(DSR_Register!$U$2:$U$201)/100000)/((DSR_Register!$A$2:$A$201&lt;&gt;"")*(DSR_Register!$W$2:$W$201&lt;&gt;"Closed")),ROWS(J$7:J13)),1)*100000,0),"")</f>
        <v>39</v>
      </c>
    </row>
    <row r="14" spans="1:10" x14ac:dyDescent="0.35">
      <c r="A14">
        <f>IF($J14="","",ROWS(A$7:A14))</f>
        <v>8</v>
      </c>
      <c r="B14" t="str">
        <f>IF($J14="","",INDEX(DSR_Register!$A:$A,$J14))</f>
        <v>DSR-2026-040</v>
      </c>
      <c r="C14" t="str">
        <f>IF($J14="","",INDEX(DSR_Register!$D:$D,$J14))</f>
        <v>Access</v>
      </c>
      <c r="D14" t="str">
        <f>IF($J14="","",INDEX(DSR_Register!$W:$W,$J14))</f>
        <v>Logged</v>
      </c>
      <c r="E14" t="str">
        <f>IF($J14="","",INDEX(DSR_Register!$V:$V,$J14))</f>
        <v>Privacy Analyst</v>
      </c>
      <c r="F14" s="1">
        <f>IF($J14="","",INDEX(DSR_Register!$U:$U,$J14))</f>
        <v>46356</v>
      </c>
      <c r="G14">
        <f t="shared" ca="1" si="0"/>
        <v>41</v>
      </c>
      <c r="H14" t="str">
        <f ca="1">IF($J14="","",IF($D14="Awaiting ID","Paused",IF($G14&lt;0,"Overdue",IF($G14&lt;=RedDays,"Red",IF($G14&lt;=AmberDays,"Amber","Green")))))</f>
        <v>Green</v>
      </c>
      <c r="J14">
        <f>IFERROR(ROUND(MOD(_xlfn.AGGREGATE(15,6,(DSR_Register!$U$2:$U$201+ROW(DSR_Register!$U$2:$U$201)/100000)/((DSR_Register!$A$2:$A$201&lt;&gt;"")*(DSR_Register!$W$2:$W$201&lt;&gt;"Closed")),ROWS(J$7:J14)),1)*100000,0),"")</f>
        <v>41</v>
      </c>
    </row>
    <row r="15" spans="1:10" x14ac:dyDescent="0.35">
      <c r="A15" t="str">
        <f>IF($J15="","",ROWS(A$7:A15))</f>
        <v/>
      </c>
      <c r="B15" t="str">
        <f>IF($J15="","",INDEX(DSR_Register!$A:$A,$J15))</f>
        <v/>
      </c>
      <c r="C15" t="str">
        <f>IF($J15="","",INDEX(DSR_Register!$D:$D,$J15))</f>
        <v/>
      </c>
      <c r="D15" t="str">
        <f>IF($J15="","",INDEX(DSR_Register!$W:$W,$J15))</f>
        <v/>
      </c>
      <c r="E15" t="str">
        <f>IF($J15="","",INDEX(DSR_Register!$V:$V,$J15))</f>
        <v/>
      </c>
      <c r="F15" s="1" t="str">
        <f>IF($J15="","",INDEX(DSR_Register!$U:$U,$J15))</f>
        <v/>
      </c>
      <c r="G15" t="str">
        <f t="shared" si="0"/>
        <v/>
      </c>
      <c r="H15" t="str">
        <f>IF($J15="","",IF($D15="Awaiting ID","Paused",IF($G15&lt;0,"Overdue",IF($G15&lt;=RedDays,"Red",IF($G15&lt;=AmberDays,"Amber","Green")))))</f>
        <v/>
      </c>
      <c r="J15" t="str">
        <f>IFERROR(ROUND(MOD(_xlfn.AGGREGATE(15,6,(DSR_Register!$U$2:$U$201+ROW(DSR_Register!$U$2:$U$201)/100000)/((DSR_Register!$A$2:$A$201&lt;&gt;"")*(DSR_Register!$W$2:$W$201&lt;&gt;"Closed")),ROWS(J$7:J15)),1)*100000,0),"")</f>
        <v/>
      </c>
    </row>
    <row r="16" spans="1:10" x14ac:dyDescent="0.35">
      <c r="A16" t="str">
        <f>IF($J16="","",ROWS(A$7:A16))</f>
        <v/>
      </c>
      <c r="B16" t="str">
        <f>IF($J16="","",INDEX(DSR_Register!$A:$A,$J16))</f>
        <v/>
      </c>
      <c r="C16" t="str">
        <f>IF($J16="","",INDEX(DSR_Register!$D:$D,$J16))</f>
        <v/>
      </c>
      <c r="D16" t="str">
        <f>IF($J16="","",INDEX(DSR_Register!$W:$W,$J16))</f>
        <v/>
      </c>
      <c r="E16" t="str">
        <f>IF($J16="","",INDEX(DSR_Register!$V:$V,$J16))</f>
        <v/>
      </c>
      <c r="F16" s="1" t="str">
        <f>IF($J16="","",INDEX(DSR_Register!$U:$U,$J16))</f>
        <v/>
      </c>
      <c r="G16" t="str">
        <f t="shared" si="0"/>
        <v/>
      </c>
      <c r="H16" t="str">
        <f>IF($J16="","",IF($D16="Awaiting ID","Paused",IF($G16&lt;0,"Overdue",IF($G16&lt;=RedDays,"Red",IF($G16&lt;=AmberDays,"Amber","Green")))))</f>
        <v/>
      </c>
      <c r="J16" t="str">
        <f>IFERROR(ROUND(MOD(_xlfn.AGGREGATE(15,6,(DSR_Register!$U$2:$U$201+ROW(DSR_Register!$U$2:$U$201)/100000)/((DSR_Register!$A$2:$A$201&lt;&gt;"")*(DSR_Register!$W$2:$W$201&lt;&gt;"Closed")),ROWS(J$7:J16)),1)*100000,0),"")</f>
        <v/>
      </c>
    </row>
    <row r="17" spans="1:10" x14ac:dyDescent="0.35">
      <c r="A17" t="str">
        <f>IF($J17="","",ROWS(A$7:A17))</f>
        <v/>
      </c>
      <c r="B17" t="str">
        <f>IF($J17="","",INDEX(DSR_Register!$A:$A,$J17))</f>
        <v/>
      </c>
      <c r="C17" t="str">
        <f>IF($J17="","",INDEX(DSR_Register!$D:$D,$J17))</f>
        <v/>
      </c>
      <c r="D17" t="str">
        <f>IF($J17="","",INDEX(DSR_Register!$W:$W,$J17))</f>
        <v/>
      </c>
      <c r="E17" t="str">
        <f>IF($J17="","",INDEX(DSR_Register!$V:$V,$J17))</f>
        <v/>
      </c>
      <c r="F17" s="1" t="str">
        <f>IF($J17="","",INDEX(DSR_Register!$U:$U,$J17))</f>
        <v/>
      </c>
      <c r="G17" t="str">
        <f t="shared" si="0"/>
        <v/>
      </c>
      <c r="H17" t="str">
        <f>IF($J17="","",IF($D17="Awaiting ID","Paused",IF($G17&lt;0,"Overdue",IF($G17&lt;=RedDays,"Red",IF($G17&lt;=AmberDays,"Amber","Green")))))</f>
        <v/>
      </c>
      <c r="J17" t="str">
        <f>IFERROR(ROUND(MOD(_xlfn.AGGREGATE(15,6,(DSR_Register!$U$2:$U$201+ROW(DSR_Register!$U$2:$U$201)/100000)/((DSR_Register!$A$2:$A$201&lt;&gt;"")*(DSR_Register!$W$2:$W$201&lt;&gt;"Closed")),ROWS(J$7:J17)),1)*100000,0),"")</f>
        <v/>
      </c>
    </row>
    <row r="18" spans="1:10" x14ac:dyDescent="0.35">
      <c r="A18" t="str">
        <f>IF($J18="","",ROWS(A$7:A18))</f>
        <v/>
      </c>
      <c r="B18" t="str">
        <f>IF($J18="","",INDEX(DSR_Register!$A:$A,$J18))</f>
        <v/>
      </c>
      <c r="C18" t="str">
        <f>IF($J18="","",INDEX(DSR_Register!$D:$D,$J18))</f>
        <v/>
      </c>
      <c r="D18" t="str">
        <f>IF($J18="","",INDEX(DSR_Register!$W:$W,$J18))</f>
        <v/>
      </c>
      <c r="E18" t="str">
        <f>IF($J18="","",INDEX(DSR_Register!$V:$V,$J18))</f>
        <v/>
      </c>
      <c r="F18" s="1" t="str">
        <f>IF($J18="","",INDEX(DSR_Register!$U:$U,$J18))</f>
        <v/>
      </c>
      <c r="G18" t="str">
        <f t="shared" si="0"/>
        <v/>
      </c>
      <c r="H18" t="str">
        <f>IF($J18="","",IF($D18="Awaiting ID","Paused",IF($G18&lt;0,"Overdue",IF($G18&lt;=RedDays,"Red",IF($G18&lt;=AmberDays,"Amber","Green")))))</f>
        <v/>
      </c>
      <c r="J18" t="str">
        <f>IFERROR(ROUND(MOD(_xlfn.AGGREGATE(15,6,(DSR_Register!$U$2:$U$201+ROW(DSR_Register!$U$2:$U$201)/100000)/((DSR_Register!$A$2:$A$201&lt;&gt;"")*(DSR_Register!$W$2:$W$201&lt;&gt;"Closed")),ROWS(J$7:J18)),1)*100000,0),"")</f>
        <v/>
      </c>
    </row>
    <row r="19" spans="1:10" x14ac:dyDescent="0.35">
      <c r="A19" t="str">
        <f>IF($J19="","",ROWS(A$7:A19))</f>
        <v/>
      </c>
      <c r="B19" t="str">
        <f>IF($J19="","",INDEX(DSR_Register!$A:$A,$J19))</f>
        <v/>
      </c>
      <c r="C19" t="str">
        <f>IF($J19="","",INDEX(DSR_Register!$D:$D,$J19))</f>
        <v/>
      </c>
      <c r="D19" t="str">
        <f>IF($J19="","",INDEX(DSR_Register!$W:$W,$J19))</f>
        <v/>
      </c>
      <c r="E19" t="str">
        <f>IF($J19="","",INDEX(DSR_Register!$V:$V,$J19))</f>
        <v/>
      </c>
      <c r="F19" s="1" t="str">
        <f>IF($J19="","",INDEX(DSR_Register!$U:$U,$J19))</f>
        <v/>
      </c>
      <c r="G19" t="str">
        <f t="shared" si="0"/>
        <v/>
      </c>
      <c r="H19" t="str">
        <f>IF($J19="","",IF($D19="Awaiting ID","Paused",IF($G19&lt;0,"Overdue",IF($G19&lt;=RedDays,"Red",IF($G19&lt;=AmberDays,"Amber","Green")))))</f>
        <v/>
      </c>
      <c r="J19" t="str">
        <f>IFERROR(ROUND(MOD(_xlfn.AGGREGATE(15,6,(DSR_Register!$U$2:$U$201+ROW(DSR_Register!$U$2:$U$201)/100000)/((DSR_Register!$A$2:$A$201&lt;&gt;"")*(DSR_Register!$W$2:$W$201&lt;&gt;"Closed")),ROWS(J$7:J19)),1)*100000,0),"")</f>
        <v/>
      </c>
    </row>
    <row r="20" spans="1:10" x14ac:dyDescent="0.35">
      <c r="A20" t="str">
        <f>IF($J20="","",ROWS(A$7:A20))</f>
        <v/>
      </c>
      <c r="B20" t="str">
        <f>IF($J20="","",INDEX(DSR_Register!$A:$A,$J20))</f>
        <v/>
      </c>
      <c r="C20" t="str">
        <f>IF($J20="","",INDEX(DSR_Register!$D:$D,$J20))</f>
        <v/>
      </c>
      <c r="D20" t="str">
        <f>IF($J20="","",INDEX(DSR_Register!$W:$W,$J20))</f>
        <v/>
      </c>
      <c r="E20" t="str">
        <f>IF($J20="","",INDEX(DSR_Register!$V:$V,$J20))</f>
        <v/>
      </c>
      <c r="F20" s="1" t="str">
        <f>IF($J20="","",INDEX(DSR_Register!$U:$U,$J20))</f>
        <v/>
      </c>
      <c r="G20" t="str">
        <f t="shared" si="0"/>
        <v/>
      </c>
      <c r="H20" t="str">
        <f>IF($J20="","",IF($D20="Awaiting ID","Paused",IF($G20&lt;0,"Overdue",IF($G20&lt;=RedDays,"Red",IF($G20&lt;=AmberDays,"Amber","Green")))))</f>
        <v/>
      </c>
      <c r="J20" t="str">
        <f>IFERROR(ROUND(MOD(_xlfn.AGGREGATE(15,6,(DSR_Register!$U$2:$U$201+ROW(DSR_Register!$U$2:$U$201)/100000)/((DSR_Register!$A$2:$A$201&lt;&gt;"")*(DSR_Register!$W$2:$W$201&lt;&gt;"Closed")),ROWS(J$7:J20)),1)*100000,0),"")</f>
        <v/>
      </c>
    </row>
    <row r="21" spans="1:10" x14ac:dyDescent="0.35">
      <c r="A21" t="str">
        <f>IF($J21="","",ROWS(A$7:A21))</f>
        <v/>
      </c>
      <c r="B21" t="str">
        <f>IF($J21="","",INDEX(DSR_Register!$A:$A,$J21))</f>
        <v/>
      </c>
      <c r="C21" t="str">
        <f>IF($J21="","",INDEX(DSR_Register!$D:$D,$J21))</f>
        <v/>
      </c>
      <c r="D21" t="str">
        <f>IF($J21="","",INDEX(DSR_Register!$W:$W,$J21))</f>
        <v/>
      </c>
      <c r="E21" t="str">
        <f>IF($J21="","",INDEX(DSR_Register!$V:$V,$J21))</f>
        <v/>
      </c>
      <c r="F21" s="1" t="str">
        <f>IF($J21="","",INDEX(DSR_Register!$U:$U,$J21))</f>
        <v/>
      </c>
      <c r="G21" t="str">
        <f t="shared" si="0"/>
        <v/>
      </c>
      <c r="H21" t="str">
        <f>IF($J21="","",IF($D21="Awaiting ID","Paused",IF($G21&lt;0,"Overdue",IF($G21&lt;=RedDays,"Red",IF($G21&lt;=AmberDays,"Amber","Green")))))</f>
        <v/>
      </c>
      <c r="J21" t="str">
        <f>IFERROR(ROUND(MOD(_xlfn.AGGREGATE(15,6,(DSR_Register!$U$2:$U$201+ROW(DSR_Register!$U$2:$U$201)/100000)/((DSR_Register!$A$2:$A$201&lt;&gt;"")*(DSR_Register!$W$2:$W$201&lt;&gt;"Closed")),ROWS(J$7:J21)),1)*100000,0),"")</f>
        <v/>
      </c>
    </row>
    <row r="22" spans="1:10" x14ac:dyDescent="0.35">
      <c r="A22" t="str">
        <f>IF($J22="","",ROWS(A$7:A22))</f>
        <v/>
      </c>
      <c r="B22" t="str">
        <f>IF($J22="","",INDEX(DSR_Register!$A:$A,$J22))</f>
        <v/>
      </c>
      <c r="C22" t="str">
        <f>IF($J22="","",INDEX(DSR_Register!$D:$D,$J22))</f>
        <v/>
      </c>
      <c r="D22" t="str">
        <f>IF($J22="","",INDEX(DSR_Register!$W:$W,$J22))</f>
        <v/>
      </c>
      <c r="E22" t="str">
        <f>IF($J22="","",INDEX(DSR_Register!$V:$V,$J22))</f>
        <v/>
      </c>
      <c r="F22" s="1" t="str">
        <f>IF($J22="","",INDEX(DSR_Register!$U:$U,$J22))</f>
        <v/>
      </c>
      <c r="G22" t="str">
        <f t="shared" si="0"/>
        <v/>
      </c>
      <c r="H22" t="str">
        <f>IF($J22="","",IF($D22="Awaiting ID","Paused",IF($G22&lt;0,"Overdue",IF($G22&lt;=RedDays,"Red",IF($G22&lt;=AmberDays,"Amber","Green")))))</f>
        <v/>
      </c>
      <c r="J22" t="str">
        <f>IFERROR(ROUND(MOD(_xlfn.AGGREGATE(15,6,(DSR_Register!$U$2:$U$201+ROW(DSR_Register!$U$2:$U$201)/100000)/((DSR_Register!$A$2:$A$201&lt;&gt;"")*(DSR_Register!$W$2:$W$201&lt;&gt;"Closed")),ROWS(J$7:J22)),1)*100000,0),"")</f>
        <v/>
      </c>
    </row>
    <row r="23" spans="1:10" x14ac:dyDescent="0.35">
      <c r="A23" t="str">
        <f>IF($J23="","",ROWS(A$7:A23))</f>
        <v/>
      </c>
      <c r="B23" t="str">
        <f>IF($J23="","",INDEX(DSR_Register!$A:$A,$J23))</f>
        <v/>
      </c>
      <c r="C23" t="str">
        <f>IF($J23="","",INDEX(DSR_Register!$D:$D,$J23))</f>
        <v/>
      </c>
      <c r="D23" t="str">
        <f>IF($J23="","",INDEX(DSR_Register!$W:$W,$J23))</f>
        <v/>
      </c>
      <c r="E23" t="str">
        <f>IF($J23="","",INDEX(DSR_Register!$V:$V,$J23))</f>
        <v/>
      </c>
      <c r="F23" s="1" t="str">
        <f>IF($J23="","",INDEX(DSR_Register!$U:$U,$J23))</f>
        <v/>
      </c>
      <c r="G23" t="str">
        <f t="shared" si="0"/>
        <v/>
      </c>
      <c r="H23" t="str">
        <f>IF($J23="","",IF($D23="Awaiting ID","Paused",IF($G23&lt;0,"Overdue",IF($G23&lt;=RedDays,"Red",IF($G23&lt;=AmberDays,"Amber","Green")))))</f>
        <v/>
      </c>
      <c r="J23" t="str">
        <f>IFERROR(ROUND(MOD(_xlfn.AGGREGATE(15,6,(DSR_Register!$U$2:$U$201+ROW(DSR_Register!$U$2:$U$201)/100000)/((DSR_Register!$A$2:$A$201&lt;&gt;"")*(DSR_Register!$W$2:$W$201&lt;&gt;"Closed")),ROWS(J$7:J23)),1)*100000,0),"")</f>
        <v/>
      </c>
    </row>
    <row r="24" spans="1:10" x14ac:dyDescent="0.35">
      <c r="A24" t="str">
        <f>IF($J24="","",ROWS(A$7:A24))</f>
        <v/>
      </c>
      <c r="B24" t="str">
        <f>IF($J24="","",INDEX(DSR_Register!$A:$A,$J24))</f>
        <v/>
      </c>
      <c r="C24" t="str">
        <f>IF($J24="","",INDEX(DSR_Register!$D:$D,$J24))</f>
        <v/>
      </c>
      <c r="D24" t="str">
        <f>IF($J24="","",INDEX(DSR_Register!$W:$W,$J24))</f>
        <v/>
      </c>
      <c r="E24" t="str">
        <f>IF($J24="","",INDEX(DSR_Register!$V:$V,$J24))</f>
        <v/>
      </c>
      <c r="F24" s="1" t="str">
        <f>IF($J24="","",INDEX(DSR_Register!$U:$U,$J24))</f>
        <v/>
      </c>
      <c r="G24" t="str">
        <f t="shared" si="0"/>
        <v/>
      </c>
      <c r="H24" t="str">
        <f>IF($J24="","",IF($D24="Awaiting ID","Paused",IF($G24&lt;0,"Overdue",IF($G24&lt;=RedDays,"Red",IF($G24&lt;=AmberDays,"Amber","Green")))))</f>
        <v/>
      </c>
      <c r="J24" t="str">
        <f>IFERROR(ROUND(MOD(_xlfn.AGGREGATE(15,6,(DSR_Register!$U$2:$U$201+ROW(DSR_Register!$U$2:$U$201)/100000)/((DSR_Register!$A$2:$A$201&lt;&gt;"")*(DSR_Register!$W$2:$W$201&lt;&gt;"Closed")),ROWS(J$7:J24)),1)*100000,0),"")</f>
        <v/>
      </c>
    </row>
    <row r="25" spans="1:10" x14ac:dyDescent="0.35">
      <c r="A25" t="str">
        <f>IF($J25="","",ROWS(A$7:A25))</f>
        <v/>
      </c>
      <c r="B25" t="str">
        <f>IF($J25="","",INDEX(DSR_Register!$A:$A,$J25))</f>
        <v/>
      </c>
      <c r="C25" t="str">
        <f>IF($J25="","",INDEX(DSR_Register!$D:$D,$J25))</f>
        <v/>
      </c>
      <c r="D25" t="str">
        <f>IF($J25="","",INDEX(DSR_Register!$W:$W,$J25))</f>
        <v/>
      </c>
      <c r="E25" t="str">
        <f>IF($J25="","",INDEX(DSR_Register!$V:$V,$J25))</f>
        <v/>
      </c>
      <c r="F25" s="1" t="str">
        <f>IF($J25="","",INDEX(DSR_Register!$U:$U,$J25))</f>
        <v/>
      </c>
      <c r="G25" t="str">
        <f t="shared" si="0"/>
        <v/>
      </c>
      <c r="H25" t="str">
        <f>IF($J25="","",IF($D25="Awaiting ID","Paused",IF($G25&lt;0,"Overdue",IF($G25&lt;=RedDays,"Red",IF($G25&lt;=AmberDays,"Amber","Green")))))</f>
        <v/>
      </c>
      <c r="J25" t="str">
        <f>IFERROR(ROUND(MOD(_xlfn.AGGREGATE(15,6,(DSR_Register!$U$2:$U$201+ROW(DSR_Register!$U$2:$U$201)/100000)/((DSR_Register!$A$2:$A$201&lt;&gt;"")*(DSR_Register!$W$2:$W$201&lt;&gt;"Closed")),ROWS(J$7:J25)),1)*100000,0),"")</f>
        <v/>
      </c>
    </row>
    <row r="26" spans="1:10" x14ac:dyDescent="0.35">
      <c r="A26" t="str">
        <f>IF($J26="","",ROWS(A$7:A26))</f>
        <v/>
      </c>
      <c r="B26" t="str">
        <f>IF($J26="","",INDEX(DSR_Register!$A:$A,$J26))</f>
        <v/>
      </c>
      <c r="C26" t="str">
        <f>IF($J26="","",INDEX(DSR_Register!$D:$D,$J26))</f>
        <v/>
      </c>
      <c r="D26" t="str">
        <f>IF($J26="","",INDEX(DSR_Register!$W:$W,$J26))</f>
        <v/>
      </c>
      <c r="E26" t="str">
        <f>IF($J26="","",INDEX(DSR_Register!$V:$V,$J26))</f>
        <v/>
      </c>
      <c r="F26" s="1" t="str">
        <f>IF($J26="","",INDEX(DSR_Register!$U:$U,$J26))</f>
        <v/>
      </c>
      <c r="G26" t="str">
        <f t="shared" si="0"/>
        <v/>
      </c>
      <c r="H26" t="str">
        <f>IF($J26="","",IF($D26="Awaiting ID","Paused",IF($G26&lt;0,"Overdue",IF($G26&lt;=RedDays,"Red",IF($G26&lt;=AmberDays,"Amber","Green")))))</f>
        <v/>
      </c>
      <c r="J26" t="str">
        <f>IFERROR(ROUND(MOD(_xlfn.AGGREGATE(15,6,(DSR_Register!$U$2:$U$201+ROW(DSR_Register!$U$2:$U$201)/100000)/((DSR_Register!$A$2:$A$201&lt;&gt;"")*(DSR_Register!$W$2:$W$201&lt;&gt;"Closed")),ROWS(J$7:J26)),1)*100000,0),"")</f>
        <v/>
      </c>
    </row>
    <row r="27" spans="1:10" x14ac:dyDescent="0.35">
      <c r="A27" t="str">
        <f>IF($J27="","",ROWS(A$7:A27))</f>
        <v/>
      </c>
      <c r="B27" t="str">
        <f>IF($J27="","",INDEX(DSR_Register!$A:$A,$J27))</f>
        <v/>
      </c>
      <c r="C27" t="str">
        <f>IF($J27="","",INDEX(DSR_Register!$D:$D,$J27))</f>
        <v/>
      </c>
      <c r="D27" t="str">
        <f>IF($J27="","",INDEX(DSR_Register!$W:$W,$J27))</f>
        <v/>
      </c>
      <c r="E27" t="str">
        <f>IF($J27="","",INDEX(DSR_Register!$V:$V,$J27))</f>
        <v/>
      </c>
      <c r="F27" s="1" t="str">
        <f>IF($J27="","",INDEX(DSR_Register!$U:$U,$J27))</f>
        <v/>
      </c>
      <c r="G27" t="str">
        <f t="shared" si="0"/>
        <v/>
      </c>
      <c r="H27" t="str">
        <f>IF($J27="","",IF($D27="Awaiting ID","Paused",IF($G27&lt;0,"Overdue",IF($G27&lt;=RedDays,"Red",IF($G27&lt;=AmberDays,"Amber","Green")))))</f>
        <v/>
      </c>
      <c r="J27" t="str">
        <f>IFERROR(ROUND(MOD(_xlfn.AGGREGATE(15,6,(DSR_Register!$U$2:$U$201+ROW(DSR_Register!$U$2:$U$201)/100000)/((DSR_Register!$A$2:$A$201&lt;&gt;"")*(DSR_Register!$W$2:$W$201&lt;&gt;"Closed")),ROWS(J$7:J27)),1)*100000,0),"")</f>
        <v/>
      </c>
    </row>
    <row r="28" spans="1:10" x14ac:dyDescent="0.35">
      <c r="A28" t="str">
        <f>IF($J28="","",ROWS(A$7:A28))</f>
        <v/>
      </c>
      <c r="B28" t="str">
        <f>IF($J28="","",INDEX(DSR_Register!$A:$A,$J28))</f>
        <v/>
      </c>
      <c r="C28" t="str">
        <f>IF($J28="","",INDEX(DSR_Register!$D:$D,$J28))</f>
        <v/>
      </c>
      <c r="D28" t="str">
        <f>IF($J28="","",INDEX(DSR_Register!$W:$W,$J28))</f>
        <v/>
      </c>
      <c r="E28" t="str">
        <f>IF($J28="","",INDEX(DSR_Register!$V:$V,$J28))</f>
        <v/>
      </c>
      <c r="F28" s="1" t="str">
        <f>IF($J28="","",INDEX(DSR_Register!$U:$U,$J28))</f>
        <v/>
      </c>
      <c r="G28" t="str">
        <f t="shared" si="0"/>
        <v/>
      </c>
      <c r="H28" t="str">
        <f>IF($J28="","",IF($D28="Awaiting ID","Paused",IF($G28&lt;0,"Overdue",IF($G28&lt;=RedDays,"Red",IF($G28&lt;=AmberDays,"Amber","Green")))))</f>
        <v/>
      </c>
      <c r="J28" t="str">
        <f>IFERROR(ROUND(MOD(_xlfn.AGGREGATE(15,6,(DSR_Register!$U$2:$U$201+ROW(DSR_Register!$U$2:$U$201)/100000)/((DSR_Register!$A$2:$A$201&lt;&gt;"")*(DSR_Register!$W$2:$W$201&lt;&gt;"Closed")),ROWS(J$7:J28)),1)*100000,0),"")</f>
        <v/>
      </c>
    </row>
    <row r="29" spans="1:10" x14ac:dyDescent="0.35">
      <c r="A29" t="str">
        <f>IF($J29="","",ROWS(A$7:A29))</f>
        <v/>
      </c>
      <c r="B29" t="str">
        <f>IF($J29="","",INDEX(DSR_Register!$A:$A,$J29))</f>
        <v/>
      </c>
      <c r="C29" t="str">
        <f>IF($J29="","",INDEX(DSR_Register!$D:$D,$J29))</f>
        <v/>
      </c>
      <c r="D29" t="str">
        <f>IF($J29="","",INDEX(DSR_Register!$W:$W,$J29))</f>
        <v/>
      </c>
      <c r="E29" t="str">
        <f>IF($J29="","",INDEX(DSR_Register!$V:$V,$J29))</f>
        <v/>
      </c>
      <c r="F29" s="1" t="str">
        <f>IF($J29="","",INDEX(DSR_Register!$U:$U,$J29))</f>
        <v/>
      </c>
      <c r="G29" t="str">
        <f t="shared" si="0"/>
        <v/>
      </c>
      <c r="H29" t="str">
        <f>IF($J29="","",IF($D29="Awaiting ID","Paused",IF($G29&lt;0,"Overdue",IF($G29&lt;=RedDays,"Red",IF($G29&lt;=AmberDays,"Amber","Green")))))</f>
        <v/>
      </c>
      <c r="J29" t="str">
        <f>IFERROR(ROUND(MOD(_xlfn.AGGREGATE(15,6,(DSR_Register!$U$2:$U$201+ROW(DSR_Register!$U$2:$U$201)/100000)/((DSR_Register!$A$2:$A$201&lt;&gt;"")*(DSR_Register!$W$2:$W$201&lt;&gt;"Closed")),ROWS(J$7:J29)),1)*100000,0),"")</f>
        <v/>
      </c>
    </row>
    <row r="30" spans="1:10" x14ac:dyDescent="0.35">
      <c r="A30" t="str">
        <f>IF($J30="","",ROWS(A$7:A30))</f>
        <v/>
      </c>
      <c r="B30" t="str">
        <f>IF($J30="","",INDEX(DSR_Register!$A:$A,$J30))</f>
        <v/>
      </c>
      <c r="C30" t="str">
        <f>IF($J30="","",INDEX(DSR_Register!$D:$D,$J30))</f>
        <v/>
      </c>
      <c r="D30" t="str">
        <f>IF($J30="","",INDEX(DSR_Register!$W:$W,$J30))</f>
        <v/>
      </c>
      <c r="E30" t="str">
        <f>IF($J30="","",INDEX(DSR_Register!$V:$V,$J30))</f>
        <v/>
      </c>
      <c r="F30" s="1" t="str">
        <f>IF($J30="","",INDEX(DSR_Register!$U:$U,$J30))</f>
        <v/>
      </c>
      <c r="G30" t="str">
        <f t="shared" si="0"/>
        <v/>
      </c>
      <c r="H30" t="str">
        <f>IF($J30="","",IF($D30="Awaiting ID","Paused",IF($G30&lt;0,"Overdue",IF($G30&lt;=RedDays,"Red",IF($G30&lt;=AmberDays,"Amber","Green")))))</f>
        <v/>
      </c>
      <c r="J30" t="str">
        <f>IFERROR(ROUND(MOD(_xlfn.AGGREGATE(15,6,(DSR_Register!$U$2:$U$201+ROW(DSR_Register!$U$2:$U$201)/100000)/((DSR_Register!$A$2:$A$201&lt;&gt;"")*(DSR_Register!$W$2:$W$201&lt;&gt;"Closed")),ROWS(J$7:J30)),1)*100000,0),"")</f>
        <v/>
      </c>
    </row>
    <row r="31" spans="1:10" x14ac:dyDescent="0.35">
      <c r="A31" t="str">
        <f>IF($J31="","",ROWS(A$7:A31))</f>
        <v/>
      </c>
      <c r="B31" t="str">
        <f>IF($J31="","",INDEX(DSR_Register!$A:$A,$J31))</f>
        <v/>
      </c>
      <c r="C31" t="str">
        <f>IF($J31="","",INDEX(DSR_Register!$D:$D,$J31))</f>
        <v/>
      </c>
      <c r="D31" t="str">
        <f>IF($J31="","",INDEX(DSR_Register!$W:$W,$J31))</f>
        <v/>
      </c>
      <c r="E31" t="str">
        <f>IF($J31="","",INDEX(DSR_Register!$V:$V,$J31))</f>
        <v/>
      </c>
      <c r="F31" s="1" t="str">
        <f>IF($J31="","",INDEX(DSR_Register!$U:$U,$J31))</f>
        <v/>
      </c>
      <c r="G31" t="str">
        <f t="shared" si="0"/>
        <v/>
      </c>
      <c r="H31" t="str">
        <f>IF($J31="","",IF($D31="Awaiting ID","Paused",IF($G31&lt;0,"Overdue",IF($G31&lt;=RedDays,"Red",IF($G31&lt;=AmberDays,"Amber","Green")))))</f>
        <v/>
      </c>
      <c r="J31" t="str">
        <f>IFERROR(ROUND(MOD(_xlfn.AGGREGATE(15,6,(DSR_Register!$U$2:$U$201+ROW(DSR_Register!$U$2:$U$201)/100000)/((DSR_Register!$A$2:$A$201&lt;&gt;"")*(DSR_Register!$W$2:$W$201&lt;&gt;"Closed")),ROWS(J$7:J31)),1)*100000,0),"")</f>
        <v/>
      </c>
    </row>
    <row r="32" spans="1:10" x14ac:dyDescent="0.35">
      <c r="A32" t="str">
        <f>IF($J32="","",ROWS(A$7:A32))</f>
        <v/>
      </c>
      <c r="B32" t="str">
        <f>IF($J32="","",INDEX(DSR_Register!$A:$A,$J32))</f>
        <v/>
      </c>
      <c r="C32" t="str">
        <f>IF($J32="","",INDEX(DSR_Register!$D:$D,$J32))</f>
        <v/>
      </c>
      <c r="D32" t="str">
        <f>IF($J32="","",INDEX(DSR_Register!$W:$W,$J32))</f>
        <v/>
      </c>
      <c r="E32" t="str">
        <f>IF($J32="","",INDEX(DSR_Register!$V:$V,$J32))</f>
        <v/>
      </c>
      <c r="F32" s="1" t="str">
        <f>IF($J32="","",INDEX(DSR_Register!$U:$U,$J32))</f>
        <v/>
      </c>
      <c r="G32" t="str">
        <f t="shared" si="0"/>
        <v/>
      </c>
      <c r="H32" t="str">
        <f>IF($J32="","",IF($D32="Awaiting ID","Paused",IF($G32&lt;0,"Overdue",IF($G32&lt;=RedDays,"Red",IF($G32&lt;=AmberDays,"Amber","Green")))))</f>
        <v/>
      </c>
      <c r="J32" t="str">
        <f>IFERROR(ROUND(MOD(_xlfn.AGGREGATE(15,6,(DSR_Register!$U$2:$U$201+ROW(DSR_Register!$U$2:$U$201)/100000)/((DSR_Register!$A$2:$A$201&lt;&gt;"")*(DSR_Register!$W$2:$W$201&lt;&gt;"Closed")),ROWS(J$7:J32)),1)*100000,0),"")</f>
        <v/>
      </c>
    </row>
    <row r="33" spans="1:10" x14ac:dyDescent="0.35">
      <c r="A33" t="str">
        <f>IF($J33="","",ROWS(A$7:A33))</f>
        <v/>
      </c>
      <c r="B33" t="str">
        <f>IF($J33="","",INDEX(DSR_Register!$A:$A,$J33))</f>
        <v/>
      </c>
      <c r="C33" t="str">
        <f>IF($J33="","",INDEX(DSR_Register!$D:$D,$J33))</f>
        <v/>
      </c>
      <c r="D33" t="str">
        <f>IF($J33="","",INDEX(DSR_Register!$W:$W,$J33))</f>
        <v/>
      </c>
      <c r="E33" t="str">
        <f>IF($J33="","",INDEX(DSR_Register!$V:$V,$J33))</f>
        <v/>
      </c>
      <c r="F33" s="1" t="str">
        <f>IF($J33="","",INDEX(DSR_Register!$U:$U,$J33))</f>
        <v/>
      </c>
      <c r="G33" t="str">
        <f t="shared" si="0"/>
        <v/>
      </c>
      <c r="H33" t="str">
        <f>IF($J33="","",IF($D33="Awaiting ID","Paused",IF($G33&lt;0,"Overdue",IF($G33&lt;=RedDays,"Red",IF($G33&lt;=AmberDays,"Amber","Green")))))</f>
        <v/>
      </c>
      <c r="J33" t="str">
        <f>IFERROR(ROUND(MOD(_xlfn.AGGREGATE(15,6,(DSR_Register!$U$2:$U$201+ROW(DSR_Register!$U$2:$U$201)/100000)/((DSR_Register!$A$2:$A$201&lt;&gt;"")*(DSR_Register!$W$2:$W$201&lt;&gt;"Closed")),ROWS(J$7:J33)),1)*100000,0),"")</f>
        <v/>
      </c>
    </row>
    <row r="34" spans="1:10" x14ac:dyDescent="0.35">
      <c r="A34" t="str">
        <f>IF($J34="","",ROWS(A$7:A34))</f>
        <v/>
      </c>
      <c r="B34" t="str">
        <f>IF($J34="","",INDEX(DSR_Register!$A:$A,$J34))</f>
        <v/>
      </c>
      <c r="C34" t="str">
        <f>IF($J34="","",INDEX(DSR_Register!$D:$D,$J34))</f>
        <v/>
      </c>
      <c r="D34" t="str">
        <f>IF($J34="","",INDEX(DSR_Register!$W:$W,$J34))</f>
        <v/>
      </c>
      <c r="E34" t="str">
        <f>IF($J34="","",INDEX(DSR_Register!$V:$V,$J34))</f>
        <v/>
      </c>
      <c r="F34" s="1" t="str">
        <f>IF($J34="","",INDEX(DSR_Register!$U:$U,$J34))</f>
        <v/>
      </c>
      <c r="G34" t="str">
        <f t="shared" si="0"/>
        <v/>
      </c>
      <c r="H34" t="str">
        <f>IF($J34="","",IF($D34="Awaiting ID","Paused",IF($G34&lt;0,"Overdue",IF($G34&lt;=RedDays,"Red",IF($G34&lt;=AmberDays,"Amber","Green")))))</f>
        <v/>
      </c>
      <c r="J34" t="str">
        <f>IFERROR(ROUND(MOD(_xlfn.AGGREGATE(15,6,(DSR_Register!$U$2:$U$201+ROW(DSR_Register!$U$2:$U$201)/100000)/((DSR_Register!$A$2:$A$201&lt;&gt;"")*(DSR_Register!$W$2:$W$201&lt;&gt;"Closed")),ROWS(J$7:J34)),1)*100000,0),"")</f>
        <v/>
      </c>
    </row>
    <row r="35" spans="1:10" x14ac:dyDescent="0.35">
      <c r="A35" t="str">
        <f>IF($J35="","",ROWS(A$7:A35))</f>
        <v/>
      </c>
      <c r="B35" t="str">
        <f>IF($J35="","",INDEX(DSR_Register!$A:$A,$J35))</f>
        <v/>
      </c>
      <c r="C35" t="str">
        <f>IF($J35="","",INDEX(DSR_Register!$D:$D,$J35))</f>
        <v/>
      </c>
      <c r="D35" t="str">
        <f>IF($J35="","",INDEX(DSR_Register!$W:$W,$J35))</f>
        <v/>
      </c>
      <c r="E35" t="str">
        <f>IF($J35="","",INDEX(DSR_Register!$V:$V,$J35))</f>
        <v/>
      </c>
      <c r="F35" s="1" t="str">
        <f>IF($J35="","",INDEX(DSR_Register!$U:$U,$J35))</f>
        <v/>
      </c>
      <c r="G35" t="str">
        <f t="shared" si="0"/>
        <v/>
      </c>
      <c r="H35" t="str">
        <f>IF($J35="","",IF($D35="Awaiting ID","Paused",IF($G35&lt;0,"Overdue",IF($G35&lt;=RedDays,"Red",IF($G35&lt;=AmberDays,"Amber","Green")))))</f>
        <v/>
      </c>
      <c r="J35" t="str">
        <f>IFERROR(ROUND(MOD(_xlfn.AGGREGATE(15,6,(DSR_Register!$U$2:$U$201+ROW(DSR_Register!$U$2:$U$201)/100000)/((DSR_Register!$A$2:$A$201&lt;&gt;"")*(DSR_Register!$W$2:$W$201&lt;&gt;"Closed")),ROWS(J$7:J35)),1)*100000,0),"")</f>
        <v/>
      </c>
    </row>
    <row r="36" spans="1:10" x14ac:dyDescent="0.35">
      <c r="A36" t="str">
        <f>IF($J36="","",ROWS(A$7:A36))</f>
        <v/>
      </c>
      <c r="B36" t="str">
        <f>IF($J36="","",INDEX(DSR_Register!$A:$A,$J36))</f>
        <v/>
      </c>
      <c r="C36" t="str">
        <f>IF($J36="","",INDEX(DSR_Register!$D:$D,$J36))</f>
        <v/>
      </c>
      <c r="D36" t="str">
        <f>IF($J36="","",INDEX(DSR_Register!$W:$W,$J36))</f>
        <v/>
      </c>
      <c r="E36" t="str">
        <f>IF($J36="","",INDEX(DSR_Register!$V:$V,$J36))</f>
        <v/>
      </c>
      <c r="F36" s="1" t="str">
        <f>IF($J36="","",INDEX(DSR_Register!$U:$U,$J36))</f>
        <v/>
      </c>
      <c r="G36" t="str">
        <f t="shared" si="0"/>
        <v/>
      </c>
      <c r="H36" t="str">
        <f>IF($J36="","",IF($D36="Awaiting ID","Paused",IF($G36&lt;0,"Overdue",IF($G36&lt;=RedDays,"Red",IF($G36&lt;=AmberDays,"Amber","Green")))))</f>
        <v/>
      </c>
      <c r="J36" t="str">
        <f>IFERROR(ROUND(MOD(_xlfn.AGGREGATE(15,6,(DSR_Register!$U$2:$U$201+ROW(DSR_Register!$U$2:$U$201)/100000)/((DSR_Register!$A$2:$A$201&lt;&gt;"")*(DSR_Register!$W$2:$W$201&lt;&gt;"Closed")),ROWS(J$7:J36)),1)*100000,0),"")</f>
        <v/>
      </c>
    </row>
    <row r="38" spans="1:10" ht="13.9" x14ac:dyDescent="0.35">
      <c r="A38" s="3" t="s">
        <v>3420</v>
      </c>
      <c r="B38" s="11"/>
      <c r="C38" s="11"/>
      <c r="D38" s="11"/>
      <c r="E38" s="11"/>
      <c r="F38" s="11"/>
      <c r="G38" s="11"/>
      <c r="H38" s="11"/>
    </row>
    <row r="39" spans="1:10" ht="13.9" x14ac:dyDescent="0.35">
      <c r="A39" s="2" t="s">
        <v>3416</v>
      </c>
      <c r="B39" s="2" t="s">
        <v>230</v>
      </c>
      <c r="C39" s="2" t="s">
        <v>106</v>
      </c>
      <c r="D39" s="2" t="s">
        <v>65</v>
      </c>
      <c r="E39" s="2" t="s">
        <v>63</v>
      </c>
      <c r="F39" s="2" t="s">
        <v>236</v>
      </c>
      <c r="G39" s="2" t="s">
        <v>3421</v>
      </c>
      <c r="H39" s="2" t="s">
        <v>3422</v>
      </c>
      <c r="I39" s="2"/>
      <c r="J39" s="2" t="s">
        <v>3419</v>
      </c>
    </row>
    <row r="40" spans="1:10" x14ac:dyDescent="0.35">
      <c r="A40">
        <f>IF($J40="","",ROWS(A$40:A40))</f>
        <v>1</v>
      </c>
      <c r="B40" t="str">
        <f>IF($J40="","",INDEX(Incident_Log!$A:$A,$J40))</f>
        <v>INC-2026-012</v>
      </c>
      <c r="C40" t="str">
        <f>IF($J40="","",INDEX(Incident_Log!$E:$E,$J40))</f>
        <v>Failure to use bcc</v>
      </c>
      <c r="D40" t="str">
        <f>IF($J40="","",INDEX(Incident_Log!$K:$K,$J40))</f>
        <v>Medium</v>
      </c>
      <c r="E40" t="str">
        <f>IF($J40="","",INDEX(Incident_Log!$T:$T,$J40))</f>
        <v>Privacy Analyst</v>
      </c>
      <c r="F40" s="9">
        <f>IF($J40="","",INDEX(Incident_Log!$M:$M,$J40))</f>
        <v>46326.583333000002</v>
      </c>
      <c r="G40">
        <f t="shared" ref="G40:G49" ca="1" si="1">IF($J40="","",ROUND(($F40-NOW())*24,1))</f>
        <v>276.10000000000002</v>
      </c>
      <c r="H40" t="str">
        <f t="shared" ref="H40:H49" ca="1" si="2">IF($J40="","",IF($G40&lt;0,"Overdue - notify now",IF($G40&lt;=24,"Due within 24h","Open")))</f>
        <v>Open</v>
      </c>
      <c r="J40">
        <f>IFERROR(ROUND(MOD(_xlfn.AGGREGATE(15,6,(INT(Incident_Log!$M$2:$M$101)+ROW(Incident_Log!$M$2:$M$101)/100000)/((Incident_Log!$L$2:$L$101="Yes")*(Incident_Log!$N$2:$N$101="")),ROWS(J$40:J40)),1)*100000,0),"")</f>
        <v>13</v>
      </c>
    </row>
    <row r="41" spans="1:10" x14ac:dyDescent="0.35">
      <c r="A41" t="str">
        <f>IF($J41="","",ROWS(A$40:A41))</f>
        <v/>
      </c>
      <c r="B41" t="str">
        <f>IF($J41="","",INDEX(Incident_Log!$A:$A,$J41))</f>
        <v/>
      </c>
      <c r="C41" t="str">
        <f>IF($J41="","",INDEX(Incident_Log!$E:$E,$J41))</f>
        <v/>
      </c>
      <c r="D41" t="str">
        <f>IF($J41="","",INDEX(Incident_Log!$K:$K,$J41))</f>
        <v/>
      </c>
      <c r="E41" t="str">
        <f>IF($J41="","",INDEX(Incident_Log!$T:$T,$J41))</f>
        <v/>
      </c>
      <c r="F41" s="9" t="str">
        <f>IF($J41="","",INDEX(Incident_Log!$M:$M,$J41))</f>
        <v/>
      </c>
      <c r="G41" t="str">
        <f t="shared" ca="1" si="1"/>
        <v/>
      </c>
      <c r="H41" t="str">
        <f t="shared" si="2"/>
        <v/>
      </c>
      <c r="J41" t="str">
        <f>IFERROR(ROUND(MOD(_xlfn.AGGREGATE(15,6,(INT(Incident_Log!$M$2:$M$101)+ROW(Incident_Log!$M$2:$M$101)/100000)/((Incident_Log!$L$2:$L$101="Yes")*(Incident_Log!$N$2:$N$101="")),ROWS(J$40:J41)),1)*100000,0),"")</f>
        <v/>
      </c>
    </row>
    <row r="42" spans="1:10" x14ac:dyDescent="0.35">
      <c r="A42" t="str">
        <f>IF($J42="","",ROWS(A$40:A42))</f>
        <v/>
      </c>
      <c r="B42" t="str">
        <f>IF($J42="","",INDEX(Incident_Log!$A:$A,$J42))</f>
        <v/>
      </c>
      <c r="C42" t="str">
        <f>IF($J42="","",INDEX(Incident_Log!$E:$E,$J42))</f>
        <v/>
      </c>
      <c r="D42" t="str">
        <f>IF($J42="","",INDEX(Incident_Log!$K:$K,$J42))</f>
        <v/>
      </c>
      <c r="E42" t="str">
        <f>IF($J42="","",INDEX(Incident_Log!$T:$T,$J42))</f>
        <v/>
      </c>
      <c r="F42" s="9" t="str">
        <f>IF($J42="","",INDEX(Incident_Log!$M:$M,$J42))</f>
        <v/>
      </c>
      <c r="G42" t="str">
        <f t="shared" ca="1" si="1"/>
        <v/>
      </c>
      <c r="H42" t="str">
        <f t="shared" si="2"/>
        <v/>
      </c>
      <c r="J42" t="str">
        <f>IFERROR(ROUND(MOD(_xlfn.AGGREGATE(15,6,(INT(Incident_Log!$M$2:$M$101)+ROW(Incident_Log!$M$2:$M$101)/100000)/((Incident_Log!$L$2:$L$101="Yes")*(Incident_Log!$N$2:$N$101="")),ROWS(J$40:J42)),1)*100000,0),"")</f>
        <v/>
      </c>
    </row>
    <row r="43" spans="1:10" x14ac:dyDescent="0.35">
      <c r="A43" t="str">
        <f>IF($J43="","",ROWS(A$40:A43))</f>
        <v/>
      </c>
      <c r="B43" t="str">
        <f>IF($J43="","",INDEX(Incident_Log!$A:$A,$J43))</f>
        <v/>
      </c>
      <c r="C43" t="str">
        <f>IF($J43="","",INDEX(Incident_Log!$E:$E,$J43))</f>
        <v/>
      </c>
      <c r="D43" t="str">
        <f>IF($J43="","",INDEX(Incident_Log!$K:$K,$J43))</f>
        <v/>
      </c>
      <c r="E43" t="str">
        <f>IF($J43="","",INDEX(Incident_Log!$T:$T,$J43))</f>
        <v/>
      </c>
      <c r="F43" s="9" t="str">
        <f>IF($J43="","",INDEX(Incident_Log!$M:$M,$J43))</f>
        <v/>
      </c>
      <c r="G43" t="str">
        <f t="shared" ca="1" si="1"/>
        <v/>
      </c>
      <c r="H43" t="str">
        <f t="shared" si="2"/>
        <v/>
      </c>
      <c r="J43" t="str">
        <f>IFERROR(ROUND(MOD(_xlfn.AGGREGATE(15,6,(INT(Incident_Log!$M$2:$M$101)+ROW(Incident_Log!$M$2:$M$101)/100000)/((Incident_Log!$L$2:$L$101="Yes")*(Incident_Log!$N$2:$N$101="")),ROWS(J$40:J43)),1)*100000,0),"")</f>
        <v/>
      </c>
    </row>
    <row r="44" spans="1:10" x14ac:dyDescent="0.35">
      <c r="A44" t="str">
        <f>IF($J44="","",ROWS(A$40:A44))</f>
        <v/>
      </c>
      <c r="B44" t="str">
        <f>IF($J44="","",INDEX(Incident_Log!$A:$A,$J44))</f>
        <v/>
      </c>
      <c r="C44" t="str">
        <f>IF($J44="","",INDEX(Incident_Log!$E:$E,$J44))</f>
        <v/>
      </c>
      <c r="D44" t="str">
        <f>IF($J44="","",INDEX(Incident_Log!$K:$K,$J44))</f>
        <v/>
      </c>
      <c r="E44" t="str">
        <f>IF($J44="","",INDEX(Incident_Log!$T:$T,$J44))</f>
        <v/>
      </c>
      <c r="F44" s="9" t="str">
        <f>IF($J44="","",INDEX(Incident_Log!$M:$M,$J44))</f>
        <v/>
      </c>
      <c r="G44" t="str">
        <f t="shared" ca="1" si="1"/>
        <v/>
      </c>
      <c r="H44" t="str">
        <f t="shared" si="2"/>
        <v/>
      </c>
      <c r="J44" t="str">
        <f>IFERROR(ROUND(MOD(_xlfn.AGGREGATE(15,6,(INT(Incident_Log!$M$2:$M$101)+ROW(Incident_Log!$M$2:$M$101)/100000)/((Incident_Log!$L$2:$L$101="Yes")*(Incident_Log!$N$2:$N$101="")),ROWS(J$40:J44)),1)*100000,0),"")</f>
        <v/>
      </c>
    </row>
    <row r="45" spans="1:10" x14ac:dyDescent="0.35">
      <c r="A45" t="str">
        <f>IF($J45="","",ROWS(A$40:A45))</f>
        <v/>
      </c>
      <c r="B45" t="str">
        <f>IF($J45="","",INDEX(Incident_Log!$A:$A,$J45))</f>
        <v/>
      </c>
      <c r="C45" t="str">
        <f>IF($J45="","",INDEX(Incident_Log!$E:$E,$J45))</f>
        <v/>
      </c>
      <c r="D45" t="str">
        <f>IF($J45="","",INDEX(Incident_Log!$K:$K,$J45))</f>
        <v/>
      </c>
      <c r="E45" t="str">
        <f>IF($J45="","",INDEX(Incident_Log!$T:$T,$J45))</f>
        <v/>
      </c>
      <c r="F45" s="9" t="str">
        <f>IF($J45="","",INDEX(Incident_Log!$M:$M,$J45))</f>
        <v/>
      </c>
      <c r="G45" t="str">
        <f t="shared" ca="1" si="1"/>
        <v/>
      </c>
      <c r="H45" t="str">
        <f t="shared" si="2"/>
        <v/>
      </c>
      <c r="J45" t="str">
        <f>IFERROR(ROUND(MOD(_xlfn.AGGREGATE(15,6,(INT(Incident_Log!$M$2:$M$101)+ROW(Incident_Log!$M$2:$M$101)/100000)/((Incident_Log!$L$2:$L$101="Yes")*(Incident_Log!$N$2:$N$101="")),ROWS(J$40:J45)),1)*100000,0),"")</f>
        <v/>
      </c>
    </row>
    <row r="46" spans="1:10" x14ac:dyDescent="0.35">
      <c r="A46" t="str">
        <f>IF($J46="","",ROWS(A$40:A46))</f>
        <v/>
      </c>
      <c r="B46" t="str">
        <f>IF($J46="","",INDEX(Incident_Log!$A:$A,$J46))</f>
        <v/>
      </c>
      <c r="C46" t="str">
        <f>IF($J46="","",INDEX(Incident_Log!$E:$E,$J46))</f>
        <v/>
      </c>
      <c r="D46" t="str">
        <f>IF($J46="","",INDEX(Incident_Log!$K:$K,$J46))</f>
        <v/>
      </c>
      <c r="E46" t="str">
        <f>IF($J46="","",INDEX(Incident_Log!$T:$T,$J46))</f>
        <v/>
      </c>
      <c r="F46" s="9" t="str">
        <f>IF($J46="","",INDEX(Incident_Log!$M:$M,$J46))</f>
        <v/>
      </c>
      <c r="G46" t="str">
        <f t="shared" ca="1" si="1"/>
        <v/>
      </c>
      <c r="H46" t="str">
        <f t="shared" si="2"/>
        <v/>
      </c>
      <c r="J46" t="str">
        <f>IFERROR(ROUND(MOD(_xlfn.AGGREGATE(15,6,(INT(Incident_Log!$M$2:$M$101)+ROW(Incident_Log!$M$2:$M$101)/100000)/((Incident_Log!$L$2:$L$101="Yes")*(Incident_Log!$N$2:$N$101="")),ROWS(J$40:J46)),1)*100000,0),"")</f>
        <v/>
      </c>
    </row>
    <row r="47" spans="1:10" x14ac:dyDescent="0.35">
      <c r="A47" t="str">
        <f>IF($J47="","",ROWS(A$40:A47))</f>
        <v/>
      </c>
      <c r="B47" t="str">
        <f>IF($J47="","",INDEX(Incident_Log!$A:$A,$J47))</f>
        <v/>
      </c>
      <c r="C47" t="str">
        <f>IF($J47="","",INDEX(Incident_Log!$E:$E,$J47))</f>
        <v/>
      </c>
      <c r="D47" t="str">
        <f>IF($J47="","",INDEX(Incident_Log!$K:$K,$J47))</f>
        <v/>
      </c>
      <c r="E47" t="str">
        <f>IF($J47="","",INDEX(Incident_Log!$T:$T,$J47))</f>
        <v/>
      </c>
      <c r="F47" s="9" t="str">
        <f>IF($J47="","",INDEX(Incident_Log!$M:$M,$J47))</f>
        <v/>
      </c>
      <c r="G47" t="str">
        <f t="shared" ca="1" si="1"/>
        <v/>
      </c>
      <c r="H47" t="str">
        <f t="shared" si="2"/>
        <v/>
      </c>
      <c r="J47" t="str">
        <f>IFERROR(ROUND(MOD(_xlfn.AGGREGATE(15,6,(INT(Incident_Log!$M$2:$M$101)+ROW(Incident_Log!$M$2:$M$101)/100000)/((Incident_Log!$L$2:$L$101="Yes")*(Incident_Log!$N$2:$N$101="")),ROWS(J$40:J47)),1)*100000,0),"")</f>
        <v/>
      </c>
    </row>
    <row r="48" spans="1:10" x14ac:dyDescent="0.35">
      <c r="A48" t="str">
        <f>IF($J48="","",ROWS(A$40:A48))</f>
        <v/>
      </c>
      <c r="B48" t="str">
        <f>IF($J48="","",INDEX(Incident_Log!$A:$A,$J48))</f>
        <v/>
      </c>
      <c r="C48" t="str">
        <f>IF($J48="","",INDEX(Incident_Log!$E:$E,$J48))</f>
        <v/>
      </c>
      <c r="D48" t="str">
        <f>IF($J48="","",INDEX(Incident_Log!$K:$K,$J48))</f>
        <v/>
      </c>
      <c r="E48" t="str">
        <f>IF($J48="","",INDEX(Incident_Log!$T:$T,$J48))</f>
        <v/>
      </c>
      <c r="F48" s="9" t="str">
        <f>IF($J48="","",INDEX(Incident_Log!$M:$M,$J48))</f>
        <v/>
      </c>
      <c r="G48" t="str">
        <f t="shared" ca="1" si="1"/>
        <v/>
      </c>
      <c r="H48" t="str">
        <f t="shared" si="2"/>
        <v/>
      </c>
      <c r="J48" t="str">
        <f>IFERROR(ROUND(MOD(_xlfn.AGGREGATE(15,6,(INT(Incident_Log!$M$2:$M$101)+ROW(Incident_Log!$M$2:$M$101)/100000)/((Incident_Log!$L$2:$L$101="Yes")*(Incident_Log!$N$2:$N$101="")),ROWS(J$40:J48)),1)*100000,0),"")</f>
        <v/>
      </c>
    </row>
    <row r="49" spans="1:10" x14ac:dyDescent="0.35">
      <c r="A49" t="str">
        <f>IF($J49="","",ROWS(A$40:A49))</f>
        <v/>
      </c>
      <c r="B49" t="str">
        <f>IF($J49="","",INDEX(Incident_Log!$A:$A,$J49))</f>
        <v/>
      </c>
      <c r="C49" t="str">
        <f>IF($J49="","",INDEX(Incident_Log!$E:$E,$J49))</f>
        <v/>
      </c>
      <c r="D49" t="str">
        <f>IF($J49="","",INDEX(Incident_Log!$K:$K,$J49))</f>
        <v/>
      </c>
      <c r="E49" t="str">
        <f>IF($J49="","",INDEX(Incident_Log!$T:$T,$J49))</f>
        <v/>
      </c>
      <c r="F49" s="9" t="str">
        <f>IF($J49="","",INDEX(Incident_Log!$M:$M,$J49))</f>
        <v/>
      </c>
      <c r="G49" t="str">
        <f t="shared" ca="1" si="1"/>
        <v/>
      </c>
      <c r="H49" t="str">
        <f t="shared" si="2"/>
        <v/>
      </c>
      <c r="J49" t="str">
        <f>IFERROR(ROUND(MOD(_xlfn.AGGREGATE(15,6,(INT(Incident_Log!$M$2:$M$101)+ROW(Incident_Log!$M$2:$M$101)/100000)/((Incident_Log!$L$2:$L$101="Yes")*(Incident_Log!$N$2:$N$101="")),ROWS(J$40:J49)),1)*100000,0),"")</f>
        <v/>
      </c>
    </row>
    <row r="51" spans="1:10" ht="13.9" x14ac:dyDescent="0.35">
      <c r="A51" s="3" t="s">
        <v>3423</v>
      </c>
      <c r="B51" s="11"/>
      <c r="C51" s="11"/>
      <c r="D51" s="11"/>
      <c r="E51" s="11"/>
      <c r="F51" s="11"/>
      <c r="G51" s="11"/>
      <c r="H51" s="11"/>
    </row>
    <row r="52" spans="1:10" ht="13.9" x14ac:dyDescent="0.35">
      <c r="A52" s="2" t="s">
        <v>3416</v>
      </c>
      <c r="B52" s="2" t="s">
        <v>3353</v>
      </c>
      <c r="C52" s="2" t="s">
        <v>3354</v>
      </c>
      <c r="D52" s="2" t="s">
        <v>68</v>
      </c>
      <c r="E52" s="2" t="s">
        <v>3365</v>
      </c>
      <c r="F52" s="2" t="s">
        <v>3366</v>
      </c>
      <c r="G52" s="2" t="s">
        <v>3417</v>
      </c>
      <c r="H52" s="2" t="s">
        <v>3422</v>
      </c>
      <c r="I52" s="2"/>
      <c r="J52" s="2" t="s">
        <v>3419</v>
      </c>
    </row>
    <row r="53" spans="1:10" x14ac:dyDescent="0.35">
      <c r="A53">
        <f>IF($J53="","",ROWS(A$53:A53))</f>
        <v>1</v>
      </c>
      <c r="B53" t="str">
        <f>IF($J53="","",INDEX(DPIA_Register!$A:$A,$J53))</f>
        <v>DPIA-2026-02</v>
      </c>
      <c r="C53" t="str">
        <f>IF($J53="","",INDEX(DPIA_Register!$B:$B,$J53))</f>
        <v>Loyalty app personalised offers</v>
      </c>
      <c r="D53" t="str">
        <f>IF($J53="","",INDEX(DPIA_Register!$P:$P,$J53))</f>
        <v>In progress</v>
      </c>
      <c r="E53" t="str">
        <f>IF($J53="","",INDEX(DPIA_Register!$N:$N,$J53))</f>
        <v>Marketing</v>
      </c>
      <c r="F53" s="1">
        <f>IF($J53="","",INDEX(DPIA_Register!$O:$O,$J53))</f>
        <v>46295</v>
      </c>
      <c r="G53">
        <f t="shared" ref="G53:G62" ca="1" si="3">IF($J53="","",$F53-$B$2)</f>
        <v>-20</v>
      </c>
      <c r="H53" t="str">
        <f t="shared" ref="H53:H62" ca="1" si="4">IF($J53="","",IF($G53&lt;0,"Overdue",IF($G53&lt;=14,"Due within 14 days","Open")))</f>
        <v>Overdue</v>
      </c>
      <c r="J53">
        <f>IFERROR(ROUND(MOD(_xlfn.AGGREGATE(15,6,(DPIA_Register!$O$2:$O$51+ROW(DPIA_Register!$O$2:$O$51)/100000)/((DPIA_Register!$A$2:$A$51&lt;&gt;"")*(DPIA_Register!$O$2:$O$51&lt;&gt;"")*(DPIA_Register!$P$2:$P$51&lt;&gt;"Done")),ROWS(J$53:J53)),1)*100000,0),"")</f>
        <v>3</v>
      </c>
    </row>
    <row r="54" spans="1:10" x14ac:dyDescent="0.35">
      <c r="A54">
        <f>IF($J54="","",ROWS(A$53:A54))</f>
        <v>2</v>
      </c>
      <c r="B54" t="str">
        <f>IF($J54="","",INDEX(DPIA_Register!$A:$A,$J54))</f>
        <v>DPIA-2026-05</v>
      </c>
      <c r="C54" t="str">
        <f>IF($J54="","",INDEX(DPIA_Register!$B:$B,$J54))</f>
        <v>Self-checkout age-estimation camera</v>
      </c>
      <c r="D54" t="str">
        <f>IF($J54="","",INDEX(DPIA_Register!$P:$P,$J54))</f>
        <v>Open</v>
      </c>
      <c r="E54" t="str">
        <f>IF($J54="","",INDEX(DPIA_Register!$N:$N,$J54))</f>
        <v>IT</v>
      </c>
      <c r="F54" s="1">
        <f>IF($J54="","",INDEX(DPIA_Register!$O:$O,$J54))</f>
        <v>46341</v>
      </c>
      <c r="G54">
        <f t="shared" ca="1" si="3"/>
        <v>26</v>
      </c>
      <c r="H54" t="str">
        <f t="shared" ca="1" si="4"/>
        <v>Open</v>
      </c>
      <c r="J54">
        <f>IFERROR(ROUND(MOD(_xlfn.AGGREGATE(15,6,(DPIA_Register!$O$2:$O$51+ROW(DPIA_Register!$O$2:$O$51)/100000)/((DPIA_Register!$A$2:$A$51&lt;&gt;"")*(DPIA_Register!$O$2:$O$51&lt;&gt;"")*(DPIA_Register!$P$2:$P$51&lt;&gt;"Done")),ROWS(J$53:J54)),1)*100000,0),"")</f>
        <v>6</v>
      </c>
    </row>
    <row r="55" spans="1:10" x14ac:dyDescent="0.35">
      <c r="A55">
        <f>IF($J55="","",ROWS(A$53:A55))</f>
        <v>3</v>
      </c>
      <c r="B55" t="str">
        <f>IF($J55="","",INDEX(DPIA_Register!$A:$A,$J55))</f>
        <v>DPIA-2026-03</v>
      </c>
      <c r="C55" t="str">
        <f>IF($J55="","",INDEX(DPIA_Register!$B:$B,$J55))</f>
        <v>Cloud HR and payroll system</v>
      </c>
      <c r="D55" t="str">
        <f>IF($J55="","",INDEX(DPIA_Register!$P:$P,$J55))</f>
        <v>In progress</v>
      </c>
      <c r="E55" t="str">
        <f>IF($J55="","",INDEX(DPIA_Register!$N:$N,$J55))</f>
        <v>HR</v>
      </c>
      <c r="F55" s="1">
        <f>IF($J55="","",INDEX(DPIA_Register!$O:$O,$J55))</f>
        <v>46356</v>
      </c>
      <c r="G55">
        <f t="shared" ca="1" si="3"/>
        <v>41</v>
      </c>
      <c r="H55" t="str">
        <f t="shared" ca="1" si="4"/>
        <v>Open</v>
      </c>
      <c r="J55">
        <f>IFERROR(ROUND(MOD(_xlfn.AGGREGATE(15,6,(DPIA_Register!$O$2:$O$51+ROW(DPIA_Register!$O$2:$O$51)/100000)/((DPIA_Register!$A$2:$A$51&lt;&gt;"")*(DPIA_Register!$O$2:$O$51&lt;&gt;"")*(DPIA_Register!$P$2:$P$51&lt;&gt;"Done")),ROWS(J$53:J55)),1)*100000,0),"")</f>
        <v>4</v>
      </c>
    </row>
    <row r="56" spans="1:10" x14ac:dyDescent="0.35">
      <c r="A56" t="str">
        <f>IF($J56="","",ROWS(A$53:A56))</f>
        <v/>
      </c>
      <c r="B56" t="str">
        <f>IF($J56="","",INDEX(DPIA_Register!$A:$A,$J56))</f>
        <v/>
      </c>
      <c r="C56" t="str">
        <f>IF($J56="","",INDEX(DPIA_Register!$B:$B,$J56))</f>
        <v/>
      </c>
      <c r="D56" t="str">
        <f>IF($J56="","",INDEX(DPIA_Register!$P:$P,$J56))</f>
        <v/>
      </c>
      <c r="E56" t="str">
        <f>IF($J56="","",INDEX(DPIA_Register!$N:$N,$J56))</f>
        <v/>
      </c>
      <c r="F56" s="1" t="str">
        <f>IF($J56="","",INDEX(DPIA_Register!$O:$O,$J56))</f>
        <v/>
      </c>
      <c r="G56" t="str">
        <f t="shared" si="3"/>
        <v/>
      </c>
      <c r="H56" t="str">
        <f t="shared" si="4"/>
        <v/>
      </c>
      <c r="J56" t="str">
        <f>IFERROR(ROUND(MOD(_xlfn.AGGREGATE(15,6,(DPIA_Register!$O$2:$O$51+ROW(DPIA_Register!$O$2:$O$51)/100000)/((DPIA_Register!$A$2:$A$51&lt;&gt;"")*(DPIA_Register!$O$2:$O$51&lt;&gt;"")*(DPIA_Register!$P$2:$P$51&lt;&gt;"Done")),ROWS(J$53:J56)),1)*100000,0),"")</f>
        <v/>
      </c>
    </row>
    <row r="57" spans="1:10" x14ac:dyDescent="0.35">
      <c r="A57" t="str">
        <f>IF($J57="","",ROWS(A$53:A57))</f>
        <v/>
      </c>
      <c r="B57" t="str">
        <f>IF($J57="","",INDEX(DPIA_Register!$A:$A,$J57))</f>
        <v/>
      </c>
      <c r="C57" t="str">
        <f>IF($J57="","",INDEX(DPIA_Register!$B:$B,$J57))</f>
        <v/>
      </c>
      <c r="D57" t="str">
        <f>IF($J57="","",INDEX(DPIA_Register!$P:$P,$J57))</f>
        <v/>
      </c>
      <c r="E57" t="str">
        <f>IF($J57="","",INDEX(DPIA_Register!$N:$N,$J57))</f>
        <v/>
      </c>
      <c r="F57" s="1" t="str">
        <f>IF($J57="","",INDEX(DPIA_Register!$O:$O,$J57))</f>
        <v/>
      </c>
      <c r="G57" t="str">
        <f t="shared" si="3"/>
        <v/>
      </c>
      <c r="H57" t="str">
        <f t="shared" si="4"/>
        <v/>
      </c>
      <c r="J57" t="str">
        <f>IFERROR(ROUND(MOD(_xlfn.AGGREGATE(15,6,(DPIA_Register!$O$2:$O$51+ROW(DPIA_Register!$O$2:$O$51)/100000)/((DPIA_Register!$A$2:$A$51&lt;&gt;"")*(DPIA_Register!$O$2:$O$51&lt;&gt;"")*(DPIA_Register!$P$2:$P$51&lt;&gt;"Done")),ROWS(J$53:J57)),1)*100000,0),"")</f>
        <v/>
      </c>
    </row>
    <row r="58" spans="1:10" x14ac:dyDescent="0.35">
      <c r="A58" t="str">
        <f>IF($J58="","",ROWS(A$53:A58))</f>
        <v/>
      </c>
      <c r="B58" t="str">
        <f>IF($J58="","",INDEX(DPIA_Register!$A:$A,$J58))</f>
        <v/>
      </c>
      <c r="C58" t="str">
        <f>IF($J58="","",INDEX(DPIA_Register!$B:$B,$J58))</f>
        <v/>
      </c>
      <c r="D58" t="str">
        <f>IF($J58="","",INDEX(DPIA_Register!$P:$P,$J58))</f>
        <v/>
      </c>
      <c r="E58" t="str">
        <f>IF($J58="","",INDEX(DPIA_Register!$N:$N,$J58))</f>
        <v/>
      </c>
      <c r="F58" s="1" t="str">
        <f>IF($J58="","",INDEX(DPIA_Register!$O:$O,$J58))</f>
        <v/>
      </c>
      <c r="G58" t="str">
        <f t="shared" si="3"/>
        <v/>
      </c>
      <c r="H58" t="str">
        <f t="shared" si="4"/>
        <v/>
      </c>
      <c r="J58" t="str">
        <f>IFERROR(ROUND(MOD(_xlfn.AGGREGATE(15,6,(DPIA_Register!$O$2:$O$51+ROW(DPIA_Register!$O$2:$O$51)/100000)/((DPIA_Register!$A$2:$A$51&lt;&gt;"")*(DPIA_Register!$O$2:$O$51&lt;&gt;"")*(DPIA_Register!$P$2:$P$51&lt;&gt;"Done")),ROWS(J$53:J58)),1)*100000,0),"")</f>
        <v/>
      </c>
    </row>
    <row r="59" spans="1:10" x14ac:dyDescent="0.35">
      <c r="A59" t="str">
        <f>IF($J59="","",ROWS(A$53:A59))</f>
        <v/>
      </c>
      <c r="B59" t="str">
        <f>IF($J59="","",INDEX(DPIA_Register!$A:$A,$J59))</f>
        <v/>
      </c>
      <c r="C59" t="str">
        <f>IF($J59="","",INDEX(DPIA_Register!$B:$B,$J59))</f>
        <v/>
      </c>
      <c r="D59" t="str">
        <f>IF($J59="","",INDEX(DPIA_Register!$P:$P,$J59))</f>
        <v/>
      </c>
      <c r="E59" t="str">
        <f>IF($J59="","",INDEX(DPIA_Register!$N:$N,$J59))</f>
        <v/>
      </c>
      <c r="F59" s="1" t="str">
        <f>IF($J59="","",INDEX(DPIA_Register!$O:$O,$J59))</f>
        <v/>
      </c>
      <c r="G59" t="str">
        <f t="shared" si="3"/>
        <v/>
      </c>
      <c r="H59" t="str">
        <f t="shared" si="4"/>
        <v/>
      </c>
      <c r="J59" t="str">
        <f>IFERROR(ROUND(MOD(_xlfn.AGGREGATE(15,6,(DPIA_Register!$O$2:$O$51+ROW(DPIA_Register!$O$2:$O$51)/100000)/((DPIA_Register!$A$2:$A$51&lt;&gt;"")*(DPIA_Register!$O$2:$O$51&lt;&gt;"")*(DPIA_Register!$P$2:$P$51&lt;&gt;"Done")),ROWS(J$53:J59)),1)*100000,0),"")</f>
        <v/>
      </c>
    </row>
    <row r="60" spans="1:10" x14ac:dyDescent="0.35">
      <c r="A60" t="str">
        <f>IF($J60="","",ROWS(A$53:A60))</f>
        <v/>
      </c>
      <c r="B60" t="str">
        <f>IF($J60="","",INDEX(DPIA_Register!$A:$A,$J60))</f>
        <v/>
      </c>
      <c r="C60" t="str">
        <f>IF($J60="","",INDEX(DPIA_Register!$B:$B,$J60))</f>
        <v/>
      </c>
      <c r="D60" t="str">
        <f>IF($J60="","",INDEX(DPIA_Register!$P:$P,$J60))</f>
        <v/>
      </c>
      <c r="E60" t="str">
        <f>IF($J60="","",INDEX(DPIA_Register!$N:$N,$J60))</f>
        <v/>
      </c>
      <c r="F60" s="1" t="str">
        <f>IF($J60="","",INDEX(DPIA_Register!$O:$O,$J60))</f>
        <v/>
      </c>
      <c r="G60" t="str">
        <f t="shared" si="3"/>
        <v/>
      </c>
      <c r="H60" t="str">
        <f t="shared" si="4"/>
        <v/>
      </c>
      <c r="J60" t="str">
        <f>IFERROR(ROUND(MOD(_xlfn.AGGREGATE(15,6,(DPIA_Register!$O$2:$O$51+ROW(DPIA_Register!$O$2:$O$51)/100000)/((DPIA_Register!$A$2:$A$51&lt;&gt;"")*(DPIA_Register!$O$2:$O$51&lt;&gt;"")*(DPIA_Register!$P$2:$P$51&lt;&gt;"Done")),ROWS(J$53:J60)),1)*100000,0),"")</f>
        <v/>
      </c>
    </row>
    <row r="61" spans="1:10" x14ac:dyDescent="0.35">
      <c r="A61" t="str">
        <f>IF($J61="","",ROWS(A$53:A61))</f>
        <v/>
      </c>
      <c r="B61" t="str">
        <f>IF($J61="","",INDEX(DPIA_Register!$A:$A,$J61))</f>
        <v/>
      </c>
      <c r="C61" t="str">
        <f>IF($J61="","",INDEX(DPIA_Register!$B:$B,$J61))</f>
        <v/>
      </c>
      <c r="D61" t="str">
        <f>IF($J61="","",INDEX(DPIA_Register!$P:$P,$J61))</f>
        <v/>
      </c>
      <c r="E61" t="str">
        <f>IF($J61="","",INDEX(DPIA_Register!$N:$N,$J61))</f>
        <v/>
      </c>
      <c r="F61" s="1" t="str">
        <f>IF($J61="","",INDEX(DPIA_Register!$O:$O,$J61))</f>
        <v/>
      </c>
      <c r="G61" t="str">
        <f t="shared" si="3"/>
        <v/>
      </c>
      <c r="H61" t="str">
        <f t="shared" si="4"/>
        <v/>
      </c>
      <c r="J61" t="str">
        <f>IFERROR(ROUND(MOD(_xlfn.AGGREGATE(15,6,(DPIA_Register!$O$2:$O$51+ROW(DPIA_Register!$O$2:$O$51)/100000)/((DPIA_Register!$A$2:$A$51&lt;&gt;"")*(DPIA_Register!$O$2:$O$51&lt;&gt;"")*(DPIA_Register!$P$2:$P$51&lt;&gt;"Done")),ROWS(J$53:J61)),1)*100000,0),"")</f>
        <v/>
      </c>
    </row>
    <row r="62" spans="1:10" x14ac:dyDescent="0.35">
      <c r="A62" t="str">
        <f>IF($J62="","",ROWS(A$53:A62))</f>
        <v/>
      </c>
      <c r="B62" t="str">
        <f>IF($J62="","",INDEX(DPIA_Register!$A:$A,$J62))</f>
        <v/>
      </c>
      <c r="C62" t="str">
        <f>IF($J62="","",INDEX(DPIA_Register!$B:$B,$J62))</f>
        <v/>
      </c>
      <c r="D62" t="str">
        <f>IF($J62="","",INDEX(DPIA_Register!$P:$P,$J62))</f>
        <v/>
      </c>
      <c r="E62" t="str">
        <f>IF($J62="","",INDEX(DPIA_Register!$N:$N,$J62))</f>
        <v/>
      </c>
      <c r="F62" s="1" t="str">
        <f>IF($J62="","",INDEX(DPIA_Register!$O:$O,$J62))</f>
        <v/>
      </c>
      <c r="G62" t="str">
        <f t="shared" si="3"/>
        <v/>
      </c>
      <c r="H62" t="str">
        <f t="shared" si="4"/>
        <v/>
      </c>
      <c r="J62" t="str">
        <f>IFERROR(ROUND(MOD(_xlfn.AGGREGATE(15,6,(DPIA_Register!$O$2:$O$51+ROW(DPIA_Register!$O$2:$O$51)/100000)/((DPIA_Register!$A$2:$A$51&lt;&gt;"")*(DPIA_Register!$O$2:$O$51&lt;&gt;"")*(DPIA_Register!$P$2:$P$51&lt;&gt;"Done")),ROWS(J$53:J62)),1)*100000,0),"")</f>
        <v/>
      </c>
    </row>
    <row r="64" spans="1:10" ht="13.9" x14ac:dyDescent="0.35">
      <c r="A64" s="3" t="s">
        <v>3424</v>
      </c>
      <c r="B64" s="11"/>
      <c r="C64" s="11"/>
      <c r="D64" s="11"/>
      <c r="E64" s="11"/>
      <c r="F64" s="11"/>
      <c r="G64" s="11"/>
      <c r="H64" s="11"/>
    </row>
    <row r="65" spans="1:2" x14ac:dyDescent="0.35">
      <c r="A65" t="s">
        <v>3425</v>
      </c>
      <c r="B65">
        <f>COUNTIF(DSR_Register!$AF:$AF,"Check*")</f>
        <v>0</v>
      </c>
    </row>
    <row r="66" spans="1:2" x14ac:dyDescent="0.35">
      <c r="A66" t="s">
        <v>3426</v>
      </c>
      <c r="B66">
        <f>COUNTIF(Incident_Log!$W:$W,"Check*")</f>
        <v>0</v>
      </c>
    </row>
    <row r="67" spans="1:2" x14ac:dyDescent="0.35">
      <c r="A67" t="s">
        <v>3427</v>
      </c>
      <c r="B67">
        <f>COUNTIF(DPIA_Register!$AC:$AC,"Check*")</f>
        <v>0</v>
      </c>
    </row>
    <row r="68" spans="1:2" x14ac:dyDescent="0.35">
      <c r="A68" t="s">
        <v>3428</v>
      </c>
      <c r="B68" t="str">
        <f>Lists!B13</f>
        <v>OK</v>
      </c>
    </row>
    <row r="69" spans="1:2" x14ac:dyDescent="0.35">
      <c r="A69" t="s">
        <v>3429</v>
      </c>
      <c r="B69" t="str">
        <f>Lists!B15</f>
        <v>OK</v>
      </c>
    </row>
  </sheetData>
  <sheetProtection sheet="1" objects="1" scenarios="1" formatCells="0" formatColumns="0" formatRows="0"/>
  <phoneticPr fontId="1" type="noConversion"/>
  <conditionalFormatting sqref="H7:H36">
    <cfRule type="cellIs" dxfId="10" priority="1" stopIfTrue="1" operator="equal">
      <formula>"Overdue"</formula>
    </cfRule>
    <cfRule type="cellIs" dxfId="9" priority="2" stopIfTrue="1" operator="equal">
      <formula>"Red"</formula>
    </cfRule>
    <cfRule type="cellIs" dxfId="8" priority="3" stopIfTrue="1" operator="equal">
      <formula>"Amber"</formula>
    </cfRule>
    <cfRule type="cellIs" dxfId="7" priority="4" stopIfTrue="1" operator="equal">
      <formula>"Green"</formula>
    </cfRule>
    <cfRule type="cellIs" dxfId="6" priority="5" stopIfTrue="1" operator="equal">
      <formula>"Paused"</formula>
    </cfRule>
  </conditionalFormatting>
  <conditionalFormatting sqref="H40:H49">
    <cfRule type="containsText" dxfId="5" priority="6" stopIfTrue="1" operator="containsText" text="Overdue">
      <formula>NOT(ISERROR(SEARCH("Overdue",H40)))</formula>
    </cfRule>
    <cfRule type="containsText" dxfId="4" priority="7" stopIfTrue="1" operator="containsText" text="Due within">
      <formula>NOT(ISERROR(SEARCH("Due within",H40)))</formula>
    </cfRule>
  </conditionalFormatting>
  <conditionalFormatting sqref="H53:H62">
    <cfRule type="cellIs" dxfId="3" priority="8" stopIfTrue="1" operator="equal">
      <formula>"Overdue"</formula>
    </cfRule>
    <cfRule type="containsText" dxfId="2" priority="9" stopIfTrue="1" operator="containsText" text="Due within">
      <formula>NOT(ISERROR(SEARCH("Due within",H53)))</formula>
    </cfRule>
  </conditionalFormatting>
  <conditionalFormatting sqref="B65:B69">
    <cfRule type="containsText" dxfId="1" priority="10" stopIfTrue="1" operator="containsText" text="Check">
      <formula>NOT(ISERROR(SEARCH("Check",B65)))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897D-750A-4D8D-9279-C7BAAE4E3419}">
  <sheetPr>
    <tabColor rgb="FF70AD47"/>
  </sheetPr>
  <dimension ref="A1:H48"/>
  <sheetViews>
    <sheetView workbookViewId="0"/>
  </sheetViews>
  <sheetFormatPr defaultRowHeight="13.5" x14ac:dyDescent="0.35"/>
  <cols>
    <col min="1" max="1" width="46.5625" style="20" customWidth="1"/>
    <col min="2" max="2" width="13.5625" style="20" customWidth="1"/>
    <col min="3" max="3" width="3.5625" style="20" customWidth="1"/>
    <col min="4" max="4" width="28.5625" style="20" customWidth="1"/>
    <col min="5" max="8" width="13.5625" style="20" customWidth="1"/>
    <col min="9" max="16384" width="9" style="20"/>
  </cols>
  <sheetData>
    <row r="1" spans="1:6" ht="17.649999999999999" x14ac:dyDescent="0.35">
      <c r="A1" s="28" t="s">
        <v>3430</v>
      </c>
    </row>
    <row r="3" spans="1:6" x14ac:dyDescent="0.35">
      <c r="A3" s="20" t="s">
        <v>3431</v>
      </c>
      <c r="B3" s="37">
        <v>46296</v>
      </c>
    </row>
    <row r="4" spans="1:6" x14ac:dyDescent="0.35">
      <c r="A4" s="20" t="s">
        <v>3432</v>
      </c>
      <c r="B4" s="21">
        <f>EOMONTH(B3,0)</f>
        <v>46326</v>
      </c>
    </row>
    <row r="5" spans="1:6" x14ac:dyDescent="0.35">
      <c r="A5" s="20" t="s">
        <v>3433</v>
      </c>
      <c r="B5" s="21">
        <f>ReportDate</f>
        <v>46325</v>
      </c>
    </row>
    <row r="7" spans="1:6" ht="13.9" x14ac:dyDescent="0.35">
      <c r="A7" s="29" t="s">
        <v>3434</v>
      </c>
      <c r="B7" s="30"/>
      <c r="D7" s="29" t="s">
        <v>3465</v>
      </c>
      <c r="E7" s="29"/>
      <c r="F7" s="29"/>
    </row>
    <row r="8" spans="1:6" ht="13.9" x14ac:dyDescent="0.35">
      <c r="A8" s="20" t="s">
        <v>3435</v>
      </c>
      <c r="B8" s="31">
        <f>COUNTIFS(DSR_Register!$B:$B,"&gt;="&amp;$B$3,DSR_Register!$B:$B,"&lt;="&amp;$B$4)</f>
        <v>8</v>
      </c>
      <c r="D8" s="32" t="s">
        <v>37</v>
      </c>
      <c r="E8" s="32" t="s">
        <v>3466</v>
      </c>
      <c r="F8" s="32" t="s">
        <v>3467</v>
      </c>
    </row>
    <row r="9" spans="1:6" x14ac:dyDescent="0.35">
      <c r="A9" s="20" t="s">
        <v>3436</v>
      </c>
      <c r="B9" s="31">
        <f>COUNTIFS(DSR_Register!$Y:$Y,"&gt;="&amp;$B$3,DSR_Register!$Y:$Y,"&lt;="&amp;$B$4)</f>
        <v>3</v>
      </c>
      <c r="D9" s="20" t="s">
        <v>40</v>
      </c>
      <c r="E9" s="20">
        <f>COUNTIFS(DSR_Register!$D:$D,$D9,DSR_Register!$B:$B,"&gt;="&amp;$B$3,DSR_Register!$B:$B,"&lt;="&amp;$B$4)</f>
        <v>4</v>
      </c>
      <c r="F9" s="20">
        <f>COUNTIFS(DSR_Register!$D:$D,$D9,DSR_Register!$B:$B,"&gt;="&amp;DATE(YEAR($B$3),1,1),DSR_Register!$B:$B,"&lt;="&amp;$B$4)</f>
        <v>18</v>
      </c>
    </row>
    <row r="10" spans="1:6" x14ac:dyDescent="0.35">
      <c r="A10" s="20" t="s">
        <v>3437</v>
      </c>
      <c r="B10" s="31">
        <f>COUNTIFS(DSR_Register!$Y:$Y,"&gt;="&amp;$B$3,DSR_Register!$Y:$Y,"&lt;="&amp;$B$4,DSR_Register!$AC:$AC,"Y")</f>
        <v>2</v>
      </c>
      <c r="D10" s="20" t="s">
        <v>43</v>
      </c>
      <c r="E10" s="20">
        <f>COUNTIFS(DSR_Register!$D:$D,$D10,DSR_Register!$B:$B,"&gt;="&amp;$B$3,DSR_Register!$B:$B,"&lt;="&amp;$B$4)</f>
        <v>0</v>
      </c>
      <c r="F10" s="20">
        <f>COUNTIFS(DSR_Register!$D:$D,$D10,DSR_Register!$B:$B,"&gt;="&amp;DATE(YEAR($B$3),1,1),DSR_Register!$B:$B,"&lt;="&amp;$B$4)</f>
        <v>3</v>
      </c>
    </row>
    <row r="11" spans="1:6" x14ac:dyDescent="0.35">
      <c r="A11" s="20" t="s">
        <v>3438</v>
      </c>
      <c r="B11" s="33">
        <f>IFERROR(B10/B9,"-")</f>
        <v>0.66666666666666663</v>
      </c>
      <c r="D11" s="20" t="s">
        <v>45</v>
      </c>
      <c r="E11" s="20">
        <f>COUNTIFS(DSR_Register!$D:$D,$D11,DSR_Register!$B:$B,"&gt;="&amp;$B$3,DSR_Register!$B:$B,"&lt;="&amp;$B$4)</f>
        <v>2</v>
      </c>
      <c r="F11" s="20">
        <f>COUNTIFS(DSR_Register!$D:$D,$D11,DSR_Register!$B:$B,"&gt;="&amp;DATE(YEAR($B$3),1,1),DSR_Register!$B:$B,"&lt;="&amp;$B$4)</f>
        <v>7</v>
      </c>
    </row>
    <row r="12" spans="1:6" x14ac:dyDescent="0.35">
      <c r="A12" s="20" t="s">
        <v>3439</v>
      </c>
      <c r="B12" s="34">
        <f>IFERROR(AVERAGEIFS(DSR_Register!$Z:$Z,DSR_Register!$Y:$Y,"&gt;="&amp;$B$3,DSR_Register!$Y:$Y,"&lt;="&amp;$B$4),"-")</f>
        <v>24.666666666666668</v>
      </c>
      <c r="D12" s="20" t="s">
        <v>47</v>
      </c>
      <c r="E12" s="20">
        <f>COUNTIFS(DSR_Register!$D:$D,$D12,DSR_Register!$B:$B,"&gt;="&amp;$B$3,DSR_Register!$B:$B,"&lt;="&amp;$B$4)</f>
        <v>0</v>
      </c>
      <c r="F12" s="20">
        <f>COUNTIFS(DSR_Register!$D:$D,$D12,DSR_Register!$B:$B,"&gt;="&amp;DATE(YEAR($B$3),1,1),DSR_Register!$B:$B,"&lt;="&amp;$B$4)</f>
        <v>1</v>
      </c>
    </row>
    <row r="13" spans="1:6" x14ac:dyDescent="0.35">
      <c r="A13" s="20" t="s">
        <v>3440</v>
      </c>
      <c r="B13" s="33">
        <f>IFERROR(COUNTIFS(DSR_Register!$B:$B,"&gt;="&amp;$B$3,DSR_Register!$B:$B,"&lt;="&amp;$B$4,DSR_Register!$J:$J,"Y")/B8,"-")</f>
        <v>1</v>
      </c>
      <c r="D13" s="20" t="s">
        <v>49</v>
      </c>
      <c r="E13" s="20">
        <f>COUNTIFS(DSR_Register!$D:$D,$D13,DSR_Register!$B:$B,"&gt;="&amp;$B$3,DSR_Register!$B:$B,"&lt;="&amp;$B$4)</f>
        <v>0</v>
      </c>
      <c r="F13" s="20">
        <f>COUNTIFS(DSR_Register!$D:$D,$D13,DSR_Register!$B:$B,"&gt;="&amp;DATE(YEAR($B$3),1,1),DSR_Register!$B:$B,"&lt;="&amp;$B$4)</f>
        <v>1</v>
      </c>
    </row>
    <row r="14" spans="1:6" x14ac:dyDescent="0.35">
      <c r="A14" s="20" t="s">
        <v>3441</v>
      </c>
      <c r="B14" s="31">
        <f>COUNTIFS(DSR_Register!$A:$A,"DSR-*",DSR_Register!$W:$W,"&lt;&gt;Closed")</f>
        <v>8</v>
      </c>
      <c r="D14" s="20" t="s">
        <v>51</v>
      </c>
      <c r="E14" s="20">
        <f>COUNTIFS(DSR_Register!$D:$D,$D14,DSR_Register!$B:$B,"&gt;="&amp;$B$3,DSR_Register!$B:$B,"&lt;="&amp;$B$4)</f>
        <v>1</v>
      </c>
      <c r="F14" s="20">
        <f>COUNTIFS(DSR_Register!$D:$D,$D14,DSR_Register!$B:$B,"&gt;="&amp;DATE(YEAR($B$3),1,1),DSR_Register!$B:$B,"&lt;="&amp;$B$4)</f>
        <v>5</v>
      </c>
    </row>
    <row r="15" spans="1:6" x14ac:dyDescent="0.35">
      <c r="A15" s="20" t="s">
        <v>3442</v>
      </c>
      <c r="B15" s="31">
        <f>COUNTIF(DSR_Register!$AB:$AB,"Overdue")</f>
        <v>1</v>
      </c>
      <c r="D15" s="20" t="s">
        <v>53</v>
      </c>
      <c r="E15" s="20">
        <f>COUNTIFS(DSR_Register!$D:$D,$D15,DSR_Register!$B:$B,"&gt;="&amp;$B$3,DSR_Register!$B:$B,"&lt;="&amp;$B$4)</f>
        <v>0</v>
      </c>
      <c r="F15" s="20">
        <f>COUNTIFS(DSR_Register!$D:$D,$D15,DSR_Register!$B:$B,"&gt;="&amp;DATE(YEAR($B$3),1,1),DSR_Register!$B:$B,"&lt;="&amp;$B$4)</f>
        <v>1</v>
      </c>
    </row>
    <row r="16" spans="1:6" x14ac:dyDescent="0.35">
      <c r="A16" s="20" t="s">
        <v>3443</v>
      </c>
      <c r="B16" s="31">
        <f>COUNTIF(DSR_Register!$AB:$AB,"Red")</f>
        <v>2</v>
      </c>
      <c r="D16" s="20" t="s">
        <v>55</v>
      </c>
      <c r="E16" s="20">
        <f>COUNTIFS(DSR_Register!$D:$D,$D16,DSR_Register!$B:$B,"&gt;="&amp;$B$3,DSR_Register!$B:$B,"&lt;="&amp;$B$4)</f>
        <v>1</v>
      </c>
      <c r="F16" s="20">
        <f>COUNTIFS(DSR_Register!$D:$D,$D16,DSR_Register!$B:$B,"&gt;="&amp;DATE(YEAR($B$3),1,1),DSR_Register!$B:$B,"&lt;="&amp;$B$4)</f>
        <v>2</v>
      </c>
    </row>
    <row r="17" spans="1:8" x14ac:dyDescent="0.35">
      <c r="A17" s="20" t="s">
        <v>3444</v>
      </c>
      <c r="B17" s="31">
        <f>COUNTIF(DSR_Register!$AB:$AB,"Amber")</f>
        <v>2</v>
      </c>
      <c r="D17" s="20" t="s">
        <v>58</v>
      </c>
      <c r="E17" s="20">
        <f>COUNTIFS(DSR_Register!$D:$D,$D17,DSR_Register!$B:$B,"&gt;="&amp;$B$3,DSR_Register!$B:$B,"&lt;="&amp;$B$4)</f>
        <v>0</v>
      </c>
      <c r="F17" s="20">
        <f>COUNTIFS(DSR_Register!$D:$D,$D17,DSR_Register!$B:$B,"&gt;="&amp;DATE(YEAR($B$3),1,1),DSR_Register!$B:$B,"&lt;="&amp;$B$4)</f>
        <v>2</v>
      </c>
    </row>
    <row r="18" spans="1:8" ht="13.9" x14ac:dyDescent="0.35">
      <c r="A18" s="20" t="s">
        <v>3445</v>
      </c>
      <c r="B18" s="31">
        <f>COUNTIF(DSR_Register!$AB:$AB,"Green")</f>
        <v>2</v>
      </c>
      <c r="D18" s="32" t="s">
        <v>3468</v>
      </c>
      <c r="E18" s="32">
        <f>SUM(E9:E17)</f>
        <v>8</v>
      </c>
      <c r="F18" s="32">
        <f>SUM(F9:F17)</f>
        <v>40</v>
      </c>
    </row>
    <row r="19" spans="1:8" x14ac:dyDescent="0.35">
      <c r="A19" s="20" t="s">
        <v>3446</v>
      </c>
      <c r="B19" s="31">
        <f>COUNTIF(DSR_Register!$AB:$AB,"Paused")</f>
        <v>1</v>
      </c>
    </row>
    <row r="20" spans="1:8" x14ac:dyDescent="0.35">
      <c r="A20" s="20" t="s">
        <v>3447</v>
      </c>
      <c r="B20" s="31">
        <f>COUNTIFS(DSR_Register!$X:$X,"Y",DSR_Register!$W:$W,"&lt;&gt;Closed")</f>
        <v>1</v>
      </c>
    </row>
    <row r="21" spans="1:8" ht="13.9" x14ac:dyDescent="0.35">
      <c r="A21" s="20" t="s">
        <v>3448</v>
      </c>
      <c r="B21" s="31">
        <f>COUNTIF(DSR_Register!$T:$T,"Late")</f>
        <v>1</v>
      </c>
      <c r="D21" s="29" t="s">
        <v>3469</v>
      </c>
      <c r="E21" s="29"/>
      <c r="F21" s="29"/>
      <c r="G21" s="29"/>
      <c r="H21" s="29"/>
    </row>
    <row r="22" spans="1:8" ht="13.9" x14ac:dyDescent="0.35">
      <c r="A22" s="20" t="s">
        <v>3449</v>
      </c>
      <c r="B22" s="31">
        <f>COUNTIF(DSR_Register!$N:$N,"Check")</f>
        <v>1</v>
      </c>
      <c r="D22" s="32" t="s">
        <v>3470</v>
      </c>
      <c r="E22" s="32" t="s">
        <v>3471</v>
      </c>
      <c r="F22" s="32" t="s">
        <v>102</v>
      </c>
      <c r="G22" s="32" t="s">
        <v>3472</v>
      </c>
      <c r="H22" s="32" t="s">
        <v>3473</v>
      </c>
    </row>
    <row r="23" spans="1:8" x14ac:dyDescent="0.35">
      <c r="A23" s="20" t="s">
        <v>3450</v>
      </c>
      <c r="B23" s="31">
        <f>COUNTIF(DSR_Register!$AB:$AB,"Closed late")</f>
        <v>2</v>
      </c>
      <c r="D23" s="35">
        <f>EDATE($B$3,-5)</f>
        <v>46143</v>
      </c>
      <c r="E23" s="20">
        <f>COUNTIFS(DSR_Register!$B:$B,"&gt;="&amp;$D23,DSR_Register!$B:$B,"&lt;="&amp;EOMONTH($D23,0))</f>
        <v>8</v>
      </c>
      <c r="F23" s="20">
        <f>COUNTIFS(DSR_Register!$Y:$Y,"&gt;="&amp;$D23,DSR_Register!$Y:$Y,"&lt;="&amp;EOMONTH($D23,0))</f>
        <v>4</v>
      </c>
      <c r="G23" s="20">
        <f>COUNTIFS(DSR_Register!$Y:$Y,"&gt;="&amp;$D23,DSR_Register!$Y:$Y,"&lt;="&amp;EOMONTH($D23,0),DSR_Register!$AC:$AC,"Y")</f>
        <v>4</v>
      </c>
      <c r="H23" s="36">
        <f>IFERROR(G23/F23,"-")</f>
        <v>1</v>
      </c>
    </row>
    <row r="24" spans="1:8" x14ac:dyDescent="0.35">
      <c r="B24" s="31"/>
      <c r="D24" s="35">
        <f>EDATE($B$3,-4)</f>
        <v>46174</v>
      </c>
      <c r="E24" s="20">
        <f>COUNTIFS(DSR_Register!$B:$B,"&gt;="&amp;$D24,DSR_Register!$B:$B,"&lt;="&amp;EOMONTH($D24,0))</f>
        <v>7</v>
      </c>
      <c r="F24" s="20">
        <f>COUNTIFS(DSR_Register!$Y:$Y,"&gt;="&amp;$D24,DSR_Register!$Y:$Y,"&lt;="&amp;EOMONTH($D24,0))</f>
        <v>7</v>
      </c>
      <c r="G24" s="20">
        <f>COUNTIFS(DSR_Register!$Y:$Y,"&gt;="&amp;$D24,DSR_Register!$Y:$Y,"&lt;="&amp;EOMONTH($D24,0),DSR_Register!$AC:$AC,"Y")</f>
        <v>7</v>
      </c>
      <c r="H24" s="36">
        <f>IFERROR(G24/F24,"-")</f>
        <v>1</v>
      </c>
    </row>
    <row r="25" spans="1:8" ht="13.9" x14ac:dyDescent="0.35">
      <c r="A25" s="29" t="s">
        <v>3451</v>
      </c>
      <c r="B25" s="30"/>
      <c r="D25" s="35">
        <f>EDATE($B$3,-3)</f>
        <v>46204</v>
      </c>
      <c r="E25" s="20">
        <f>COUNTIFS(DSR_Register!$B:$B,"&gt;="&amp;$D25,DSR_Register!$B:$B,"&lt;="&amp;EOMONTH($D25,0))</f>
        <v>7</v>
      </c>
      <c r="F25" s="20">
        <f>COUNTIFS(DSR_Register!$Y:$Y,"&gt;="&amp;$D25,DSR_Register!$Y:$Y,"&lt;="&amp;EOMONTH($D25,0))</f>
        <v>7</v>
      </c>
      <c r="G25" s="20">
        <f>COUNTIFS(DSR_Register!$Y:$Y,"&gt;="&amp;$D25,DSR_Register!$Y:$Y,"&lt;="&amp;EOMONTH($D25,0),DSR_Register!$AC:$AC,"Y")</f>
        <v>7</v>
      </c>
      <c r="H25" s="36">
        <f>IFERROR(G25/F25,"-")</f>
        <v>1</v>
      </c>
    </row>
    <row r="26" spans="1:8" x14ac:dyDescent="0.35">
      <c r="A26" s="20" t="s">
        <v>3452</v>
      </c>
      <c r="B26" s="31">
        <f>COUNTIFS(Incident_Log!$C:$C,"&gt;="&amp;$B$3,Incident_Log!$C:$C,"&lt;"&amp;$B$4+1)</f>
        <v>2</v>
      </c>
      <c r="D26" s="35">
        <f>EDATE($B$3,-2)</f>
        <v>46235</v>
      </c>
      <c r="E26" s="20">
        <f>COUNTIFS(DSR_Register!$B:$B,"&gt;="&amp;$D26,DSR_Register!$B:$B,"&lt;="&amp;EOMONTH($D26,0))</f>
        <v>5</v>
      </c>
      <c r="F26" s="20">
        <f>COUNTIFS(DSR_Register!$Y:$Y,"&gt;="&amp;$D26,DSR_Register!$Y:$Y,"&lt;="&amp;EOMONTH($D26,0))</f>
        <v>6</v>
      </c>
      <c r="G26" s="20">
        <f>COUNTIFS(DSR_Register!$Y:$Y,"&gt;="&amp;$D26,DSR_Register!$Y:$Y,"&lt;="&amp;EOMONTH($D26,0),DSR_Register!$AC:$AC,"Y")</f>
        <v>5</v>
      </c>
      <c r="H26" s="36">
        <f>IFERROR(G26/F26,"-")</f>
        <v>0.83333333333333337</v>
      </c>
    </row>
    <row r="27" spans="1:8" x14ac:dyDescent="0.35">
      <c r="A27" s="20" t="s">
        <v>3453</v>
      </c>
      <c r="B27" s="31">
        <f>COUNTIF(Incident_Log!$L:$L,"Yes")</f>
        <v>11</v>
      </c>
      <c r="D27" s="35">
        <f>EDATE($B$3,-1)</f>
        <v>46266</v>
      </c>
      <c r="E27" s="20">
        <f>COUNTIFS(DSR_Register!$B:$B,"&gt;="&amp;$D27,DSR_Register!$B:$B,"&lt;="&amp;EOMONTH($D27,0))</f>
        <v>5</v>
      </c>
      <c r="F27" s="20">
        <f>COUNTIFS(DSR_Register!$Y:$Y,"&gt;="&amp;$D27,DSR_Register!$Y:$Y,"&lt;="&amp;EOMONTH($D27,0))</f>
        <v>5</v>
      </c>
      <c r="G27" s="20">
        <f>COUNTIFS(DSR_Register!$Y:$Y,"&gt;="&amp;$D27,DSR_Register!$Y:$Y,"&lt;="&amp;EOMONTH($D27,0),DSR_Register!$AC:$AC,"Y")</f>
        <v>5</v>
      </c>
      <c r="H27" s="36">
        <f>IFERROR(G27/F27,"-")</f>
        <v>1</v>
      </c>
    </row>
    <row r="28" spans="1:8" x14ac:dyDescent="0.35">
      <c r="A28" s="20" t="s">
        <v>3454</v>
      </c>
      <c r="B28" s="31">
        <f>COUNTIF(Incident_Log!$Q:$Q,"Y")</f>
        <v>6</v>
      </c>
      <c r="D28" s="35">
        <f>EDATE($B$3,0)</f>
        <v>46296</v>
      </c>
      <c r="E28" s="20">
        <f>COUNTIFS(DSR_Register!$B:$B,"&gt;="&amp;$D28,DSR_Register!$B:$B,"&lt;="&amp;EOMONTH($D28,0))</f>
        <v>8</v>
      </c>
      <c r="F28" s="20">
        <f>COUNTIFS(DSR_Register!$Y:$Y,"&gt;="&amp;$D28,DSR_Register!$Y:$Y,"&lt;="&amp;EOMONTH($D28,0))</f>
        <v>3</v>
      </c>
      <c r="G28" s="20">
        <f>COUNTIFS(DSR_Register!$Y:$Y,"&gt;="&amp;$D28,DSR_Register!$Y:$Y,"&lt;="&amp;EOMONTH($D28,0),DSR_Register!$AC:$AC,"Y")</f>
        <v>2</v>
      </c>
      <c r="H28" s="36">
        <f>IFERROR(G28/F28,"-")</f>
        <v>0.66666666666666663</v>
      </c>
    </row>
    <row r="29" spans="1:8" x14ac:dyDescent="0.35">
      <c r="A29" s="20" t="s">
        <v>3455</v>
      </c>
      <c r="B29" s="31">
        <f>COUNTIF(Incident_Log!$Q:$Q,"N")</f>
        <v>4</v>
      </c>
    </row>
    <row r="30" spans="1:8" x14ac:dyDescent="0.35">
      <c r="A30" s="20" t="s">
        <v>3456</v>
      </c>
      <c r="B30" s="31">
        <f>COUNTIF(Incident_Log!$Q:$Q,"Pending")+COUNTIF(Incident_Log!$Q:$Q,"Overdue")</f>
        <v>1</v>
      </c>
    </row>
    <row r="31" spans="1:8" x14ac:dyDescent="0.35">
      <c r="A31" s="20" t="s">
        <v>3457</v>
      </c>
      <c r="B31" s="31">
        <f>COUNTIF(Incident_Log!$L:$L,"No - record only")</f>
        <v>1</v>
      </c>
    </row>
    <row r="32" spans="1:8" x14ac:dyDescent="0.35">
      <c r="A32" s="20" t="s">
        <v>3458</v>
      </c>
      <c r="B32" s="31">
        <f>COUNTIF(Incident_Log!$U:$U,"Open")</f>
        <v>1</v>
      </c>
    </row>
    <row r="33" spans="1:2" x14ac:dyDescent="0.35">
      <c r="B33" s="31"/>
    </row>
    <row r="34" spans="1:2" ht="13.9" x14ac:dyDescent="0.35">
      <c r="A34" s="29" t="s">
        <v>3459</v>
      </c>
      <c r="B34" s="30"/>
    </row>
    <row r="35" spans="1:2" x14ac:dyDescent="0.35">
      <c r="A35" s="20" t="s">
        <v>3460</v>
      </c>
      <c r="B35" s="31">
        <f>COUNTIF(DPIA_Register!$A:$A,"DPIA-*")</f>
        <v>6</v>
      </c>
    </row>
    <row r="36" spans="1:2" x14ac:dyDescent="0.35">
      <c r="A36" s="20" t="s">
        <v>3461</v>
      </c>
      <c r="B36" s="31">
        <f>COUNTIF(DPIA_Register!$Q:$Q,"Overdue")</f>
        <v>1</v>
      </c>
    </row>
    <row r="37" spans="1:2" x14ac:dyDescent="0.35">
      <c r="A37" s="20" t="s">
        <v>3462</v>
      </c>
      <c r="B37" s="31">
        <f>COUNTIF(DPIA_Register!$V:$V,"Consult DPC (Art 36)")</f>
        <v>1</v>
      </c>
    </row>
    <row r="38" spans="1:2" x14ac:dyDescent="0.35">
      <c r="A38" s="20" t="s">
        <v>3463</v>
      </c>
      <c r="B38" s="31">
        <f>COUNTIF(DPIA_Register!$W:$W,"Submitted to DPC")</f>
        <v>1</v>
      </c>
    </row>
    <row r="39" spans="1:2" x14ac:dyDescent="0.35">
      <c r="A39" s="20" t="s">
        <v>3464</v>
      </c>
      <c r="B39" s="31">
        <f>COUNTIFS(DPIA_Register!$AB:$AB,"&gt;="&amp;ReportDate,DPIA_Register!$AB:$AB,"&lt;="&amp;ReportDate+90)</f>
        <v>0</v>
      </c>
    </row>
    <row r="40" spans="1:2" x14ac:dyDescent="0.35">
      <c r="B40" s="31"/>
    </row>
    <row r="41" spans="1:2" ht="13.9" x14ac:dyDescent="0.35">
      <c r="A41" s="29" t="s">
        <v>3424</v>
      </c>
      <c r="B41" s="30"/>
    </row>
    <row r="42" spans="1:2" x14ac:dyDescent="0.35">
      <c r="A42" s="20" t="s">
        <v>3425</v>
      </c>
      <c r="B42" s="31">
        <f>COUNTIF(DSR_Register!$AF:$AF,"Check*")</f>
        <v>0</v>
      </c>
    </row>
    <row r="43" spans="1:2" x14ac:dyDescent="0.35">
      <c r="A43" s="20" t="s">
        <v>3426</v>
      </c>
      <c r="B43" s="31">
        <f>COUNTIF(Incident_Log!$W:$W,"Check*")</f>
        <v>0</v>
      </c>
    </row>
    <row r="44" spans="1:2" x14ac:dyDescent="0.35">
      <c r="A44" s="20" t="s">
        <v>3427</v>
      </c>
      <c r="B44" s="31">
        <f>COUNTIF(DPIA_Register!$AC:$AC,"Check*")</f>
        <v>0</v>
      </c>
    </row>
    <row r="45" spans="1:2" x14ac:dyDescent="0.35">
      <c r="A45" s="20" t="s">
        <v>3428</v>
      </c>
      <c r="B45" s="31" t="str">
        <f>Lists!B13</f>
        <v>OK</v>
      </c>
    </row>
    <row r="46" spans="1:2" x14ac:dyDescent="0.35">
      <c r="A46" s="20" t="s">
        <v>3429</v>
      </c>
      <c r="B46" s="31" t="str">
        <f>Lists!B15</f>
        <v>OK</v>
      </c>
    </row>
    <row r="47" spans="1:2" x14ac:dyDescent="0.35">
      <c r="B47" s="31"/>
    </row>
    <row r="48" spans="1:2" x14ac:dyDescent="0.35">
      <c r="B48" s="31"/>
    </row>
  </sheetData>
  <sheetProtection sheet="1" objects="1" scenarios="1" formatCells="0" formatColumns="0" formatRows="0"/>
  <phoneticPr fontId="1" type="noConversion"/>
  <conditionalFormatting sqref="B42:B46">
    <cfRule type="containsText" dxfId="0" priority="1" stopIfTrue="1" operator="containsText" text="Check">
      <formula>NOT(ISERROR(SEARCH("Check",B42)))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9856A-AB89-4885-AE02-892C4AEF7746}">
  <sheetPr>
    <tabColor rgb="FF70AD47"/>
  </sheetPr>
  <dimension ref="A1:E63"/>
  <sheetViews>
    <sheetView workbookViewId="0"/>
  </sheetViews>
  <sheetFormatPr defaultRowHeight="13.5" x14ac:dyDescent="0.35"/>
  <cols>
    <col min="1" max="1" width="58.5625" customWidth="1"/>
    <col min="2" max="3" width="11.5625" customWidth="1"/>
    <col min="4" max="4" width="13.5625" customWidth="1"/>
    <col min="5" max="5" width="70.5625" customWidth="1"/>
  </cols>
  <sheetData>
    <row r="1" spans="1:5" ht="17.649999999999999" x14ac:dyDescent="0.35">
      <c r="A1" s="10" t="s">
        <v>3474</v>
      </c>
    </row>
    <row r="2" spans="1:5" x14ac:dyDescent="0.35">
      <c r="A2" s="12" t="s">
        <v>3475</v>
      </c>
    </row>
    <row r="4" spans="1:5" ht="13.9" x14ac:dyDescent="0.35">
      <c r="A4" s="2" t="s">
        <v>3476</v>
      </c>
    </row>
    <row r="5" spans="1:5" ht="13.9" x14ac:dyDescent="0.35">
      <c r="A5" s="3" t="s">
        <v>3477</v>
      </c>
      <c r="B5" s="3" t="s">
        <v>3478</v>
      </c>
      <c r="C5" s="3" t="s">
        <v>3348</v>
      </c>
      <c r="D5" s="3" t="s">
        <v>3479</v>
      </c>
      <c r="E5" s="3" t="s">
        <v>2</v>
      </c>
    </row>
    <row r="6" spans="1:5" x14ac:dyDescent="0.35">
      <c r="A6" t="s">
        <v>3480</v>
      </c>
      <c r="B6" s="13">
        <v>0.42</v>
      </c>
      <c r="C6" t="s">
        <v>3481</v>
      </c>
      <c r="D6" s="13">
        <f>COUNTIF(DSR_Register!$D:$D,"Access")/COUNTIF(DSR_Register!$A:$A,"DSR-*")</f>
        <v>0.45</v>
      </c>
      <c r="E6" t="s">
        <v>3482</v>
      </c>
    </row>
    <row r="7" spans="1:5" x14ac:dyDescent="0.35">
      <c r="A7" t="s">
        <v>3483</v>
      </c>
      <c r="B7" s="13">
        <v>0.17</v>
      </c>
      <c r="C7" t="s">
        <v>3481</v>
      </c>
      <c r="D7" s="13">
        <f>COUNTIF(DSR_Register!$D:$D,"Erasure")/COUNTIF(DSR_Register!$A:$A,"DSR-*")</f>
        <v>0.17499999999999999</v>
      </c>
      <c r="E7" t="s">
        <v>3484</v>
      </c>
    </row>
    <row r="8" spans="1:5" x14ac:dyDescent="0.35">
      <c r="A8" t="s">
        <v>3485</v>
      </c>
      <c r="B8" s="13">
        <v>0.5</v>
      </c>
      <c r="C8" t="s">
        <v>3486</v>
      </c>
      <c r="D8" s="13">
        <f>(COUNTIF(Incident_Log!$E:$E,"Data emailed to incorrect recipient")+COUNTIF(Incident_Log!$E:$E,"Data posted or faxed to incorrect recipient")+COUNTIF(Incident_Log!$E:$E,"Failure to use bcc"))/COUNTIF(Incident_Log!$A:$A,"INC-*")</f>
        <v>0.16666666666666666</v>
      </c>
      <c r="E8" t="s">
        <v>3487</v>
      </c>
    </row>
    <row r="9" spans="1:5" x14ac:dyDescent="0.35">
      <c r="A9" t="s">
        <v>3488</v>
      </c>
      <c r="B9" s="13">
        <v>0.55000000000000004</v>
      </c>
      <c r="C9" t="s">
        <v>3486</v>
      </c>
      <c r="D9" s="13">
        <f>(COUNTIF(Incident_Log!$K:$K,"Low")+COUNTIF(Incident_Log!$K:$K,"No risk"))/COUNTIF(Incident_Log!$A:$A,"INC-*")</f>
        <v>8.3333333333333329E-2</v>
      </c>
      <c r="E9" t="s">
        <v>3489</v>
      </c>
    </row>
    <row r="10" spans="1:5" x14ac:dyDescent="0.35">
      <c r="A10" t="s">
        <v>3490</v>
      </c>
      <c r="B10" s="14">
        <v>6521</v>
      </c>
      <c r="C10" t="s">
        <v>3486</v>
      </c>
      <c r="D10">
        <f>COUNTIF(Incident_Log!$L:$L,"Yes")</f>
        <v>11</v>
      </c>
      <c r="E10" t="s">
        <v>3491</v>
      </c>
    </row>
    <row r="11" spans="1:5" x14ac:dyDescent="0.35">
      <c r="A11" t="s">
        <v>3492</v>
      </c>
      <c r="B11" s="14">
        <v>16160</v>
      </c>
      <c r="C11" t="s">
        <v>3493</v>
      </c>
      <c r="D11" t="s">
        <v>56</v>
      </c>
      <c r="E11" t="s">
        <v>3494</v>
      </c>
    </row>
    <row r="14" spans="1:5" ht="13.9" x14ac:dyDescent="0.35">
      <c r="A14" s="2" t="s">
        <v>3495</v>
      </c>
    </row>
    <row r="15" spans="1:5" ht="13.9" x14ac:dyDescent="0.35">
      <c r="A15" s="3" t="s">
        <v>106</v>
      </c>
      <c r="B15" s="3" t="s">
        <v>3496</v>
      </c>
      <c r="C15" s="3" t="s">
        <v>3497</v>
      </c>
      <c r="D15" s="3" t="s">
        <v>3498</v>
      </c>
      <c r="E15" s="3" t="s">
        <v>3499</v>
      </c>
    </row>
    <row r="16" spans="1:5" x14ac:dyDescent="0.35">
      <c r="A16" t="s">
        <v>116</v>
      </c>
      <c r="B16" s="14">
        <f>COUNTIF(ICO_Retail_2024_25!$E:$E,A16)</f>
        <v>609</v>
      </c>
      <c r="C16" s="15">
        <f>B16/(COUNTA(ICO_Retail_2024_25!$A:$A)-1)</f>
        <v>0.2151183327446132</v>
      </c>
      <c r="D16">
        <f>COUNTIF(Incident_Log!$E:$E,A16)</f>
        <v>3</v>
      </c>
      <c r="E16" s="13">
        <f>IFERROR(D16/COUNTIF(Incident_Log!$A:$A,"INC-*"),0)</f>
        <v>0.25</v>
      </c>
    </row>
    <row r="17" spans="1:5" x14ac:dyDescent="0.35">
      <c r="A17" t="s">
        <v>117</v>
      </c>
      <c r="B17" s="14">
        <f>COUNTIF(ICO_Retail_2024_25!$E:$E,A17)</f>
        <v>457</v>
      </c>
      <c r="C17" s="15">
        <f>B17/(COUNTA(ICO_Retail_2024_25!$A:$A)-1)</f>
        <v>0.16142705757682799</v>
      </c>
      <c r="D17">
        <f>COUNTIF(Incident_Log!$E:$E,A17)</f>
        <v>2</v>
      </c>
      <c r="E17" s="13">
        <f>IFERROR(D17/COUNTIF(Incident_Log!$A:$A,"INC-*"),0)</f>
        <v>0.16666666666666666</v>
      </c>
    </row>
    <row r="18" spans="1:5" x14ac:dyDescent="0.35">
      <c r="A18" t="s">
        <v>120</v>
      </c>
      <c r="B18" s="14">
        <f>COUNTIF(ICO_Retail_2024_25!$E:$E,A18)</f>
        <v>367</v>
      </c>
      <c r="C18" s="15">
        <f>B18/(COUNTA(ICO_Retail_2024_25!$A:$A)-1)</f>
        <v>0.12963617096432356</v>
      </c>
      <c r="D18">
        <f>COUNTIF(Incident_Log!$E:$E,A18)</f>
        <v>2</v>
      </c>
      <c r="E18" s="13">
        <f>IFERROR(D18/COUNTIF(Incident_Log!$A:$A,"INC-*"),0)</f>
        <v>0.16666666666666666</v>
      </c>
    </row>
    <row r="19" spans="1:5" x14ac:dyDescent="0.35">
      <c r="A19" t="s">
        <v>115</v>
      </c>
      <c r="B19" s="14">
        <f>COUNTIF(ICO_Retail_2024_25!$E:$E,A19)</f>
        <v>296</v>
      </c>
      <c r="C19" s="15">
        <f>B19/(COUNTA(ICO_Retail_2024_25!$A:$A)-1)</f>
        <v>0.10455669374779231</v>
      </c>
      <c r="D19">
        <f>COUNTIF(Incident_Log!$E:$E,A19)</f>
        <v>1</v>
      </c>
      <c r="E19" s="13">
        <f>IFERROR(D19/COUNTIF(Incident_Log!$A:$A,"INC-*"),0)</f>
        <v>8.3333333333333329E-2</v>
      </c>
    </row>
    <row r="20" spans="1:5" x14ac:dyDescent="0.35">
      <c r="A20" t="s">
        <v>107</v>
      </c>
      <c r="B20" s="14">
        <f>COUNTIF(ICO_Retail_2024_25!$E:$E,A20)</f>
        <v>267</v>
      </c>
      <c r="C20" s="15">
        <f>B20/(COUNTA(ICO_Retail_2024_25!$A:$A)-1)</f>
        <v>9.4312963617096429E-2</v>
      </c>
      <c r="D20">
        <f>COUNTIF(Incident_Log!$E:$E,A20)</f>
        <v>1</v>
      </c>
      <c r="E20" s="13">
        <f>IFERROR(D20/COUNTIF(Incident_Log!$A:$A,"INC-*"),0)</f>
        <v>8.3333333333333329E-2</v>
      </c>
    </row>
    <row r="21" spans="1:5" x14ac:dyDescent="0.35">
      <c r="A21" t="s">
        <v>119</v>
      </c>
      <c r="B21" s="14">
        <f>COUNTIF(ICO_Retail_2024_25!$E:$E,A21)</f>
        <v>239</v>
      </c>
      <c r="C21" s="15">
        <f>B21/(COUNTA(ICO_Retail_2024_25!$A:$A)-1)</f>
        <v>8.4422465559872831E-2</v>
      </c>
      <c r="D21">
        <f>COUNTIF(Incident_Log!$E:$E,A21)</f>
        <v>1</v>
      </c>
      <c r="E21" s="13">
        <f>IFERROR(D21/COUNTIF(Incident_Log!$A:$A,"INC-*"),0)</f>
        <v>8.3333333333333329E-2</v>
      </c>
    </row>
    <row r="22" spans="1:5" x14ac:dyDescent="0.35">
      <c r="A22" t="s">
        <v>118</v>
      </c>
      <c r="B22" s="14">
        <f>COUNTIF(ICO_Retail_2024_25!$E:$E,A22)</f>
        <v>84</v>
      </c>
      <c r="C22" s="15">
        <f>B22/(COUNTA(ICO_Retail_2024_25!$A:$A)-1)</f>
        <v>2.9671494171670788E-2</v>
      </c>
      <c r="D22">
        <f>COUNTIF(Incident_Log!$E:$E,A22)</f>
        <v>1</v>
      </c>
      <c r="E22" s="13">
        <f>IFERROR(D22/COUNTIF(Incident_Log!$A:$A,"INC-*"),0)</f>
        <v>8.3333333333333329E-2</v>
      </c>
    </row>
    <row r="23" spans="1:5" x14ac:dyDescent="0.35">
      <c r="A23" t="s">
        <v>109</v>
      </c>
      <c r="B23" s="14">
        <f>COUNTIF(ICO_Retail_2024_25!$E:$E,A23)</f>
        <v>84</v>
      </c>
      <c r="C23" s="15">
        <f>B23/(COUNTA(ICO_Retail_2024_25!$A:$A)-1)</f>
        <v>2.9671494171670788E-2</v>
      </c>
      <c r="D23">
        <f>COUNTIF(Incident_Log!$E:$E,A23)</f>
        <v>1</v>
      </c>
      <c r="E23" s="13">
        <f>IFERROR(D23/COUNTIF(Incident_Log!$A:$A,"INC-*"),0)</f>
        <v>8.3333333333333329E-2</v>
      </c>
    </row>
    <row r="24" spans="1:5" x14ac:dyDescent="0.35">
      <c r="A24" t="s">
        <v>377</v>
      </c>
      <c r="B24" s="14">
        <f>COUNTIF(ICO_Retail_2024_25!$E:$E,A24)</f>
        <v>79</v>
      </c>
      <c r="C24" s="15">
        <f>B24/(COUNTA(ICO_Retail_2024_25!$A:$A)-1)</f>
        <v>2.7905333804309432E-2</v>
      </c>
      <c r="D24">
        <f>COUNTIF(Incident_Log!$E:$E,A24)</f>
        <v>0</v>
      </c>
      <c r="E24" s="13">
        <f>IFERROR(D24/COUNTIF(Incident_Log!$A:$A,"INC-*"),0)</f>
        <v>0</v>
      </c>
    </row>
    <row r="25" spans="1:5" x14ac:dyDescent="0.35">
      <c r="A25" t="s">
        <v>108</v>
      </c>
      <c r="B25" s="14">
        <f>COUNTIF(ICO_Retail_2024_25!$E:$E,A25)</f>
        <v>64</v>
      </c>
      <c r="C25" s="15">
        <f>B25/(COUNTA(ICO_Retail_2024_25!$A:$A)-1)</f>
        <v>2.2606852702225361E-2</v>
      </c>
      <c r="D25">
        <f>COUNTIF(Incident_Log!$E:$E,A25)</f>
        <v>0</v>
      </c>
      <c r="E25" s="13">
        <f>IFERROR(D25/COUNTIF(Incident_Log!$A:$A,"INC-*"),0)</f>
        <v>0</v>
      </c>
    </row>
    <row r="26" spans="1:5" x14ac:dyDescent="0.35">
      <c r="A26" t="s">
        <v>110</v>
      </c>
      <c r="B26" s="14">
        <f>COUNTIF(ICO_Retail_2024_25!$E:$E,A26)</f>
        <v>61</v>
      </c>
      <c r="C26" s="15">
        <f>B26/(COUNTA(ICO_Retail_2024_25!$A:$A)-1)</f>
        <v>2.1547156481808549E-2</v>
      </c>
      <c r="D26">
        <f>COUNTIF(Incident_Log!$E:$E,A26)</f>
        <v>0</v>
      </c>
      <c r="E26" s="13">
        <f>IFERROR(D26/COUNTIF(Incident_Log!$A:$A,"INC-*"),0)</f>
        <v>0</v>
      </c>
    </row>
    <row r="27" spans="1:5" x14ac:dyDescent="0.35">
      <c r="A27" t="s">
        <v>113</v>
      </c>
      <c r="B27" s="14">
        <f>COUNTIF(ICO_Retail_2024_25!$E:$E,A27)</f>
        <v>51</v>
      </c>
      <c r="C27" s="15">
        <f>B27/(COUNTA(ICO_Retail_2024_25!$A:$A)-1)</f>
        <v>1.8014835747085834E-2</v>
      </c>
      <c r="D27">
        <f>COUNTIF(Incident_Log!$E:$E,A27)</f>
        <v>0</v>
      </c>
      <c r="E27" s="13">
        <f>IFERROR(D27/COUNTIF(Incident_Log!$A:$A,"INC-*"),0)</f>
        <v>0</v>
      </c>
    </row>
    <row r="28" spans="1:5" x14ac:dyDescent="0.35">
      <c r="A28" t="s">
        <v>360</v>
      </c>
      <c r="B28" s="14">
        <f>COUNTIF(ICO_Retail_2024_25!$E:$E,A28)</f>
        <v>44</v>
      </c>
      <c r="C28" s="15">
        <f>B28/(COUNTA(ICO_Retail_2024_25!$A:$A)-1)</f>
        <v>1.5542211232779936E-2</v>
      </c>
      <c r="D28">
        <f>COUNTIF(Incident_Log!$E:$E,A28)</f>
        <v>0</v>
      </c>
      <c r="E28" s="13">
        <f>IFERROR(D28/COUNTIF(Incident_Log!$A:$A,"INC-*"),0)</f>
        <v>0</v>
      </c>
    </row>
    <row r="29" spans="1:5" x14ac:dyDescent="0.35">
      <c r="A29" t="s">
        <v>344</v>
      </c>
      <c r="B29" s="14">
        <f>COUNTIF(ICO_Retail_2024_25!$E:$E,A29)</f>
        <v>43</v>
      </c>
      <c r="C29" s="15">
        <f>B29/(COUNTA(ICO_Retail_2024_25!$A:$A)-1)</f>
        <v>1.5188979159307664E-2</v>
      </c>
      <c r="D29">
        <f>COUNTIF(Incident_Log!$E:$E,A29)</f>
        <v>0</v>
      </c>
      <c r="E29" s="13">
        <f>IFERROR(D29/COUNTIF(Incident_Log!$A:$A,"INC-*"),0)</f>
        <v>0</v>
      </c>
    </row>
    <row r="30" spans="1:5" x14ac:dyDescent="0.35">
      <c r="A30" t="s">
        <v>111</v>
      </c>
      <c r="B30" s="14">
        <f>COUNTIF(ICO_Retail_2024_25!$E:$E,A30)</f>
        <v>39</v>
      </c>
      <c r="C30" s="15">
        <f>B30/(COUNTA(ICO_Retail_2024_25!$A:$A)-1)</f>
        <v>1.377605086541858E-2</v>
      </c>
      <c r="D30">
        <f>COUNTIF(Incident_Log!$E:$E,A30)</f>
        <v>0</v>
      </c>
      <c r="E30" s="13">
        <f>IFERROR(D30/COUNTIF(Incident_Log!$A:$A,"INC-*"),0)</f>
        <v>0</v>
      </c>
    </row>
    <row r="31" spans="1:5" x14ac:dyDescent="0.35">
      <c r="A31" t="s">
        <v>112</v>
      </c>
      <c r="B31" s="14">
        <f>COUNTIF(ICO_Retail_2024_25!$E:$E,A31)</f>
        <v>21</v>
      </c>
      <c r="C31" s="15">
        <f>B31/(COUNTA(ICO_Retail_2024_25!$A:$A)-1)</f>
        <v>7.4178735429176971E-3</v>
      </c>
      <c r="D31">
        <f>COUNTIF(Incident_Log!$E:$E,A31)</f>
        <v>0</v>
      </c>
      <c r="E31" s="13">
        <f>IFERROR(D31/COUNTIF(Incident_Log!$A:$A,"INC-*"),0)</f>
        <v>0</v>
      </c>
    </row>
    <row r="32" spans="1:5" x14ac:dyDescent="0.35">
      <c r="A32" t="s">
        <v>114</v>
      </c>
      <c r="B32" s="14">
        <f>COUNTIF(ICO_Retail_2024_25!$E:$E,A32)</f>
        <v>13</v>
      </c>
      <c r="C32" s="15">
        <f>B32/(COUNTA(ICO_Retail_2024_25!$A:$A)-1)</f>
        <v>4.5920169551395265E-3</v>
      </c>
      <c r="D32">
        <f>COUNTIF(Incident_Log!$E:$E,A32)</f>
        <v>0</v>
      </c>
      <c r="E32" s="13">
        <f>IFERROR(D32/COUNTIF(Incident_Log!$A:$A,"INC-*"),0)</f>
        <v>0</v>
      </c>
    </row>
    <row r="33" spans="1:5" x14ac:dyDescent="0.35">
      <c r="A33" t="s">
        <v>599</v>
      </c>
      <c r="B33" s="14">
        <f>COUNTIF(ICO_Retail_2024_25!$E:$E,A33)</f>
        <v>8</v>
      </c>
      <c r="C33" s="15">
        <f>B33/(COUNTA(ICO_Retail_2024_25!$A:$A)-1)</f>
        <v>2.8258565877781702E-3</v>
      </c>
      <c r="D33">
        <f>COUNTIF(Incident_Log!$E:$E,A33)</f>
        <v>0</v>
      </c>
      <c r="E33" s="13">
        <f>IFERROR(D33/COUNTIF(Incident_Log!$A:$A,"INC-*"),0)</f>
        <v>0</v>
      </c>
    </row>
    <row r="34" spans="1:5" x14ac:dyDescent="0.35">
      <c r="A34" t="s">
        <v>1486</v>
      </c>
      <c r="B34" s="14">
        <f>COUNTIF(ICO_Retail_2024_25!$E:$E,A34)</f>
        <v>3</v>
      </c>
      <c r="C34" s="15">
        <f>B34/(COUNTA(ICO_Retail_2024_25!$A:$A)-1)</f>
        <v>1.0596962204168139E-3</v>
      </c>
      <c r="D34">
        <f>COUNTIF(Incident_Log!$E:$E,A34)</f>
        <v>0</v>
      </c>
      <c r="E34" s="13">
        <f>IFERROR(D34/COUNTIF(Incident_Log!$A:$A,"INC-*"),0)</f>
        <v>0</v>
      </c>
    </row>
    <row r="35" spans="1:5" x14ac:dyDescent="0.35">
      <c r="A35" t="s">
        <v>2208</v>
      </c>
      <c r="B35" s="14">
        <f>COUNTIF(ICO_Retail_2024_25!$E:$E,A35)</f>
        <v>1</v>
      </c>
      <c r="C35" s="15">
        <f>B35/(COUNTA(ICO_Retail_2024_25!$A:$A)-1)</f>
        <v>3.5323207347227127E-4</v>
      </c>
      <c r="D35">
        <f>COUNTIF(Incident_Log!$E:$E,A35)</f>
        <v>0</v>
      </c>
      <c r="E35" s="13">
        <f>IFERROR(D35/COUNTIF(Incident_Log!$A:$A,"INC-*"),0)</f>
        <v>0</v>
      </c>
    </row>
    <row r="36" spans="1:5" x14ac:dyDescent="0.35">
      <c r="A36" t="s">
        <v>2865</v>
      </c>
      <c r="B36" s="14">
        <f>COUNTIF(ICO_Retail_2024_25!$E:$E,A36)</f>
        <v>1</v>
      </c>
      <c r="C36" s="15">
        <f>B36/(COUNTA(ICO_Retail_2024_25!$A:$A)-1)</f>
        <v>3.5323207347227127E-4</v>
      </c>
      <c r="D36">
        <f>COUNTIF(Incident_Log!$E:$E,A36)</f>
        <v>0</v>
      </c>
      <c r="E36" s="13">
        <f>IFERROR(D36/COUNTIF(Incident_Log!$A:$A,"INC-*"),0)</f>
        <v>0</v>
      </c>
    </row>
    <row r="37" spans="1:5" ht="13.9" x14ac:dyDescent="0.35">
      <c r="A37" s="2" t="s">
        <v>3468</v>
      </c>
      <c r="B37" s="16">
        <f>SUM(B16:B36)</f>
        <v>2831</v>
      </c>
      <c r="C37" s="2"/>
      <c r="D37" s="2">
        <f>SUM(D16:D36)</f>
        <v>12</v>
      </c>
      <c r="E37" s="2"/>
    </row>
    <row r="39" spans="1:5" ht="13.9" x14ac:dyDescent="0.35">
      <c r="A39" s="2" t="s">
        <v>3500</v>
      </c>
    </row>
    <row r="40" spans="1:5" ht="13.9" x14ac:dyDescent="0.35">
      <c r="A40" s="3" t="s">
        <v>122</v>
      </c>
      <c r="B40" s="3" t="s">
        <v>3496</v>
      </c>
      <c r="C40" s="3" t="s">
        <v>3497</v>
      </c>
      <c r="D40" s="3" t="s">
        <v>3498</v>
      </c>
      <c r="E40" s="3" t="s">
        <v>3499</v>
      </c>
    </row>
    <row r="41" spans="1:5" x14ac:dyDescent="0.35">
      <c r="A41" t="s">
        <v>125</v>
      </c>
      <c r="B41" s="14">
        <f>COUNTIF(ICO_Retail_2024_25!$F:$F,A41)</f>
        <v>845</v>
      </c>
      <c r="C41" s="15">
        <f>B41/(COUNTA(ICO_Retail_2024_25!$A:$A)-1)</f>
        <v>0.29848110208406925</v>
      </c>
      <c r="D41">
        <f>COUNTIF(Incident_Log!$I:$I,A41)</f>
        <v>1</v>
      </c>
      <c r="E41" s="13">
        <f>IFERROR(D41/COUNTIF(Incident_Log!$A:$A,"INC-*"),0)</f>
        <v>8.3333333333333329E-2</v>
      </c>
    </row>
    <row r="42" spans="1:5" x14ac:dyDescent="0.35">
      <c r="A42" t="s">
        <v>127</v>
      </c>
      <c r="B42" s="14">
        <f>COUNTIF(ICO_Retail_2024_25!$F:$F,A42)</f>
        <v>506</v>
      </c>
      <c r="C42" s="15">
        <f>B42/(COUNTA(ICO_Retail_2024_25!$A:$A)-1)</f>
        <v>0.17873542917696927</v>
      </c>
      <c r="D42">
        <f>COUNTIF(Incident_Log!$I:$I,A42)</f>
        <v>7</v>
      </c>
      <c r="E42" s="13">
        <f>IFERROR(D42/COUNTIF(Incident_Log!$A:$A,"INC-*"),0)</f>
        <v>0.58333333333333337</v>
      </c>
    </row>
    <row r="43" spans="1:5" x14ac:dyDescent="0.35">
      <c r="A43" t="s">
        <v>129</v>
      </c>
      <c r="B43" s="14">
        <f>COUNTIF(ICO_Retail_2024_25!$F:$F,A43)</f>
        <v>661</v>
      </c>
      <c r="C43" s="15">
        <f>B43/(COUNTA(ICO_Retail_2024_25!$A:$A)-1)</f>
        <v>0.23348640056517131</v>
      </c>
      <c r="D43">
        <f>COUNTIF(Incident_Log!$I:$I,A43)</f>
        <v>3</v>
      </c>
      <c r="E43" s="13">
        <f>IFERROR(D43/COUNTIF(Incident_Log!$A:$A,"INC-*"),0)</f>
        <v>0.25</v>
      </c>
    </row>
    <row r="44" spans="1:5" x14ac:dyDescent="0.35">
      <c r="A44" t="s">
        <v>131</v>
      </c>
      <c r="B44" s="14">
        <f>COUNTIF(ICO_Retail_2024_25!$F:$F,A44)</f>
        <v>363</v>
      </c>
      <c r="C44" s="15">
        <f>B44/(COUNTA(ICO_Retail_2024_25!$A:$A)-1)</f>
        <v>0.12822324267043447</v>
      </c>
      <c r="D44">
        <f>COUNTIF(Incident_Log!$I:$I,A44)</f>
        <v>1</v>
      </c>
      <c r="E44" s="13">
        <f>IFERROR(D44/COUNTIF(Incident_Log!$A:$A,"INC-*"),0)</f>
        <v>8.3333333333333329E-2</v>
      </c>
    </row>
    <row r="45" spans="1:5" x14ac:dyDescent="0.35">
      <c r="A45" t="s">
        <v>133</v>
      </c>
      <c r="B45" s="14">
        <f>COUNTIF(ICO_Retail_2024_25!$F:$F,A45)</f>
        <v>96</v>
      </c>
      <c r="C45" s="15">
        <f>B45/(COUNTA(ICO_Retail_2024_25!$A:$A)-1)</f>
        <v>3.3910279053338044E-2</v>
      </c>
      <c r="D45">
        <f>COUNTIF(Incident_Log!$I:$I,A45)</f>
        <v>0</v>
      </c>
      <c r="E45" s="13">
        <f>IFERROR(D45/COUNTIF(Incident_Log!$A:$A,"INC-*"),0)</f>
        <v>0</v>
      </c>
    </row>
    <row r="46" spans="1:5" x14ac:dyDescent="0.35">
      <c r="A46" t="s">
        <v>134</v>
      </c>
      <c r="B46" s="14">
        <f>COUNTIF(ICO_Retail_2024_25!$F:$F,A46)</f>
        <v>51</v>
      </c>
      <c r="C46" s="15">
        <f>B46/(COUNTA(ICO_Retail_2024_25!$A:$A)-1)</f>
        <v>1.8014835747085834E-2</v>
      </c>
      <c r="D46">
        <f>COUNTIF(Incident_Log!$I:$I,A46)</f>
        <v>0</v>
      </c>
      <c r="E46" s="13">
        <f>IFERROR(D46/COUNTIF(Incident_Log!$A:$A,"INC-*"),0)</f>
        <v>0</v>
      </c>
    </row>
    <row r="47" spans="1:5" x14ac:dyDescent="0.35">
      <c r="A47" t="s">
        <v>288</v>
      </c>
      <c r="B47" s="14">
        <f>COUNTIF(ICO_Retail_2024_25!$F:$F,A47)</f>
        <v>309</v>
      </c>
      <c r="C47" s="15">
        <f>B47/(COUNTA(ICO_Retail_2024_25!$A:$A)-1)</f>
        <v>0.10914871070293182</v>
      </c>
      <c r="D47">
        <f>COUNTIF(Incident_Log!$I:$I,A47)</f>
        <v>0</v>
      </c>
      <c r="E47" s="13">
        <f>IFERROR(D47/COUNTIF(Incident_Log!$A:$A,"INC-*"),0)</f>
        <v>0</v>
      </c>
    </row>
    <row r="48" spans="1:5" ht="13.9" x14ac:dyDescent="0.35">
      <c r="A48" s="2" t="s">
        <v>3468</v>
      </c>
      <c r="B48" s="16">
        <f>SUM(B41:B47)</f>
        <v>2831</v>
      </c>
      <c r="C48" s="2"/>
      <c r="D48" s="2">
        <f>SUM(D41:D47)</f>
        <v>12</v>
      </c>
      <c r="E48" s="2"/>
    </row>
    <row r="50" spans="1:5" ht="13.9" x14ac:dyDescent="0.35">
      <c r="A50" s="2" t="s">
        <v>3501</v>
      </c>
    </row>
    <row r="51" spans="1:5" ht="13.9" x14ac:dyDescent="0.35">
      <c r="A51" s="3" t="s">
        <v>239</v>
      </c>
      <c r="B51" s="3" t="s">
        <v>3496</v>
      </c>
      <c r="C51" s="3" t="s">
        <v>3497</v>
      </c>
      <c r="D51" s="3" t="s">
        <v>3498</v>
      </c>
      <c r="E51" s="3" t="s">
        <v>3499</v>
      </c>
    </row>
    <row r="52" spans="1:5" x14ac:dyDescent="0.35">
      <c r="A52" t="s">
        <v>126</v>
      </c>
      <c r="B52" s="14">
        <f>COUNTIF(ICO_Retail_2024_25!$G:$G,A52)</f>
        <v>552</v>
      </c>
      <c r="C52" s="15">
        <f>B52/(COUNTA(ICO_Retail_2024_25!$A:$A)-1)</f>
        <v>0.19498410455669374</v>
      </c>
      <c r="D52">
        <f>COUNTIF(Incident_Log!$P:$P,A52)</f>
        <v>1</v>
      </c>
      <c r="E52" s="13">
        <f>IFERROR(D52/(COUNTIF(Incident_Log!$Q:$Q,"Y")+COUNTIF(Incident_Log!$Q:$Q,"N")),0)</f>
        <v>0.1</v>
      </c>
    </row>
    <row r="53" spans="1:5" x14ac:dyDescent="0.35">
      <c r="A53" t="s">
        <v>128</v>
      </c>
      <c r="B53" s="14">
        <f>COUNTIF(ICO_Retail_2024_25!$G:$G,A53)</f>
        <v>1237</v>
      </c>
      <c r="C53" s="15">
        <f>B53/(COUNTA(ICO_Retail_2024_25!$A:$A)-1)</f>
        <v>0.4369480748851996</v>
      </c>
      <c r="D53">
        <f>COUNTIF(Incident_Log!$P:$P,A53)</f>
        <v>5</v>
      </c>
      <c r="E53" s="13">
        <f>IFERROR(D53/(COUNTIF(Incident_Log!$Q:$Q,"Y")+COUNTIF(Incident_Log!$Q:$Q,"N")),0)</f>
        <v>0.5</v>
      </c>
    </row>
    <row r="54" spans="1:5" x14ac:dyDescent="0.35">
      <c r="A54" t="s">
        <v>130</v>
      </c>
      <c r="B54" s="14">
        <f>COUNTIF(ICO_Retail_2024_25!$G:$G,A54)</f>
        <v>566</v>
      </c>
      <c r="C54" s="15">
        <f>B54/(COUNTA(ICO_Retail_2024_25!$A:$A)-1)</f>
        <v>0.19992935358530556</v>
      </c>
      <c r="D54">
        <f>COUNTIF(Incident_Log!$P:$P,A54)</f>
        <v>2</v>
      </c>
      <c r="E54" s="13">
        <f>IFERROR(D54/(COUNTIF(Incident_Log!$Q:$Q,"Y")+COUNTIF(Incident_Log!$Q:$Q,"N")),0)</f>
        <v>0.2</v>
      </c>
    </row>
    <row r="55" spans="1:5" x14ac:dyDescent="0.35">
      <c r="A55" t="s">
        <v>132</v>
      </c>
      <c r="B55" s="14">
        <f>COUNTIF(ICO_Retail_2024_25!$G:$G,A55)</f>
        <v>476</v>
      </c>
      <c r="C55" s="15">
        <f>B55/(COUNTA(ICO_Retail_2024_25!$A:$A)-1)</f>
        <v>0.16813846697280113</v>
      </c>
      <c r="D55">
        <f>COUNTIF(Incident_Log!$P:$P,A55)</f>
        <v>2</v>
      </c>
      <c r="E55" s="13">
        <f>IFERROR(D55/(COUNTIF(Incident_Log!$Q:$Q,"Y")+COUNTIF(Incident_Log!$Q:$Q,"N")),0)</f>
        <v>0.2</v>
      </c>
    </row>
    <row r="56" spans="1:5" ht="13.9" x14ac:dyDescent="0.35">
      <c r="A56" s="2" t="s">
        <v>3468</v>
      </c>
      <c r="B56" s="16">
        <f>SUM(B52:B55)</f>
        <v>2831</v>
      </c>
      <c r="C56" s="2"/>
      <c r="D56" s="2">
        <f>SUM(D52:D55)</f>
        <v>10</v>
      </c>
      <c r="E56" s="2"/>
    </row>
    <row r="58" spans="1:5" ht="13.9" x14ac:dyDescent="0.35">
      <c r="A58" s="2" t="s">
        <v>3502</v>
      </c>
    </row>
    <row r="59" spans="1:5" x14ac:dyDescent="0.35">
      <c r="A59" t="s">
        <v>3503</v>
      </c>
    </row>
    <row r="60" spans="1:5" x14ac:dyDescent="0.35">
      <c r="A60" t="s">
        <v>3504</v>
      </c>
    </row>
    <row r="61" spans="1:5" x14ac:dyDescent="0.35">
      <c r="A61" t="s">
        <v>3505</v>
      </c>
    </row>
    <row r="62" spans="1:5" x14ac:dyDescent="0.35">
      <c r="A62" t="s">
        <v>3506</v>
      </c>
    </row>
    <row r="63" spans="1:5" x14ac:dyDescent="0.35">
      <c r="A63" t="s">
        <v>3507</v>
      </c>
    </row>
  </sheetData>
  <sheetProtection sheet="1" objects="1" scenarios="1" formatCells="0" formatColumns="0" formatRows="0"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C7BC5-2879-498C-9D77-A6EA1124EC59}">
  <sheetPr>
    <tabColor rgb="FF70AD47"/>
  </sheetPr>
  <dimension ref="A1:M2832"/>
  <sheetViews>
    <sheetView workbookViewId="0"/>
  </sheetViews>
  <sheetFormatPr defaultRowHeight="13.5" x14ac:dyDescent="0.35"/>
  <cols>
    <col min="1" max="1" width="12.6875" bestFit="1" customWidth="1"/>
    <col min="2" max="2" width="5" bestFit="1" customWidth="1"/>
    <col min="3" max="3" width="7.5" bestFit="1" customWidth="1"/>
    <col min="4" max="4" width="17.25" bestFit="1" customWidth="1"/>
    <col min="5" max="5" width="47" bestFit="1" customWidth="1"/>
    <col min="6" max="6" width="14.3125" bestFit="1" customWidth="1"/>
    <col min="7" max="7" width="21.5" bestFit="1" customWidth="1"/>
    <col min="8" max="8" width="20.5" bestFit="1" customWidth="1"/>
    <col min="9" max="10" width="40.5625" customWidth="1"/>
    <col min="11" max="11" width="21.75" bestFit="1" customWidth="1"/>
  </cols>
  <sheetData>
    <row r="1" spans="1:13" ht="13.9" x14ac:dyDescent="0.35">
      <c r="A1" s="3" t="s">
        <v>277</v>
      </c>
      <c r="B1" s="3" t="s">
        <v>278</v>
      </c>
      <c r="C1" s="3" t="s">
        <v>279</v>
      </c>
      <c r="D1" s="3" t="s">
        <v>66</v>
      </c>
      <c r="E1" s="3" t="s">
        <v>106</v>
      </c>
      <c r="F1" s="3" t="s">
        <v>122</v>
      </c>
      <c r="G1" s="3" t="s">
        <v>239</v>
      </c>
      <c r="H1" s="3" t="s">
        <v>280</v>
      </c>
      <c r="I1" s="3" t="s">
        <v>281</v>
      </c>
      <c r="J1" s="3" t="s">
        <v>282</v>
      </c>
      <c r="K1" s="3" t="s">
        <v>234</v>
      </c>
      <c r="M1" s="2" t="s">
        <v>3348</v>
      </c>
    </row>
    <row r="2" spans="1:13" x14ac:dyDescent="0.35">
      <c r="A2" t="s">
        <v>283</v>
      </c>
      <c r="B2">
        <v>2024</v>
      </c>
      <c r="C2" t="s">
        <v>284</v>
      </c>
      <c r="D2" t="s">
        <v>76</v>
      </c>
      <c r="E2" t="s">
        <v>115</v>
      </c>
      <c r="F2" t="s">
        <v>129</v>
      </c>
      <c r="G2" t="s">
        <v>126</v>
      </c>
      <c r="H2" t="s">
        <v>285</v>
      </c>
      <c r="I2" t="s">
        <v>77</v>
      </c>
      <c r="J2" t="s">
        <v>286</v>
      </c>
      <c r="K2" t="s">
        <v>57</v>
      </c>
      <c r="M2" t="s">
        <v>3349</v>
      </c>
    </row>
    <row r="3" spans="1:13" x14ac:dyDescent="0.35">
      <c r="A3" t="s">
        <v>287</v>
      </c>
      <c r="B3">
        <v>2024</v>
      </c>
      <c r="C3" t="s">
        <v>284</v>
      </c>
      <c r="D3" t="s">
        <v>85</v>
      </c>
      <c r="E3" t="s">
        <v>117</v>
      </c>
      <c r="F3" t="s">
        <v>288</v>
      </c>
      <c r="G3" t="s">
        <v>130</v>
      </c>
      <c r="H3" t="s">
        <v>285</v>
      </c>
      <c r="I3" t="s">
        <v>289</v>
      </c>
      <c r="J3" t="s">
        <v>288</v>
      </c>
      <c r="K3" t="s">
        <v>57</v>
      </c>
      <c r="M3" t="s">
        <v>3350</v>
      </c>
    </row>
    <row r="4" spans="1:13" x14ac:dyDescent="0.35">
      <c r="A4" t="s">
        <v>290</v>
      </c>
      <c r="B4">
        <v>2024</v>
      </c>
      <c r="C4" t="s">
        <v>284</v>
      </c>
      <c r="D4" t="s">
        <v>76</v>
      </c>
      <c r="E4" t="s">
        <v>115</v>
      </c>
      <c r="F4" t="s">
        <v>129</v>
      </c>
      <c r="G4" t="s">
        <v>132</v>
      </c>
      <c r="H4" t="s">
        <v>285</v>
      </c>
      <c r="I4" t="s">
        <v>289</v>
      </c>
      <c r="J4" t="s">
        <v>286</v>
      </c>
      <c r="K4" t="s">
        <v>57</v>
      </c>
      <c r="M4" t="s">
        <v>3351</v>
      </c>
    </row>
    <row r="5" spans="1:13" x14ac:dyDescent="0.35">
      <c r="A5" t="s">
        <v>291</v>
      </c>
      <c r="B5">
        <v>2024</v>
      </c>
      <c r="C5" t="s">
        <v>284</v>
      </c>
      <c r="D5" t="s">
        <v>85</v>
      </c>
      <c r="E5" t="s">
        <v>120</v>
      </c>
      <c r="F5" t="s">
        <v>288</v>
      </c>
      <c r="G5" t="s">
        <v>130</v>
      </c>
      <c r="H5" t="s">
        <v>285</v>
      </c>
      <c r="I5" t="s">
        <v>292</v>
      </c>
      <c r="J5" t="s">
        <v>293</v>
      </c>
      <c r="K5" t="s">
        <v>42</v>
      </c>
      <c r="M5" t="s">
        <v>3352</v>
      </c>
    </row>
    <row r="6" spans="1:13" x14ac:dyDescent="0.35">
      <c r="A6" t="s">
        <v>294</v>
      </c>
      <c r="B6">
        <v>2024</v>
      </c>
      <c r="C6" t="s">
        <v>284</v>
      </c>
      <c r="D6" t="s">
        <v>76</v>
      </c>
      <c r="E6" t="s">
        <v>118</v>
      </c>
      <c r="F6" t="s">
        <v>125</v>
      </c>
      <c r="G6" t="s">
        <v>132</v>
      </c>
      <c r="H6" t="s">
        <v>285</v>
      </c>
      <c r="I6" t="s">
        <v>86</v>
      </c>
      <c r="J6" t="s">
        <v>295</v>
      </c>
      <c r="K6" t="s">
        <v>57</v>
      </c>
    </row>
    <row r="7" spans="1:13" x14ac:dyDescent="0.35">
      <c r="A7" t="s">
        <v>296</v>
      </c>
      <c r="B7">
        <v>2024</v>
      </c>
      <c r="C7" t="s">
        <v>284</v>
      </c>
      <c r="D7" t="s">
        <v>85</v>
      </c>
      <c r="E7" t="s">
        <v>117</v>
      </c>
      <c r="F7" t="s">
        <v>288</v>
      </c>
      <c r="G7" t="s">
        <v>128</v>
      </c>
      <c r="H7" t="s">
        <v>297</v>
      </c>
      <c r="I7" t="s">
        <v>288</v>
      </c>
      <c r="J7" t="s">
        <v>288</v>
      </c>
      <c r="K7" t="s">
        <v>57</v>
      </c>
    </row>
    <row r="8" spans="1:13" x14ac:dyDescent="0.35">
      <c r="A8" t="s">
        <v>298</v>
      </c>
      <c r="B8">
        <v>2024</v>
      </c>
      <c r="C8" t="s">
        <v>284</v>
      </c>
      <c r="D8" t="s">
        <v>76</v>
      </c>
      <c r="E8" t="s">
        <v>109</v>
      </c>
      <c r="F8" t="s">
        <v>127</v>
      </c>
      <c r="G8" t="s">
        <v>128</v>
      </c>
      <c r="H8" t="s">
        <v>285</v>
      </c>
      <c r="I8" t="s">
        <v>77</v>
      </c>
      <c r="J8" t="s">
        <v>286</v>
      </c>
      <c r="K8" t="s">
        <v>57</v>
      </c>
    </row>
    <row r="9" spans="1:13" x14ac:dyDescent="0.35">
      <c r="A9" t="s">
        <v>299</v>
      </c>
      <c r="B9">
        <v>2024</v>
      </c>
      <c r="C9" t="s">
        <v>284</v>
      </c>
      <c r="D9" t="s">
        <v>85</v>
      </c>
      <c r="E9" t="s">
        <v>120</v>
      </c>
      <c r="F9" t="s">
        <v>133</v>
      </c>
      <c r="G9" t="s">
        <v>128</v>
      </c>
      <c r="H9" t="s">
        <v>285</v>
      </c>
      <c r="I9" t="s">
        <v>77</v>
      </c>
      <c r="J9" t="s">
        <v>286</v>
      </c>
      <c r="K9" t="s">
        <v>57</v>
      </c>
    </row>
    <row r="10" spans="1:13" x14ac:dyDescent="0.35">
      <c r="A10" t="s">
        <v>300</v>
      </c>
      <c r="B10">
        <v>2024</v>
      </c>
      <c r="C10" t="s">
        <v>284</v>
      </c>
      <c r="D10" t="s">
        <v>85</v>
      </c>
      <c r="E10" t="s">
        <v>116</v>
      </c>
      <c r="F10" t="s">
        <v>129</v>
      </c>
      <c r="G10" t="s">
        <v>126</v>
      </c>
      <c r="H10" t="s">
        <v>285</v>
      </c>
      <c r="I10" t="s">
        <v>289</v>
      </c>
      <c r="J10" t="s">
        <v>286</v>
      </c>
      <c r="K10" t="s">
        <v>57</v>
      </c>
    </row>
    <row r="11" spans="1:13" x14ac:dyDescent="0.35">
      <c r="A11" t="s">
        <v>301</v>
      </c>
      <c r="B11">
        <v>2024</v>
      </c>
      <c r="C11" t="s">
        <v>284</v>
      </c>
      <c r="D11" t="s">
        <v>76</v>
      </c>
      <c r="E11" t="s">
        <v>115</v>
      </c>
      <c r="F11" t="s">
        <v>125</v>
      </c>
      <c r="G11" t="s">
        <v>126</v>
      </c>
      <c r="H11" t="s">
        <v>285</v>
      </c>
      <c r="I11" t="s">
        <v>77</v>
      </c>
      <c r="J11" t="s">
        <v>286</v>
      </c>
      <c r="K11" t="s">
        <v>57</v>
      </c>
    </row>
    <row r="12" spans="1:13" x14ac:dyDescent="0.35">
      <c r="A12" t="s">
        <v>302</v>
      </c>
      <c r="B12">
        <v>2024</v>
      </c>
      <c r="C12" t="s">
        <v>284</v>
      </c>
      <c r="D12" t="s">
        <v>76</v>
      </c>
      <c r="E12" t="s">
        <v>108</v>
      </c>
      <c r="F12" t="s">
        <v>125</v>
      </c>
      <c r="G12" t="s">
        <v>132</v>
      </c>
      <c r="H12" t="s">
        <v>285</v>
      </c>
      <c r="I12" t="s">
        <v>77</v>
      </c>
      <c r="J12" t="s">
        <v>286</v>
      </c>
      <c r="K12" t="s">
        <v>57</v>
      </c>
    </row>
    <row r="13" spans="1:13" x14ac:dyDescent="0.35">
      <c r="A13" t="s">
        <v>303</v>
      </c>
      <c r="B13">
        <v>2024</v>
      </c>
      <c r="C13" t="s">
        <v>284</v>
      </c>
      <c r="D13" t="s">
        <v>76</v>
      </c>
      <c r="E13" t="s">
        <v>119</v>
      </c>
      <c r="F13" t="s">
        <v>125</v>
      </c>
      <c r="G13" t="s">
        <v>128</v>
      </c>
      <c r="H13" t="s">
        <v>285</v>
      </c>
      <c r="I13" t="s">
        <v>77</v>
      </c>
      <c r="J13" t="s">
        <v>286</v>
      </c>
      <c r="K13" t="s">
        <v>57</v>
      </c>
    </row>
    <row r="14" spans="1:13" x14ac:dyDescent="0.35">
      <c r="A14" t="s">
        <v>304</v>
      </c>
      <c r="B14">
        <v>2024</v>
      </c>
      <c r="C14" t="s">
        <v>284</v>
      </c>
      <c r="D14" t="s">
        <v>85</v>
      </c>
      <c r="E14" t="s">
        <v>120</v>
      </c>
      <c r="F14" t="s">
        <v>129</v>
      </c>
      <c r="G14" t="s">
        <v>132</v>
      </c>
      <c r="H14" t="s">
        <v>305</v>
      </c>
      <c r="I14" t="s">
        <v>86</v>
      </c>
      <c r="J14" t="s">
        <v>306</v>
      </c>
      <c r="K14" t="s">
        <v>57</v>
      </c>
    </row>
    <row r="15" spans="1:13" x14ac:dyDescent="0.35">
      <c r="A15" t="s">
        <v>307</v>
      </c>
      <c r="B15">
        <v>2024</v>
      </c>
      <c r="C15" t="s">
        <v>284</v>
      </c>
      <c r="D15" t="s">
        <v>76</v>
      </c>
      <c r="E15" t="s">
        <v>115</v>
      </c>
      <c r="F15" t="s">
        <v>288</v>
      </c>
      <c r="G15" t="s">
        <v>130</v>
      </c>
      <c r="H15" t="s">
        <v>285</v>
      </c>
      <c r="I15" t="s">
        <v>77</v>
      </c>
      <c r="J15" t="s">
        <v>308</v>
      </c>
      <c r="K15" t="s">
        <v>42</v>
      </c>
    </row>
    <row r="16" spans="1:13" x14ac:dyDescent="0.35">
      <c r="A16" t="s">
        <v>309</v>
      </c>
      <c r="B16">
        <v>2024</v>
      </c>
      <c r="C16" t="s">
        <v>284</v>
      </c>
      <c r="D16" t="s">
        <v>76</v>
      </c>
      <c r="E16" t="s">
        <v>119</v>
      </c>
      <c r="F16" t="s">
        <v>288</v>
      </c>
      <c r="G16" t="s">
        <v>130</v>
      </c>
      <c r="H16" t="s">
        <v>285</v>
      </c>
      <c r="I16" t="s">
        <v>289</v>
      </c>
      <c r="J16" t="s">
        <v>308</v>
      </c>
      <c r="K16" t="s">
        <v>42</v>
      </c>
    </row>
    <row r="17" spans="1:11" x14ac:dyDescent="0.35">
      <c r="A17" t="s">
        <v>310</v>
      </c>
      <c r="B17">
        <v>2024</v>
      </c>
      <c r="C17" t="s">
        <v>284</v>
      </c>
      <c r="D17" t="s">
        <v>85</v>
      </c>
      <c r="E17" t="s">
        <v>116</v>
      </c>
      <c r="F17" t="s">
        <v>288</v>
      </c>
      <c r="G17" t="s">
        <v>130</v>
      </c>
      <c r="H17" t="s">
        <v>285</v>
      </c>
      <c r="I17" t="s">
        <v>77</v>
      </c>
      <c r="J17" t="s">
        <v>286</v>
      </c>
      <c r="K17" t="s">
        <v>57</v>
      </c>
    </row>
    <row r="18" spans="1:11" x14ac:dyDescent="0.35">
      <c r="A18" t="s">
        <v>311</v>
      </c>
      <c r="B18">
        <v>2024</v>
      </c>
      <c r="C18" t="s">
        <v>284</v>
      </c>
      <c r="D18" t="s">
        <v>76</v>
      </c>
      <c r="E18" t="s">
        <v>107</v>
      </c>
      <c r="F18" t="s">
        <v>125</v>
      </c>
      <c r="G18" t="s">
        <v>128</v>
      </c>
      <c r="H18" t="s">
        <v>285</v>
      </c>
      <c r="I18" t="s">
        <v>86</v>
      </c>
      <c r="J18" t="s">
        <v>312</v>
      </c>
      <c r="K18" t="s">
        <v>42</v>
      </c>
    </row>
    <row r="19" spans="1:11" x14ac:dyDescent="0.35">
      <c r="A19" t="s">
        <v>313</v>
      </c>
      <c r="B19">
        <v>2024</v>
      </c>
      <c r="C19" t="s">
        <v>284</v>
      </c>
      <c r="D19" t="s">
        <v>85</v>
      </c>
      <c r="E19" t="s">
        <v>116</v>
      </c>
      <c r="F19" t="s">
        <v>127</v>
      </c>
      <c r="G19" t="s">
        <v>128</v>
      </c>
      <c r="H19" t="s">
        <v>285</v>
      </c>
      <c r="I19" t="s">
        <v>77</v>
      </c>
      <c r="J19" t="s">
        <v>286</v>
      </c>
      <c r="K19" t="s">
        <v>57</v>
      </c>
    </row>
    <row r="20" spans="1:11" x14ac:dyDescent="0.35">
      <c r="A20" t="s">
        <v>314</v>
      </c>
      <c r="B20">
        <v>2024</v>
      </c>
      <c r="C20" t="s">
        <v>284</v>
      </c>
      <c r="D20" t="s">
        <v>76</v>
      </c>
      <c r="E20" t="s">
        <v>119</v>
      </c>
      <c r="F20" t="s">
        <v>125</v>
      </c>
      <c r="G20" t="s">
        <v>130</v>
      </c>
      <c r="H20" t="s">
        <v>285</v>
      </c>
      <c r="I20" t="s">
        <v>86</v>
      </c>
      <c r="J20" t="s">
        <v>286</v>
      </c>
      <c r="K20" t="s">
        <v>57</v>
      </c>
    </row>
    <row r="21" spans="1:11" x14ac:dyDescent="0.35">
      <c r="A21" t="s">
        <v>315</v>
      </c>
      <c r="B21">
        <v>2024</v>
      </c>
      <c r="C21" t="s">
        <v>284</v>
      </c>
      <c r="D21" t="s">
        <v>85</v>
      </c>
      <c r="E21" t="s">
        <v>120</v>
      </c>
      <c r="F21" t="s">
        <v>134</v>
      </c>
      <c r="G21" t="s">
        <v>128</v>
      </c>
      <c r="H21" t="s">
        <v>285</v>
      </c>
      <c r="I21" t="s">
        <v>77</v>
      </c>
      <c r="J21" t="s">
        <v>286</v>
      </c>
      <c r="K21" t="s">
        <v>57</v>
      </c>
    </row>
    <row r="22" spans="1:11" x14ac:dyDescent="0.35">
      <c r="A22" t="s">
        <v>316</v>
      </c>
      <c r="B22">
        <v>2024</v>
      </c>
      <c r="C22" t="s">
        <v>284</v>
      </c>
      <c r="D22" t="s">
        <v>85</v>
      </c>
      <c r="E22" t="s">
        <v>117</v>
      </c>
      <c r="F22" t="s">
        <v>288</v>
      </c>
      <c r="G22" t="s">
        <v>132</v>
      </c>
      <c r="H22" t="s">
        <v>305</v>
      </c>
      <c r="I22" t="s">
        <v>288</v>
      </c>
      <c r="J22" t="s">
        <v>317</v>
      </c>
      <c r="K22" t="s">
        <v>57</v>
      </c>
    </row>
    <row r="23" spans="1:11" x14ac:dyDescent="0.35">
      <c r="A23" t="s">
        <v>318</v>
      </c>
      <c r="B23">
        <v>2024</v>
      </c>
      <c r="C23" t="s">
        <v>284</v>
      </c>
      <c r="D23" t="s">
        <v>85</v>
      </c>
      <c r="E23" t="s">
        <v>116</v>
      </c>
      <c r="F23" t="s">
        <v>127</v>
      </c>
      <c r="G23" t="s">
        <v>130</v>
      </c>
      <c r="H23" t="s">
        <v>285</v>
      </c>
      <c r="I23" t="s">
        <v>319</v>
      </c>
      <c r="J23" t="s">
        <v>320</v>
      </c>
      <c r="K23" t="s">
        <v>42</v>
      </c>
    </row>
    <row r="24" spans="1:11" x14ac:dyDescent="0.35">
      <c r="A24" t="s">
        <v>321</v>
      </c>
      <c r="B24">
        <v>2024</v>
      </c>
      <c r="C24" t="s">
        <v>284</v>
      </c>
      <c r="D24" t="s">
        <v>76</v>
      </c>
      <c r="E24" t="s">
        <v>119</v>
      </c>
      <c r="F24" t="s">
        <v>125</v>
      </c>
      <c r="G24" t="s">
        <v>130</v>
      </c>
      <c r="H24" t="s">
        <v>285</v>
      </c>
      <c r="I24" t="s">
        <v>86</v>
      </c>
      <c r="J24" t="s">
        <v>312</v>
      </c>
      <c r="K24" t="s">
        <v>42</v>
      </c>
    </row>
    <row r="25" spans="1:11" x14ac:dyDescent="0.35">
      <c r="A25" t="s">
        <v>322</v>
      </c>
      <c r="B25">
        <v>2024</v>
      </c>
      <c r="C25" t="s">
        <v>284</v>
      </c>
      <c r="D25" t="s">
        <v>76</v>
      </c>
      <c r="E25" t="s">
        <v>108</v>
      </c>
      <c r="F25" t="s">
        <v>125</v>
      </c>
      <c r="G25" t="s">
        <v>132</v>
      </c>
      <c r="H25" t="s">
        <v>285</v>
      </c>
      <c r="I25" t="s">
        <v>77</v>
      </c>
      <c r="J25" t="s">
        <v>286</v>
      </c>
      <c r="K25" t="s">
        <v>57</v>
      </c>
    </row>
    <row r="26" spans="1:11" x14ac:dyDescent="0.35">
      <c r="A26" t="s">
        <v>323</v>
      </c>
      <c r="B26">
        <v>2024</v>
      </c>
      <c r="C26" t="s">
        <v>284</v>
      </c>
      <c r="D26" t="s">
        <v>76</v>
      </c>
      <c r="E26" t="s">
        <v>107</v>
      </c>
      <c r="F26" t="s">
        <v>125</v>
      </c>
      <c r="G26" t="s">
        <v>128</v>
      </c>
      <c r="H26" t="s">
        <v>285</v>
      </c>
      <c r="I26" t="s">
        <v>77</v>
      </c>
      <c r="J26" t="s">
        <v>286</v>
      </c>
      <c r="K26" t="s">
        <v>57</v>
      </c>
    </row>
    <row r="27" spans="1:11" x14ac:dyDescent="0.35">
      <c r="A27" t="s">
        <v>324</v>
      </c>
      <c r="B27">
        <v>2024</v>
      </c>
      <c r="C27" t="s">
        <v>284</v>
      </c>
      <c r="D27" t="s">
        <v>85</v>
      </c>
      <c r="E27" t="s">
        <v>120</v>
      </c>
      <c r="F27" t="s">
        <v>288</v>
      </c>
      <c r="G27" t="s">
        <v>126</v>
      </c>
      <c r="H27" t="s">
        <v>285</v>
      </c>
      <c r="I27" t="s">
        <v>288</v>
      </c>
      <c r="J27" t="s">
        <v>288</v>
      </c>
      <c r="K27" t="s">
        <v>57</v>
      </c>
    </row>
    <row r="28" spans="1:11" x14ac:dyDescent="0.35">
      <c r="A28" t="s">
        <v>325</v>
      </c>
      <c r="B28">
        <v>2024</v>
      </c>
      <c r="C28" t="s">
        <v>284</v>
      </c>
      <c r="D28" t="s">
        <v>85</v>
      </c>
      <c r="E28" t="s">
        <v>116</v>
      </c>
      <c r="F28" t="s">
        <v>125</v>
      </c>
      <c r="G28" t="s">
        <v>128</v>
      </c>
      <c r="H28" t="s">
        <v>285</v>
      </c>
      <c r="I28" t="s">
        <v>86</v>
      </c>
      <c r="J28" t="s">
        <v>326</v>
      </c>
      <c r="K28" t="s">
        <v>57</v>
      </c>
    </row>
    <row r="29" spans="1:11" x14ac:dyDescent="0.35">
      <c r="A29" t="s">
        <v>327</v>
      </c>
      <c r="B29">
        <v>2024</v>
      </c>
      <c r="C29" t="s">
        <v>284</v>
      </c>
      <c r="D29" t="s">
        <v>76</v>
      </c>
      <c r="E29" t="s">
        <v>107</v>
      </c>
      <c r="F29" t="s">
        <v>125</v>
      </c>
      <c r="G29" t="s">
        <v>126</v>
      </c>
      <c r="H29" t="s">
        <v>285</v>
      </c>
      <c r="I29" t="s">
        <v>86</v>
      </c>
      <c r="J29" t="s">
        <v>286</v>
      </c>
      <c r="K29" t="s">
        <v>57</v>
      </c>
    </row>
    <row r="30" spans="1:11" x14ac:dyDescent="0.35">
      <c r="A30" t="s">
        <v>328</v>
      </c>
      <c r="B30">
        <v>2024</v>
      </c>
      <c r="C30" t="s">
        <v>284</v>
      </c>
      <c r="D30" t="s">
        <v>76</v>
      </c>
      <c r="E30" t="s">
        <v>119</v>
      </c>
      <c r="F30" t="s">
        <v>288</v>
      </c>
      <c r="G30" t="s">
        <v>126</v>
      </c>
      <c r="H30" t="s">
        <v>285</v>
      </c>
      <c r="I30" t="s">
        <v>86</v>
      </c>
      <c r="J30" t="s">
        <v>286</v>
      </c>
      <c r="K30" t="s">
        <v>57</v>
      </c>
    </row>
    <row r="31" spans="1:11" x14ac:dyDescent="0.35">
      <c r="A31" t="s">
        <v>329</v>
      </c>
      <c r="B31">
        <v>2024</v>
      </c>
      <c r="C31" t="s">
        <v>284</v>
      </c>
      <c r="D31" t="s">
        <v>76</v>
      </c>
      <c r="E31" t="s">
        <v>119</v>
      </c>
      <c r="F31" t="s">
        <v>288</v>
      </c>
      <c r="G31" t="s">
        <v>126</v>
      </c>
      <c r="H31" t="s">
        <v>285</v>
      </c>
      <c r="I31" t="s">
        <v>86</v>
      </c>
      <c r="J31" t="s">
        <v>286</v>
      </c>
      <c r="K31" t="s">
        <v>57</v>
      </c>
    </row>
    <row r="32" spans="1:11" x14ac:dyDescent="0.35">
      <c r="A32" t="s">
        <v>330</v>
      </c>
      <c r="B32">
        <v>2024</v>
      </c>
      <c r="C32" t="s">
        <v>284</v>
      </c>
      <c r="D32" t="s">
        <v>76</v>
      </c>
      <c r="E32" t="s">
        <v>115</v>
      </c>
      <c r="F32" t="s">
        <v>125</v>
      </c>
      <c r="G32" t="s">
        <v>130</v>
      </c>
      <c r="H32" t="s">
        <v>305</v>
      </c>
      <c r="I32" t="s">
        <v>86</v>
      </c>
      <c r="J32" t="s">
        <v>331</v>
      </c>
      <c r="K32" t="s">
        <v>42</v>
      </c>
    </row>
    <row r="33" spans="1:11" x14ac:dyDescent="0.35">
      <c r="A33" t="s">
        <v>332</v>
      </c>
      <c r="B33">
        <v>2024</v>
      </c>
      <c r="C33" t="s">
        <v>284</v>
      </c>
      <c r="D33" t="s">
        <v>85</v>
      </c>
      <c r="E33" t="s">
        <v>120</v>
      </c>
      <c r="F33" t="s">
        <v>131</v>
      </c>
      <c r="G33" t="s">
        <v>128</v>
      </c>
      <c r="H33" t="s">
        <v>305</v>
      </c>
      <c r="I33" t="s">
        <v>333</v>
      </c>
      <c r="J33" t="s">
        <v>317</v>
      </c>
      <c r="K33" t="s">
        <v>57</v>
      </c>
    </row>
    <row r="34" spans="1:11" x14ac:dyDescent="0.35">
      <c r="A34" t="s">
        <v>334</v>
      </c>
      <c r="B34">
        <v>2024</v>
      </c>
      <c r="C34" t="s">
        <v>284</v>
      </c>
      <c r="D34" t="s">
        <v>85</v>
      </c>
      <c r="E34" t="s">
        <v>116</v>
      </c>
      <c r="F34" t="s">
        <v>129</v>
      </c>
      <c r="G34" t="s">
        <v>128</v>
      </c>
      <c r="H34" t="s">
        <v>285</v>
      </c>
      <c r="I34" t="s">
        <v>289</v>
      </c>
      <c r="J34" t="s">
        <v>286</v>
      </c>
      <c r="K34" t="s">
        <v>57</v>
      </c>
    </row>
    <row r="35" spans="1:11" x14ac:dyDescent="0.35">
      <c r="A35" t="s">
        <v>335</v>
      </c>
      <c r="B35">
        <v>2024</v>
      </c>
      <c r="C35" t="s">
        <v>284</v>
      </c>
      <c r="D35" t="s">
        <v>76</v>
      </c>
      <c r="E35" t="s">
        <v>109</v>
      </c>
      <c r="F35" t="s">
        <v>129</v>
      </c>
      <c r="G35" t="s">
        <v>128</v>
      </c>
      <c r="H35" t="s">
        <v>285</v>
      </c>
      <c r="I35" t="s">
        <v>77</v>
      </c>
      <c r="J35" t="s">
        <v>286</v>
      </c>
      <c r="K35" t="s">
        <v>57</v>
      </c>
    </row>
    <row r="36" spans="1:11" x14ac:dyDescent="0.35">
      <c r="A36" t="s">
        <v>336</v>
      </c>
      <c r="B36">
        <v>2024</v>
      </c>
      <c r="C36" t="s">
        <v>284</v>
      </c>
      <c r="D36" t="s">
        <v>85</v>
      </c>
      <c r="E36" t="s">
        <v>117</v>
      </c>
      <c r="F36" t="s">
        <v>288</v>
      </c>
      <c r="G36" t="s">
        <v>126</v>
      </c>
      <c r="H36" t="s">
        <v>305</v>
      </c>
      <c r="I36" t="s">
        <v>337</v>
      </c>
      <c r="J36" t="s">
        <v>286</v>
      </c>
      <c r="K36" t="s">
        <v>57</v>
      </c>
    </row>
    <row r="37" spans="1:11" x14ac:dyDescent="0.35">
      <c r="A37" t="s">
        <v>338</v>
      </c>
      <c r="B37">
        <v>2024</v>
      </c>
      <c r="C37" t="s">
        <v>284</v>
      </c>
      <c r="D37" t="s">
        <v>76</v>
      </c>
      <c r="E37" t="s">
        <v>109</v>
      </c>
      <c r="F37" t="s">
        <v>129</v>
      </c>
      <c r="G37" t="s">
        <v>126</v>
      </c>
      <c r="H37" t="s">
        <v>285</v>
      </c>
      <c r="I37" t="s">
        <v>288</v>
      </c>
      <c r="J37" t="s">
        <v>286</v>
      </c>
      <c r="K37" t="s">
        <v>57</v>
      </c>
    </row>
    <row r="38" spans="1:11" x14ac:dyDescent="0.35">
      <c r="A38" t="s">
        <v>339</v>
      </c>
      <c r="B38">
        <v>2024</v>
      </c>
      <c r="C38" t="s">
        <v>284</v>
      </c>
      <c r="D38" t="s">
        <v>85</v>
      </c>
      <c r="E38" t="s">
        <v>120</v>
      </c>
      <c r="F38" t="s">
        <v>125</v>
      </c>
      <c r="G38" t="s">
        <v>128</v>
      </c>
      <c r="H38" t="s">
        <v>305</v>
      </c>
      <c r="I38" t="s">
        <v>86</v>
      </c>
      <c r="J38" t="s">
        <v>295</v>
      </c>
      <c r="K38" t="s">
        <v>57</v>
      </c>
    </row>
    <row r="39" spans="1:11" x14ac:dyDescent="0.35">
      <c r="A39" t="s">
        <v>340</v>
      </c>
      <c r="B39">
        <v>2024</v>
      </c>
      <c r="C39" t="s">
        <v>284</v>
      </c>
      <c r="D39" t="s">
        <v>85</v>
      </c>
      <c r="E39" t="s">
        <v>117</v>
      </c>
      <c r="F39" t="s">
        <v>133</v>
      </c>
      <c r="G39" t="s">
        <v>130</v>
      </c>
      <c r="H39" t="s">
        <v>305</v>
      </c>
      <c r="I39" t="s">
        <v>289</v>
      </c>
      <c r="J39" t="s">
        <v>317</v>
      </c>
      <c r="K39" t="s">
        <v>57</v>
      </c>
    </row>
    <row r="40" spans="1:11" x14ac:dyDescent="0.35">
      <c r="A40" t="s">
        <v>341</v>
      </c>
      <c r="B40">
        <v>2024</v>
      </c>
      <c r="C40" t="s">
        <v>284</v>
      </c>
      <c r="D40" t="s">
        <v>76</v>
      </c>
      <c r="E40" t="s">
        <v>115</v>
      </c>
      <c r="F40" t="s">
        <v>125</v>
      </c>
      <c r="G40" t="s">
        <v>132</v>
      </c>
      <c r="H40" t="s">
        <v>285</v>
      </c>
      <c r="I40" t="s">
        <v>77</v>
      </c>
      <c r="J40" t="s">
        <v>288</v>
      </c>
      <c r="K40" t="s">
        <v>57</v>
      </c>
    </row>
    <row r="41" spans="1:11" x14ac:dyDescent="0.35">
      <c r="A41" t="s">
        <v>342</v>
      </c>
      <c r="B41">
        <v>2024</v>
      </c>
      <c r="C41" t="s">
        <v>284</v>
      </c>
      <c r="D41" t="s">
        <v>76</v>
      </c>
      <c r="E41" t="s">
        <v>115</v>
      </c>
      <c r="F41" t="s">
        <v>125</v>
      </c>
      <c r="G41" t="s">
        <v>128</v>
      </c>
      <c r="H41" t="s">
        <v>285</v>
      </c>
      <c r="I41" t="s">
        <v>86</v>
      </c>
      <c r="J41" t="s">
        <v>317</v>
      </c>
      <c r="K41" t="s">
        <v>57</v>
      </c>
    </row>
    <row r="42" spans="1:11" x14ac:dyDescent="0.35">
      <c r="A42" t="s">
        <v>343</v>
      </c>
      <c r="B42">
        <v>2024</v>
      </c>
      <c r="C42" t="s">
        <v>284</v>
      </c>
      <c r="D42" t="s">
        <v>85</v>
      </c>
      <c r="E42" t="s">
        <v>344</v>
      </c>
      <c r="F42" t="s">
        <v>129</v>
      </c>
      <c r="G42" t="s">
        <v>126</v>
      </c>
      <c r="H42" t="s">
        <v>305</v>
      </c>
      <c r="I42" t="s">
        <v>289</v>
      </c>
      <c r="J42" t="s">
        <v>286</v>
      </c>
      <c r="K42" t="s">
        <v>57</v>
      </c>
    </row>
    <row r="43" spans="1:11" x14ac:dyDescent="0.35">
      <c r="A43" t="s">
        <v>345</v>
      </c>
      <c r="B43">
        <v>2024</v>
      </c>
      <c r="C43" t="s">
        <v>284</v>
      </c>
      <c r="D43" t="s">
        <v>76</v>
      </c>
      <c r="E43" t="s">
        <v>119</v>
      </c>
      <c r="F43" t="s">
        <v>129</v>
      </c>
      <c r="G43" t="s">
        <v>126</v>
      </c>
      <c r="H43" t="s">
        <v>285</v>
      </c>
      <c r="I43" t="s">
        <v>77</v>
      </c>
      <c r="J43" t="s">
        <v>286</v>
      </c>
      <c r="K43" t="s">
        <v>57</v>
      </c>
    </row>
    <row r="44" spans="1:11" x14ac:dyDescent="0.35">
      <c r="A44" t="s">
        <v>346</v>
      </c>
      <c r="B44">
        <v>2024</v>
      </c>
      <c r="C44" t="s">
        <v>284</v>
      </c>
      <c r="D44" t="s">
        <v>85</v>
      </c>
      <c r="E44" t="s">
        <v>117</v>
      </c>
      <c r="F44" t="s">
        <v>129</v>
      </c>
      <c r="G44" t="s">
        <v>128</v>
      </c>
      <c r="H44" t="s">
        <v>285</v>
      </c>
      <c r="I44" t="s">
        <v>289</v>
      </c>
      <c r="J44" t="s">
        <v>347</v>
      </c>
      <c r="K44" t="s">
        <v>57</v>
      </c>
    </row>
    <row r="45" spans="1:11" x14ac:dyDescent="0.35">
      <c r="A45" t="s">
        <v>348</v>
      </c>
      <c r="B45">
        <v>2024</v>
      </c>
      <c r="C45" t="s">
        <v>284</v>
      </c>
      <c r="D45" t="s">
        <v>85</v>
      </c>
      <c r="E45" t="s">
        <v>116</v>
      </c>
      <c r="F45" t="s">
        <v>129</v>
      </c>
      <c r="G45" t="s">
        <v>126</v>
      </c>
      <c r="H45" t="s">
        <v>285</v>
      </c>
      <c r="I45" t="s">
        <v>289</v>
      </c>
      <c r="J45" t="s">
        <v>326</v>
      </c>
      <c r="K45" t="s">
        <v>57</v>
      </c>
    </row>
    <row r="46" spans="1:11" x14ac:dyDescent="0.35">
      <c r="A46" t="s">
        <v>349</v>
      </c>
      <c r="B46">
        <v>2024</v>
      </c>
      <c r="C46" t="s">
        <v>284</v>
      </c>
      <c r="D46" t="s">
        <v>76</v>
      </c>
      <c r="E46" t="s">
        <v>107</v>
      </c>
      <c r="F46" t="s">
        <v>127</v>
      </c>
      <c r="G46" t="s">
        <v>130</v>
      </c>
      <c r="H46" t="s">
        <v>285</v>
      </c>
      <c r="I46" t="s">
        <v>86</v>
      </c>
      <c r="J46" t="s">
        <v>286</v>
      </c>
      <c r="K46" t="s">
        <v>57</v>
      </c>
    </row>
    <row r="47" spans="1:11" x14ac:dyDescent="0.35">
      <c r="A47" t="s">
        <v>350</v>
      </c>
      <c r="B47">
        <v>2024</v>
      </c>
      <c r="C47" t="s">
        <v>284</v>
      </c>
      <c r="D47" t="s">
        <v>85</v>
      </c>
      <c r="E47" t="s">
        <v>116</v>
      </c>
      <c r="F47" t="s">
        <v>131</v>
      </c>
      <c r="G47" t="s">
        <v>128</v>
      </c>
      <c r="H47" t="s">
        <v>285</v>
      </c>
      <c r="I47" t="s">
        <v>351</v>
      </c>
      <c r="J47" t="s">
        <v>317</v>
      </c>
      <c r="K47" t="s">
        <v>57</v>
      </c>
    </row>
    <row r="48" spans="1:11" x14ac:dyDescent="0.35">
      <c r="A48" t="s">
        <v>352</v>
      </c>
      <c r="B48">
        <v>2024</v>
      </c>
      <c r="C48" t="s">
        <v>284</v>
      </c>
      <c r="D48" t="s">
        <v>76</v>
      </c>
      <c r="E48" t="s">
        <v>108</v>
      </c>
      <c r="F48" t="s">
        <v>125</v>
      </c>
      <c r="G48" t="s">
        <v>128</v>
      </c>
      <c r="H48" t="s">
        <v>285</v>
      </c>
      <c r="I48" t="s">
        <v>77</v>
      </c>
      <c r="J48" t="s">
        <v>286</v>
      </c>
      <c r="K48" t="s">
        <v>57</v>
      </c>
    </row>
    <row r="49" spans="1:11" x14ac:dyDescent="0.35">
      <c r="A49" t="s">
        <v>353</v>
      </c>
      <c r="B49">
        <v>2024</v>
      </c>
      <c r="C49" t="s">
        <v>284</v>
      </c>
      <c r="D49" t="s">
        <v>76</v>
      </c>
      <c r="E49" t="s">
        <v>107</v>
      </c>
      <c r="F49" t="s">
        <v>125</v>
      </c>
      <c r="G49" t="s">
        <v>130</v>
      </c>
      <c r="H49" t="s">
        <v>285</v>
      </c>
      <c r="I49" t="s">
        <v>288</v>
      </c>
      <c r="J49" t="s">
        <v>308</v>
      </c>
      <c r="K49" t="s">
        <v>42</v>
      </c>
    </row>
    <row r="50" spans="1:11" x14ac:dyDescent="0.35">
      <c r="A50" t="s">
        <v>354</v>
      </c>
      <c r="B50">
        <v>2024</v>
      </c>
      <c r="C50" t="s">
        <v>284</v>
      </c>
      <c r="D50" t="s">
        <v>85</v>
      </c>
      <c r="E50" t="s">
        <v>116</v>
      </c>
      <c r="F50" t="s">
        <v>129</v>
      </c>
      <c r="G50" t="s">
        <v>132</v>
      </c>
      <c r="H50" t="s">
        <v>285</v>
      </c>
      <c r="I50" t="s">
        <v>77</v>
      </c>
      <c r="J50" t="s">
        <v>286</v>
      </c>
      <c r="K50" t="s">
        <v>57</v>
      </c>
    </row>
    <row r="51" spans="1:11" x14ac:dyDescent="0.35">
      <c r="A51" t="s">
        <v>355</v>
      </c>
      <c r="B51">
        <v>2024</v>
      </c>
      <c r="C51" t="s">
        <v>284</v>
      </c>
      <c r="D51" t="s">
        <v>85</v>
      </c>
      <c r="E51" t="s">
        <v>116</v>
      </c>
      <c r="F51" t="s">
        <v>131</v>
      </c>
      <c r="G51" t="s">
        <v>128</v>
      </c>
      <c r="H51" t="s">
        <v>285</v>
      </c>
      <c r="I51" t="s">
        <v>289</v>
      </c>
      <c r="J51" t="s">
        <v>326</v>
      </c>
      <c r="K51" t="s">
        <v>57</v>
      </c>
    </row>
    <row r="52" spans="1:11" x14ac:dyDescent="0.35">
      <c r="A52" t="s">
        <v>356</v>
      </c>
      <c r="B52">
        <v>2024</v>
      </c>
      <c r="C52" t="s">
        <v>284</v>
      </c>
      <c r="D52" t="s">
        <v>76</v>
      </c>
      <c r="E52" t="s">
        <v>119</v>
      </c>
      <c r="F52" t="s">
        <v>288</v>
      </c>
      <c r="G52" t="s">
        <v>128</v>
      </c>
      <c r="H52" t="s">
        <v>357</v>
      </c>
      <c r="I52" t="s">
        <v>77</v>
      </c>
      <c r="J52" t="s">
        <v>286</v>
      </c>
      <c r="K52" t="s">
        <v>57</v>
      </c>
    </row>
    <row r="53" spans="1:11" x14ac:dyDescent="0.35">
      <c r="A53" t="s">
        <v>358</v>
      </c>
      <c r="B53">
        <v>2024</v>
      </c>
      <c r="C53" t="s">
        <v>284</v>
      </c>
      <c r="D53" t="s">
        <v>76</v>
      </c>
      <c r="E53" t="s">
        <v>111</v>
      </c>
      <c r="F53" t="s">
        <v>125</v>
      </c>
      <c r="G53" t="s">
        <v>128</v>
      </c>
      <c r="H53" t="s">
        <v>285</v>
      </c>
      <c r="I53" t="s">
        <v>86</v>
      </c>
      <c r="J53" t="s">
        <v>312</v>
      </c>
      <c r="K53" t="s">
        <v>42</v>
      </c>
    </row>
    <row r="54" spans="1:11" x14ac:dyDescent="0.35">
      <c r="A54" t="s">
        <v>359</v>
      </c>
      <c r="B54">
        <v>2024</v>
      </c>
      <c r="C54" t="s">
        <v>284</v>
      </c>
      <c r="D54" t="s">
        <v>76</v>
      </c>
      <c r="E54" t="s">
        <v>360</v>
      </c>
      <c r="F54" t="s">
        <v>131</v>
      </c>
      <c r="G54" t="s">
        <v>130</v>
      </c>
      <c r="H54" t="s">
        <v>285</v>
      </c>
      <c r="I54" t="s">
        <v>86</v>
      </c>
      <c r="J54" t="s">
        <v>361</v>
      </c>
      <c r="K54" t="s">
        <v>57</v>
      </c>
    </row>
    <row r="55" spans="1:11" x14ac:dyDescent="0.35">
      <c r="A55" t="s">
        <v>362</v>
      </c>
      <c r="B55">
        <v>2024</v>
      </c>
      <c r="C55" t="s">
        <v>284</v>
      </c>
      <c r="D55" t="s">
        <v>76</v>
      </c>
      <c r="E55" t="s">
        <v>108</v>
      </c>
      <c r="F55" t="s">
        <v>125</v>
      </c>
      <c r="G55" t="s">
        <v>132</v>
      </c>
      <c r="H55" t="s">
        <v>285</v>
      </c>
      <c r="I55" t="s">
        <v>77</v>
      </c>
      <c r="J55" t="s">
        <v>286</v>
      </c>
      <c r="K55" t="s">
        <v>57</v>
      </c>
    </row>
    <row r="56" spans="1:11" x14ac:dyDescent="0.35">
      <c r="A56" t="s">
        <v>363</v>
      </c>
      <c r="B56">
        <v>2024</v>
      </c>
      <c r="C56" t="s">
        <v>284</v>
      </c>
      <c r="D56" t="s">
        <v>76</v>
      </c>
      <c r="E56" t="s">
        <v>107</v>
      </c>
      <c r="F56" t="s">
        <v>127</v>
      </c>
      <c r="G56" t="s">
        <v>130</v>
      </c>
      <c r="H56" t="s">
        <v>285</v>
      </c>
      <c r="I56" t="s">
        <v>288</v>
      </c>
      <c r="J56" t="s">
        <v>286</v>
      </c>
      <c r="K56" t="s">
        <v>57</v>
      </c>
    </row>
    <row r="57" spans="1:11" x14ac:dyDescent="0.35">
      <c r="A57" t="s">
        <v>364</v>
      </c>
      <c r="B57">
        <v>2024</v>
      </c>
      <c r="C57" t="s">
        <v>284</v>
      </c>
      <c r="D57" t="s">
        <v>85</v>
      </c>
      <c r="E57" t="s">
        <v>120</v>
      </c>
      <c r="F57" t="s">
        <v>288</v>
      </c>
      <c r="G57" t="s">
        <v>132</v>
      </c>
      <c r="H57" t="s">
        <v>285</v>
      </c>
      <c r="I57" t="s">
        <v>77</v>
      </c>
      <c r="J57" t="s">
        <v>365</v>
      </c>
      <c r="K57" t="s">
        <v>42</v>
      </c>
    </row>
    <row r="58" spans="1:11" x14ac:dyDescent="0.35">
      <c r="A58" t="s">
        <v>366</v>
      </c>
      <c r="B58">
        <v>2024</v>
      </c>
      <c r="C58" t="s">
        <v>284</v>
      </c>
      <c r="D58" t="s">
        <v>76</v>
      </c>
      <c r="E58" t="s">
        <v>115</v>
      </c>
      <c r="F58" t="s">
        <v>129</v>
      </c>
      <c r="G58" t="s">
        <v>132</v>
      </c>
      <c r="H58" t="s">
        <v>285</v>
      </c>
      <c r="I58" t="s">
        <v>289</v>
      </c>
      <c r="J58" t="s">
        <v>367</v>
      </c>
      <c r="K58" t="s">
        <v>42</v>
      </c>
    </row>
    <row r="59" spans="1:11" x14ac:dyDescent="0.35">
      <c r="A59" t="s">
        <v>368</v>
      </c>
      <c r="B59">
        <v>2024</v>
      </c>
      <c r="C59" t="s">
        <v>284</v>
      </c>
      <c r="D59" t="s">
        <v>85</v>
      </c>
      <c r="E59" t="s">
        <v>120</v>
      </c>
      <c r="F59" t="s">
        <v>125</v>
      </c>
      <c r="G59" t="s">
        <v>126</v>
      </c>
      <c r="H59" t="s">
        <v>285</v>
      </c>
      <c r="I59" t="s">
        <v>86</v>
      </c>
      <c r="J59" t="s">
        <v>326</v>
      </c>
      <c r="K59" t="s">
        <v>57</v>
      </c>
    </row>
    <row r="60" spans="1:11" x14ac:dyDescent="0.35">
      <c r="A60" t="s">
        <v>369</v>
      </c>
      <c r="B60">
        <v>2024</v>
      </c>
      <c r="C60" t="s">
        <v>284</v>
      </c>
      <c r="D60" t="s">
        <v>85</v>
      </c>
      <c r="E60" t="s">
        <v>116</v>
      </c>
      <c r="F60" t="s">
        <v>131</v>
      </c>
      <c r="G60" t="s">
        <v>128</v>
      </c>
      <c r="H60" t="s">
        <v>285</v>
      </c>
      <c r="I60" t="s">
        <v>289</v>
      </c>
      <c r="J60" t="s">
        <v>286</v>
      </c>
      <c r="K60" t="s">
        <v>57</v>
      </c>
    </row>
    <row r="61" spans="1:11" x14ac:dyDescent="0.35">
      <c r="A61" t="s">
        <v>370</v>
      </c>
      <c r="B61">
        <v>2024</v>
      </c>
      <c r="C61" t="s">
        <v>284</v>
      </c>
      <c r="D61" t="s">
        <v>76</v>
      </c>
      <c r="E61" t="s">
        <v>115</v>
      </c>
      <c r="F61" t="s">
        <v>131</v>
      </c>
      <c r="G61" t="s">
        <v>132</v>
      </c>
      <c r="H61" t="s">
        <v>285</v>
      </c>
      <c r="I61" t="s">
        <v>77</v>
      </c>
      <c r="J61" t="s">
        <v>286</v>
      </c>
      <c r="K61" t="s">
        <v>57</v>
      </c>
    </row>
    <row r="62" spans="1:11" x14ac:dyDescent="0.35">
      <c r="A62" t="s">
        <v>371</v>
      </c>
      <c r="B62">
        <v>2024</v>
      </c>
      <c r="C62" t="s">
        <v>284</v>
      </c>
      <c r="D62" t="s">
        <v>76</v>
      </c>
      <c r="E62" t="s">
        <v>119</v>
      </c>
      <c r="F62" t="s">
        <v>129</v>
      </c>
      <c r="G62" t="s">
        <v>130</v>
      </c>
      <c r="H62" t="s">
        <v>285</v>
      </c>
      <c r="I62" t="s">
        <v>77</v>
      </c>
      <c r="J62" t="s">
        <v>286</v>
      </c>
      <c r="K62" t="s">
        <v>57</v>
      </c>
    </row>
    <row r="63" spans="1:11" x14ac:dyDescent="0.35">
      <c r="A63" t="s">
        <v>372</v>
      </c>
      <c r="B63">
        <v>2024</v>
      </c>
      <c r="C63" t="s">
        <v>284</v>
      </c>
      <c r="D63" t="s">
        <v>76</v>
      </c>
      <c r="E63" t="s">
        <v>119</v>
      </c>
      <c r="F63" t="s">
        <v>127</v>
      </c>
      <c r="G63" t="s">
        <v>128</v>
      </c>
      <c r="H63" t="s">
        <v>285</v>
      </c>
      <c r="I63" t="s">
        <v>77</v>
      </c>
      <c r="J63" t="s">
        <v>286</v>
      </c>
      <c r="K63" t="s">
        <v>57</v>
      </c>
    </row>
    <row r="64" spans="1:11" x14ac:dyDescent="0.35">
      <c r="A64" t="s">
        <v>373</v>
      </c>
      <c r="B64">
        <v>2024</v>
      </c>
      <c r="C64" t="s">
        <v>284</v>
      </c>
      <c r="D64" t="s">
        <v>85</v>
      </c>
      <c r="E64" t="s">
        <v>120</v>
      </c>
      <c r="F64" t="s">
        <v>125</v>
      </c>
      <c r="G64" t="s">
        <v>126</v>
      </c>
      <c r="H64" t="s">
        <v>305</v>
      </c>
      <c r="I64" t="s">
        <v>86</v>
      </c>
      <c r="J64" t="s">
        <v>286</v>
      </c>
      <c r="K64" t="s">
        <v>57</v>
      </c>
    </row>
    <row r="65" spans="1:11" x14ac:dyDescent="0.35">
      <c r="A65" t="s">
        <v>374</v>
      </c>
      <c r="B65">
        <v>2024</v>
      </c>
      <c r="C65" t="s">
        <v>284</v>
      </c>
      <c r="D65" t="s">
        <v>76</v>
      </c>
      <c r="E65" t="s">
        <v>109</v>
      </c>
      <c r="F65" t="s">
        <v>127</v>
      </c>
      <c r="G65" t="s">
        <v>132</v>
      </c>
      <c r="H65" t="s">
        <v>285</v>
      </c>
      <c r="I65" t="s">
        <v>86</v>
      </c>
      <c r="J65" t="s">
        <v>286</v>
      </c>
      <c r="K65" t="s">
        <v>57</v>
      </c>
    </row>
    <row r="66" spans="1:11" x14ac:dyDescent="0.35">
      <c r="A66" t="s">
        <v>375</v>
      </c>
      <c r="B66">
        <v>2024</v>
      </c>
      <c r="C66" t="s">
        <v>284</v>
      </c>
      <c r="D66" t="s">
        <v>76</v>
      </c>
      <c r="E66" t="s">
        <v>107</v>
      </c>
      <c r="F66" t="s">
        <v>125</v>
      </c>
      <c r="G66" t="s">
        <v>128</v>
      </c>
      <c r="H66" t="s">
        <v>285</v>
      </c>
      <c r="I66" t="s">
        <v>77</v>
      </c>
      <c r="J66" t="s">
        <v>286</v>
      </c>
      <c r="K66" t="s">
        <v>57</v>
      </c>
    </row>
    <row r="67" spans="1:11" x14ac:dyDescent="0.35">
      <c r="A67" t="s">
        <v>376</v>
      </c>
      <c r="B67">
        <v>2024</v>
      </c>
      <c r="C67" t="s">
        <v>284</v>
      </c>
      <c r="D67" t="s">
        <v>85</v>
      </c>
      <c r="E67" t="s">
        <v>377</v>
      </c>
      <c r="F67" t="s">
        <v>129</v>
      </c>
      <c r="G67" t="s">
        <v>128</v>
      </c>
      <c r="H67" t="s">
        <v>305</v>
      </c>
      <c r="I67" t="s">
        <v>289</v>
      </c>
      <c r="J67" t="s">
        <v>286</v>
      </c>
      <c r="K67" t="s">
        <v>57</v>
      </c>
    </row>
    <row r="68" spans="1:11" x14ac:dyDescent="0.35">
      <c r="A68" t="s">
        <v>378</v>
      </c>
      <c r="B68">
        <v>2024</v>
      </c>
      <c r="C68" t="s">
        <v>284</v>
      </c>
      <c r="D68" t="s">
        <v>85</v>
      </c>
      <c r="E68" t="s">
        <v>116</v>
      </c>
      <c r="F68" t="s">
        <v>131</v>
      </c>
      <c r="G68" t="s">
        <v>128</v>
      </c>
      <c r="H68" t="s">
        <v>285</v>
      </c>
      <c r="I68" t="s">
        <v>77</v>
      </c>
      <c r="J68" t="s">
        <v>286</v>
      </c>
      <c r="K68" t="s">
        <v>57</v>
      </c>
    </row>
    <row r="69" spans="1:11" x14ac:dyDescent="0.35">
      <c r="A69" t="s">
        <v>379</v>
      </c>
      <c r="B69">
        <v>2024</v>
      </c>
      <c r="C69" t="s">
        <v>284</v>
      </c>
      <c r="D69" t="s">
        <v>85</v>
      </c>
      <c r="E69" t="s">
        <v>116</v>
      </c>
      <c r="F69" t="s">
        <v>127</v>
      </c>
      <c r="G69" t="s">
        <v>128</v>
      </c>
      <c r="H69" t="s">
        <v>285</v>
      </c>
      <c r="I69" t="s">
        <v>86</v>
      </c>
      <c r="J69" t="s">
        <v>317</v>
      </c>
      <c r="K69" t="s">
        <v>57</v>
      </c>
    </row>
    <row r="70" spans="1:11" x14ac:dyDescent="0.35">
      <c r="A70" t="s">
        <v>380</v>
      </c>
      <c r="B70">
        <v>2024</v>
      </c>
      <c r="C70" t="s">
        <v>284</v>
      </c>
      <c r="D70" t="s">
        <v>76</v>
      </c>
      <c r="E70" t="s">
        <v>107</v>
      </c>
      <c r="F70" t="s">
        <v>125</v>
      </c>
      <c r="G70" t="s">
        <v>130</v>
      </c>
      <c r="H70" t="s">
        <v>285</v>
      </c>
      <c r="I70" t="s">
        <v>86</v>
      </c>
      <c r="J70" t="s">
        <v>308</v>
      </c>
      <c r="K70" t="s">
        <v>42</v>
      </c>
    </row>
    <row r="71" spans="1:11" x14ac:dyDescent="0.35">
      <c r="A71" t="s">
        <v>381</v>
      </c>
      <c r="B71">
        <v>2024</v>
      </c>
      <c r="C71" t="s">
        <v>284</v>
      </c>
      <c r="D71" t="s">
        <v>85</v>
      </c>
      <c r="E71" t="s">
        <v>344</v>
      </c>
      <c r="F71" t="s">
        <v>125</v>
      </c>
      <c r="G71" t="s">
        <v>126</v>
      </c>
      <c r="H71" t="s">
        <v>305</v>
      </c>
      <c r="I71" t="s">
        <v>86</v>
      </c>
      <c r="J71" t="s">
        <v>382</v>
      </c>
      <c r="K71" t="s">
        <v>42</v>
      </c>
    </row>
    <row r="72" spans="1:11" x14ac:dyDescent="0.35">
      <c r="A72" t="s">
        <v>383</v>
      </c>
      <c r="B72">
        <v>2024</v>
      </c>
      <c r="C72" t="s">
        <v>284</v>
      </c>
      <c r="D72" t="s">
        <v>85</v>
      </c>
      <c r="E72" t="s">
        <v>116</v>
      </c>
      <c r="F72" t="s">
        <v>133</v>
      </c>
      <c r="G72" t="s">
        <v>132</v>
      </c>
      <c r="H72" t="s">
        <v>305</v>
      </c>
      <c r="I72" t="s">
        <v>337</v>
      </c>
      <c r="J72" t="s">
        <v>384</v>
      </c>
      <c r="K72" t="s">
        <v>57</v>
      </c>
    </row>
    <row r="73" spans="1:11" x14ac:dyDescent="0.35">
      <c r="A73" t="s">
        <v>385</v>
      </c>
      <c r="B73">
        <v>2024</v>
      </c>
      <c r="C73" t="s">
        <v>284</v>
      </c>
      <c r="D73" t="s">
        <v>76</v>
      </c>
      <c r="E73" t="s">
        <v>112</v>
      </c>
      <c r="F73" t="s">
        <v>129</v>
      </c>
      <c r="G73" t="s">
        <v>126</v>
      </c>
      <c r="H73" t="s">
        <v>285</v>
      </c>
      <c r="I73" t="s">
        <v>77</v>
      </c>
      <c r="J73" t="s">
        <v>286</v>
      </c>
      <c r="K73" t="s">
        <v>57</v>
      </c>
    </row>
    <row r="74" spans="1:11" x14ac:dyDescent="0.35">
      <c r="A74" t="s">
        <v>386</v>
      </c>
      <c r="B74">
        <v>2024</v>
      </c>
      <c r="C74" t="s">
        <v>284</v>
      </c>
      <c r="D74" t="s">
        <v>85</v>
      </c>
      <c r="E74" t="s">
        <v>120</v>
      </c>
      <c r="F74" t="s">
        <v>131</v>
      </c>
      <c r="G74" t="s">
        <v>128</v>
      </c>
      <c r="H74" t="s">
        <v>305</v>
      </c>
      <c r="I74" t="s">
        <v>77</v>
      </c>
      <c r="J74" t="s">
        <v>286</v>
      </c>
      <c r="K74" t="s">
        <v>57</v>
      </c>
    </row>
    <row r="75" spans="1:11" x14ac:dyDescent="0.35">
      <c r="A75" t="s">
        <v>387</v>
      </c>
      <c r="B75">
        <v>2024</v>
      </c>
      <c r="C75" t="s">
        <v>284</v>
      </c>
      <c r="D75" t="s">
        <v>85</v>
      </c>
      <c r="E75" t="s">
        <v>117</v>
      </c>
      <c r="F75" t="s">
        <v>131</v>
      </c>
      <c r="G75" t="s">
        <v>128</v>
      </c>
      <c r="H75" t="s">
        <v>305</v>
      </c>
      <c r="I75" t="s">
        <v>86</v>
      </c>
      <c r="J75" t="s">
        <v>286</v>
      </c>
      <c r="K75" t="s">
        <v>57</v>
      </c>
    </row>
    <row r="76" spans="1:11" x14ac:dyDescent="0.35">
      <c r="A76" t="s">
        <v>388</v>
      </c>
      <c r="B76">
        <v>2024</v>
      </c>
      <c r="C76" t="s">
        <v>284</v>
      </c>
      <c r="D76" t="s">
        <v>76</v>
      </c>
      <c r="E76" t="s">
        <v>118</v>
      </c>
      <c r="F76" t="s">
        <v>288</v>
      </c>
      <c r="G76" t="s">
        <v>128</v>
      </c>
      <c r="H76" t="s">
        <v>285</v>
      </c>
      <c r="I76" t="s">
        <v>86</v>
      </c>
      <c r="J76" t="s">
        <v>389</v>
      </c>
      <c r="K76" t="s">
        <v>42</v>
      </c>
    </row>
    <row r="77" spans="1:11" x14ac:dyDescent="0.35">
      <c r="A77" t="s">
        <v>390</v>
      </c>
      <c r="B77">
        <v>2024</v>
      </c>
      <c r="C77" t="s">
        <v>284</v>
      </c>
      <c r="D77" t="s">
        <v>76</v>
      </c>
      <c r="E77" t="s">
        <v>119</v>
      </c>
      <c r="F77" t="s">
        <v>127</v>
      </c>
      <c r="G77" t="s">
        <v>130</v>
      </c>
      <c r="H77" t="s">
        <v>285</v>
      </c>
      <c r="I77" t="s">
        <v>86</v>
      </c>
      <c r="J77" t="s">
        <v>317</v>
      </c>
      <c r="K77" t="s">
        <v>57</v>
      </c>
    </row>
    <row r="78" spans="1:11" x14ac:dyDescent="0.35">
      <c r="A78" t="s">
        <v>391</v>
      </c>
      <c r="B78">
        <v>2024</v>
      </c>
      <c r="C78" t="s">
        <v>284</v>
      </c>
      <c r="D78" t="s">
        <v>85</v>
      </c>
      <c r="E78" t="s">
        <v>120</v>
      </c>
      <c r="F78" t="s">
        <v>125</v>
      </c>
      <c r="G78" t="s">
        <v>132</v>
      </c>
      <c r="H78" t="s">
        <v>305</v>
      </c>
      <c r="I78" t="s">
        <v>77</v>
      </c>
      <c r="J78" t="s">
        <v>286</v>
      </c>
      <c r="K78" t="s">
        <v>57</v>
      </c>
    </row>
    <row r="79" spans="1:11" x14ac:dyDescent="0.35">
      <c r="A79" t="s">
        <v>392</v>
      </c>
      <c r="B79">
        <v>2024</v>
      </c>
      <c r="C79" t="s">
        <v>284</v>
      </c>
      <c r="D79" t="s">
        <v>85</v>
      </c>
      <c r="E79" t="s">
        <v>115</v>
      </c>
      <c r="F79" t="s">
        <v>125</v>
      </c>
      <c r="G79" t="s">
        <v>130</v>
      </c>
      <c r="H79" t="s">
        <v>305</v>
      </c>
      <c r="I79" t="s">
        <v>86</v>
      </c>
      <c r="J79" t="s">
        <v>317</v>
      </c>
      <c r="K79" t="s">
        <v>57</v>
      </c>
    </row>
    <row r="80" spans="1:11" x14ac:dyDescent="0.35">
      <c r="A80" t="s">
        <v>393</v>
      </c>
      <c r="B80">
        <v>2024</v>
      </c>
      <c r="C80" t="s">
        <v>284</v>
      </c>
      <c r="D80" t="s">
        <v>85</v>
      </c>
      <c r="E80" t="s">
        <v>116</v>
      </c>
      <c r="F80" t="s">
        <v>131</v>
      </c>
      <c r="G80" t="s">
        <v>132</v>
      </c>
      <c r="H80" t="s">
        <v>285</v>
      </c>
      <c r="I80" t="s">
        <v>289</v>
      </c>
      <c r="J80" t="s">
        <v>295</v>
      </c>
      <c r="K80" t="s">
        <v>57</v>
      </c>
    </row>
    <row r="81" spans="1:11" x14ac:dyDescent="0.35">
      <c r="A81" t="s">
        <v>394</v>
      </c>
      <c r="B81">
        <v>2024</v>
      </c>
      <c r="C81" t="s">
        <v>284</v>
      </c>
      <c r="D81" t="s">
        <v>85</v>
      </c>
      <c r="E81" t="s">
        <v>116</v>
      </c>
      <c r="F81" t="s">
        <v>129</v>
      </c>
      <c r="G81" t="s">
        <v>128</v>
      </c>
      <c r="H81" t="s">
        <v>285</v>
      </c>
      <c r="I81" t="s">
        <v>337</v>
      </c>
      <c r="J81" t="s">
        <v>286</v>
      </c>
      <c r="K81" t="s">
        <v>57</v>
      </c>
    </row>
    <row r="82" spans="1:11" x14ac:dyDescent="0.35">
      <c r="A82" t="s">
        <v>395</v>
      </c>
      <c r="B82">
        <v>2024</v>
      </c>
      <c r="C82" t="s">
        <v>284</v>
      </c>
      <c r="D82" t="s">
        <v>85</v>
      </c>
      <c r="E82" t="s">
        <v>116</v>
      </c>
      <c r="F82" t="s">
        <v>288</v>
      </c>
      <c r="G82" t="s">
        <v>130</v>
      </c>
      <c r="H82" t="s">
        <v>285</v>
      </c>
      <c r="I82" t="s">
        <v>289</v>
      </c>
      <c r="J82" t="s">
        <v>286</v>
      </c>
      <c r="K82" t="s">
        <v>57</v>
      </c>
    </row>
    <row r="83" spans="1:11" x14ac:dyDescent="0.35">
      <c r="A83" t="s">
        <v>396</v>
      </c>
      <c r="B83">
        <v>2024</v>
      </c>
      <c r="C83" t="s">
        <v>284</v>
      </c>
      <c r="D83" t="s">
        <v>76</v>
      </c>
      <c r="E83" t="s">
        <v>107</v>
      </c>
      <c r="F83" t="s">
        <v>125</v>
      </c>
      <c r="G83" t="s">
        <v>126</v>
      </c>
      <c r="H83" t="s">
        <v>285</v>
      </c>
      <c r="I83" t="s">
        <v>333</v>
      </c>
      <c r="J83" t="s">
        <v>286</v>
      </c>
      <c r="K83" t="s">
        <v>57</v>
      </c>
    </row>
    <row r="84" spans="1:11" x14ac:dyDescent="0.35">
      <c r="A84" t="s">
        <v>397</v>
      </c>
      <c r="B84">
        <v>2024</v>
      </c>
      <c r="C84" t="s">
        <v>284</v>
      </c>
      <c r="D84" t="s">
        <v>76</v>
      </c>
      <c r="E84" t="s">
        <v>115</v>
      </c>
      <c r="F84" t="s">
        <v>129</v>
      </c>
      <c r="G84" t="s">
        <v>132</v>
      </c>
      <c r="H84" t="s">
        <v>285</v>
      </c>
      <c r="I84" t="s">
        <v>86</v>
      </c>
      <c r="J84" t="s">
        <v>317</v>
      </c>
      <c r="K84" t="s">
        <v>57</v>
      </c>
    </row>
    <row r="85" spans="1:11" x14ac:dyDescent="0.35">
      <c r="A85" t="s">
        <v>398</v>
      </c>
      <c r="B85">
        <v>2024</v>
      </c>
      <c r="C85" t="s">
        <v>284</v>
      </c>
      <c r="D85" t="s">
        <v>76</v>
      </c>
      <c r="E85" t="s">
        <v>115</v>
      </c>
      <c r="F85" t="s">
        <v>129</v>
      </c>
      <c r="G85" t="s">
        <v>132</v>
      </c>
      <c r="H85" t="s">
        <v>285</v>
      </c>
      <c r="I85" t="s">
        <v>86</v>
      </c>
      <c r="J85" t="s">
        <v>317</v>
      </c>
      <c r="K85" t="s">
        <v>57</v>
      </c>
    </row>
    <row r="86" spans="1:11" x14ac:dyDescent="0.35">
      <c r="A86" t="s">
        <v>399</v>
      </c>
      <c r="B86">
        <v>2024</v>
      </c>
      <c r="C86" t="s">
        <v>284</v>
      </c>
      <c r="D86" t="s">
        <v>76</v>
      </c>
      <c r="E86" t="s">
        <v>109</v>
      </c>
      <c r="F86" t="s">
        <v>129</v>
      </c>
      <c r="G86" t="s">
        <v>126</v>
      </c>
      <c r="H86" t="s">
        <v>285</v>
      </c>
      <c r="I86" t="s">
        <v>333</v>
      </c>
      <c r="J86" t="s">
        <v>286</v>
      </c>
      <c r="K86" t="s">
        <v>57</v>
      </c>
    </row>
    <row r="87" spans="1:11" x14ac:dyDescent="0.35">
      <c r="A87" t="s">
        <v>400</v>
      </c>
      <c r="B87">
        <v>2024</v>
      </c>
      <c r="C87" t="s">
        <v>284</v>
      </c>
      <c r="D87" t="s">
        <v>85</v>
      </c>
      <c r="E87" t="s">
        <v>120</v>
      </c>
      <c r="F87" t="s">
        <v>134</v>
      </c>
      <c r="G87" t="s">
        <v>126</v>
      </c>
      <c r="H87" t="s">
        <v>305</v>
      </c>
      <c r="I87" t="s">
        <v>77</v>
      </c>
      <c r="J87" t="s">
        <v>286</v>
      </c>
      <c r="K87" t="s">
        <v>57</v>
      </c>
    </row>
    <row r="88" spans="1:11" x14ac:dyDescent="0.35">
      <c r="A88" t="s">
        <v>401</v>
      </c>
      <c r="B88">
        <v>2024</v>
      </c>
      <c r="C88" t="s">
        <v>284</v>
      </c>
      <c r="D88" t="s">
        <v>85</v>
      </c>
      <c r="E88" t="s">
        <v>377</v>
      </c>
      <c r="F88" t="s">
        <v>133</v>
      </c>
      <c r="G88" t="s">
        <v>128</v>
      </c>
      <c r="H88" t="s">
        <v>285</v>
      </c>
      <c r="I88" t="s">
        <v>77</v>
      </c>
      <c r="J88" t="s">
        <v>317</v>
      </c>
      <c r="K88" t="s">
        <v>57</v>
      </c>
    </row>
    <row r="89" spans="1:11" x14ac:dyDescent="0.35">
      <c r="A89" t="s">
        <v>402</v>
      </c>
      <c r="B89">
        <v>2024</v>
      </c>
      <c r="C89" t="s">
        <v>284</v>
      </c>
      <c r="D89" t="s">
        <v>85</v>
      </c>
      <c r="E89" t="s">
        <v>117</v>
      </c>
      <c r="F89" t="s">
        <v>129</v>
      </c>
      <c r="G89" t="s">
        <v>128</v>
      </c>
      <c r="H89" t="s">
        <v>305</v>
      </c>
      <c r="I89" t="s">
        <v>289</v>
      </c>
      <c r="J89" t="s">
        <v>403</v>
      </c>
      <c r="K89" t="s">
        <v>57</v>
      </c>
    </row>
    <row r="90" spans="1:11" x14ac:dyDescent="0.35">
      <c r="A90" t="s">
        <v>404</v>
      </c>
      <c r="B90">
        <v>2024</v>
      </c>
      <c r="C90" t="s">
        <v>284</v>
      </c>
      <c r="D90" t="s">
        <v>85</v>
      </c>
      <c r="E90" t="s">
        <v>117</v>
      </c>
      <c r="F90" t="s">
        <v>129</v>
      </c>
      <c r="G90" t="s">
        <v>130</v>
      </c>
      <c r="H90" t="s">
        <v>305</v>
      </c>
      <c r="I90" t="s">
        <v>86</v>
      </c>
      <c r="J90" t="s">
        <v>405</v>
      </c>
      <c r="K90" t="s">
        <v>57</v>
      </c>
    </row>
    <row r="91" spans="1:11" x14ac:dyDescent="0.35">
      <c r="A91" t="s">
        <v>406</v>
      </c>
      <c r="B91">
        <v>2024</v>
      </c>
      <c r="C91" t="s">
        <v>284</v>
      </c>
      <c r="D91" t="s">
        <v>76</v>
      </c>
      <c r="E91" t="s">
        <v>115</v>
      </c>
      <c r="F91" t="s">
        <v>131</v>
      </c>
      <c r="G91" t="s">
        <v>132</v>
      </c>
      <c r="H91" t="s">
        <v>285</v>
      </c>
      <c r="I91" t="s">
        <v>407</v>
      </c>
      <c r="J91" t="s">
        <v>286</v>
      </c>
      <c r="K91" t="s">
        <v>57</v>
      </c>
    </row>
    <row r="92" spans="1:11" x14ac:dyDescent="0.35">
      <c r="A92" t="s">
        <v>408</v>
      </c>
      <c r="B92">
        <v>2024</v>
      </c>
      <c r="C92" t="s">
        <v>284</v>
      </c>
      <c r="D92" t="s">
        <v>76</v>
      </c>
      <c r="E92" t="s">
        <v>107</v>
      </c>
      <c r="F92" t="s">
        <v>127</v>
      </c>
      <c r="G92" t="s">
        <v>126</v>
      </c>
      <c r="H92" t="s">
        <v>285</v>
      </c>
      <c r="I92" t="s">
        <v>86</v>
      </c>
      <c r="J92" t="s">
        <v>409</v>
      </c>
      <c r="K92" t="s">
        <v>57</v>
      </c>
    </row>
    <row r="93" spans="1:11" x14ac:dyDescent="0.35">
      <c r="A93" t="s">
        <v>410</v>
      </c>
      <c r="B93">
        <v>2024</v>
      </c>
      <c r="C93" t="s">
        <v>284</v>
      </c>
      <c r="D93" t="s">
        <v>85</v>
      </c>
      <c r="E93" t="s">
        <v>120</v>
      </c>
      <c r="F93" t="s">
        <v>131</v>
      </c>
      <c r="G93" t="s">
        <v>130</v>
      </c>
      <c r="H93" t="s">
        <v>305</v>
      </c>
      <c r="I93" t="s">
        <v>77</v>
      </c>
      <c r="J93" t="s">
        <v>317</v>
      </c>
      <c r="K93" t="s">
        <v>57</v>
      </c>
    </row>
    <row r="94" spans="1:11" x14ac:dyDescent="0.35">
      <c r="A94" t="s">
        <v>411</v>
      </c>
      <c r="B94">
        <v>2024</v>
      </c>
      <c r="C94" t="s">
        <v>284</v>
      </c>
      <c r="D94" t="s">
        <v>85</v>
      </c>
      <c r="E94" t="s">
        <v>120</v>
      </c>
      <c r="F94" t="s">
        <v>125</v>
      </c>
      <c r="G94" t="s">
        <v>128</v>
      </c>
      <c r="H94" t="s">
        <v>305</v>
      </c>
      <c r="I94" t="s">
        <v>86</v>
      </c>
      <c r="J94" t="s">
        <v>412</v>
      </c>
      <c r="K94" t="s">
        <v>57</v>
      </c>
    </row>
    <row r="95" spans="1:11" x14ac:dyDescent="0.35">
      <c r="A95" t="s">
        <v>413</v>
      </c>
      <c r="B95">
        <v>2024</v>
      </c>
      <c r="C95" t="s">
        <v>284</v>
      </c>
      <c r="D95" t="s">
        <v>85</v>
      </c>
      <c r="E95" t="s">
        <v>120</v>
      </c>
      <c r="F95" t="s">
        <v>127</v>
      </c>
      <c r="G95" t="s">
        <v>132</v>
      </c>
      <c r="H95" t="s">
        <v>305</v>
      </c>
      <c r="I95" t="s">
        <v>86</v>
      </c>
      <c r="J95" t="s">
        <v>286</v>
      </c>
      <c r="K95" t="s">
        <v>57</v>
      </c>
    </row>
    <row r="96" spans="1:11" x14ac:dyDescent="0.35">
      <c r="A96" t="s">
        <v>414</v>
      </c>
      <c r="B96">
        <v>2024</v>
      </c>
      <c r="C96" t="s">
        <v>284</v>
      </c>
      <c r="D96" t="s">
        <v>76</v>
      </c>
      <c r="E96" t="s">
        <v>115</v>
      </c>
      <c r="F96" t="s">
        <v>129</v>
      </c>
      <c r="G96" t="s">
        <v>126</v>
      </c>
      <c r="H96" t="s">
        <v>285</v>
      </c>
      <c r="I96" t="s">
        <v>407</v>
      </c>
      <c r="J96" t="s">
        <v>295</v>
      </c>
      <c r="K96" t="s">
        <v>57</v>
      </c>
    </row>
    <row r="97" spans="1:11" x14ac:dyDescent="0.35">
      <c r="A97" t="s">
        <v>415</v>
      </c>
      <c r="B97">
        <v>2024</v>
      </c>
      <c r="C97" t="s">
        <v>284</v>
      </c>
      <c r="D97" t="s">
        <v>85</v>
      </c>
      <c r="E97" t="s">
        <v>117</v>
      </c>
      <c r="F97" t="s">
        <v>129</v>
      </c>
      <c r="G97" t="s">
        <v>130</v>
      </c>
      <c r="H97" t="s">
        <v>305</v>
      </c>
      <c r="I97" t="s">
        <v>289</v>
      </c>
      <c r="J97" t="s">
        <v>403</v>
      </c>
      <c r="K97" t="s">
        <v>57</v>
      </c>
    </row>
    <row r="98" spans="1:11" x14ac:dyDescent="0.35">
      <c r="A98" t="s">
        <v>416</v>
      </c>
      <c r="B98">
        <v>2024</v>
      </c>
      <c r="C98" t="s">
        <v>284</v>
      </c>
      <c r="D98" t="s">
        <v>85</v>
      </c>
      <c r="E98" t="s">
        <v>117</v>
      </c>
      <c r="F98" t="s">
        <v>288</v>
      </c>
      <c r="G98" t="s">
        <v>128</v>
      </c>
      <c r="H98" t="s">
        <v>305</v>
      </c>
      <c r="I98" t="s">
        <v>86</v>
      </c>
      <c r="J98" t="s">
        <v>417</v>
      </c>
      <c r="K98" t="s">
        <v>42</v>
      </c>
    </row>
    <row r="99" spans="1:11" x14ac:dyDescent="0.35">
      <c r="A99" t="s">
        <v>418</v>
      </c>
      <c r="B99">
        <v>2024</v>
      </c>
      <c r="C99" t="s">
        <v>284</v>
      </c>
      <c r="D99" t="s">
        <v>85</v>
      </c>
      <c r="E99" t="s">
        <v>116</v>
      </c>
      <c r="F99" t="s">
        <v>127</v>
      </c>
      <c r="G99" t="s">
        <v>128</v>
      </c>
      <c r="H99" t="s">
        <v>285</v>
      </c>
      <c r="I99" t="s">
        <v>77</v>
      </c>
      <c r="J99" t="s">
        <v>286</v>
      </c>
      <c r="K99" t="s">
        <v>57</v>
      </c>
    </row>
    <row r="100" spans="1:11" x14ac:dyDescent="0.35">
      <c r="A100" t="s">
        <v>419</v>
      </c>
      <c r="B100">
        <v>2024</v>
      </c>
      <c r="C100" t="s">
        <v>284</v>
      </c>
      <c r="D100" t="s">
        <v>85</v>
      </c>
      <c r="E100" t="s">
        <v>120</v>
      </c>
      <c r="F100" t="s">
        <v>288</v>
      </c>
      <c r="G100" t="s">
        <v>128</v>
      </c>
      <c r="H100" t="s">
        <v>305</v>
      </c>
      <c r="I100" t="s">
        <v>288</v>
      </c>
      <c r="J100" t="s">
        <v>288</v>
      </c>
      <c r="K100" t="s">
        <v>57</v>
      </c>
    </row>
    <row r="101" spans="1:11" x14ac:dyDescent="0.35">
      <c r="A101" t="s">
        <v>420</v>
      </c>
      <c r="B101">
        <v>2024</v>
      </c>
      <c r="C101" t="s">
        <v>284</v>
      </c>
      <c r="D101" t="s">
        <v>76</v>
      </c>
      <c r="E101" t="s">
        <v>112</v>
      </c>
      <c r="F101" t="s">
        <v>127</v>
      </c>
      <c r="G101" t="s">
        <v>128</v>
      </c>
      <c r="H101" t="s">
        <v>285</v>
      </c>
      <c r="I101" t="s">
        <v>288</v>
      </c>
      <c r="J101" t="s">
        <v>405</v>
      </c>
      <c r="K101" t="s">
        <v>57</v>
      </c>
    </row>
    <row r="102" spans="1:11" x14ac:dyDescent="0.35">
      <c r="A102" t="s">
        <v>421</v>
      </c>
      <c r="B102">
        <v>2024</v>
      </c>
      <c r="C102" t="s">
        <v>284</v>
      </c>
      <c r="D102" t="s">
        <v>76</v>
      </c>
      <c r="E102" t="s">
        <v>111</v>
      </c>
      <c r="F102" t="s">
        <v>125</v>
      </c>
      <c r="G102" t="s">
        <v>126</v>
      </c>
      <c r="H102" t="s">
        <v>285</v>
      </c>
      <c r="I102" t="s">
        <v>86</v>
      </c>
      <c r="J102" t="s">
        <v>286</v>
      </c>
      <c r="K102" t="s">
        <v>57</v>
      </c>
    </row>
    <row r="103" spans="1:11" x14ac:dyDescent="0.35">
      <c r="A103" t="s">
        <v>422</v>
      </c>
      <c r="B103">
        <v>2024</v>
      </c>
      <c r="C103" t="s">
        <v>284</v>
      </c>
      <c r="D103" t="s">
        <v>85</v>
      </c>
      <c r="E103" t="s">
        <v>120</v>
      </c>
      <c r="F103" t="s">
        <v>134</v>
      </c>
      <c r="G103" t="s">
        <v>132</v>
      </c>
      <c r="H103" t="s">
        <v>305</v>
      </c>
      <c r="I103" t="s">
        <v>77</v>
      </c>
      <c r="J103" t="s">
        <v>286</v>
      </c>
      <c r="K103" t="s">
        <v>57</v>
      </c>
    </row>
    <row r="104" spans="1:11" x14ac:dyDescent="0.35">
      <c r="A104" t="s">
        <v>423</v>
      </c>
      <c r="B104">
        <v>2024</v>
      </c>
      <c r="C104" t="s">
        <v>284</v>
      </c>
      <c r="D104" t="s">
        <v>85</v>
      </c>
      <c r="E104" t="s">
        <v>116</v>
      </c>
      <c r="F104" t="s">
        <v>125</v>
      </c>
      <c r="G104" t="s">
        <v>130</v>
      </c>
      <c r="H104" t="s">
        <v>285</v>
      </c>
      <c r="I104" t="s">
        <v>86</v>
      </c>
      <c r="J104" t="s">
        <v>424</v>
      </c>
      <c r="K104" t="s">
        <v>42</v>
      </c>
    </row>
    <row r="105" spans="1:11" x14ac:dyDescent="0.35">
      <c r="A105" t="s">
        <v>425</v>
      </c>
      <c r="B105">
        <v>2024</v>
      </c>
      <c r="C105" t="s">
        <v>284</v>
      </c>
      <c r="D105" t="s">
        <v>85</v>
      </c>
      <c r="E105" t="s">
        <v>344</v>
      </c>
      <c r="F105" t="s">
        <v>125</v>
      </c>
      <c r="G105" t="s">
        <v>130</v>
      </c>
      <c r="H105" t="s">
        <v>305</v>
      </c>
      <c r="I105" t="s">
        <v>426</v>
      </c>
      <c r="J105" t="s">
        <v>295</v>
      </c>
      <c r="K105" t="s">
        <v>57</v>
      </c>
    </row>
    <row r="106" spans="1:11" x14ac:dyDescent="0.35">
      <c r="A106" t="s">
        <v>427</v>
      </c>
      <c r="B106">
        <v>2024</v>
      </c>
      <c r="C106" t="s">
        <v>284</v>
      </c>
      <c r="D106" t="s">
        <v>76</v>
      </c>
      <c r="E106" t="s">
        <v>107</v>
      </c>
      <c r="F106" t="s">
        <v>125</v>
      </c>
      <c r="G106" t="s">
        <v>126</v>
      </c>
      <c r="H106" t="s">
        <v>285</v>
      </c>
      <c r="I106" t="s">
        <v>428</v>
      </c>
      <c r="J106" t="s">
        <v>308</v>
      </c>
      <c r="K106" t="s">
        <v>42</v>
      </c>
    </row>
    <row r="107" spans="1:11" x14ac:dyDescent="0.35">
      <c r="A107" t="s">
        <v>429</v>
      </c>
      <c r="B107">
        <v>2024</v>
      </c>
      <c r="C107" t="s">
        <v>284</v>
      </c>
      <c r="D107" t="s">
        <v>85</v>
      </c>
      <c r="E107" t="s">
        <v>117</v>
      </c>
      <c r="F107" t="s">
        <v>288</v>
      </c>
      <c r="G107" t="s">
        <v>126</v>
      </c>
      <c r="H107" t="s">
        <v>305</v>
      </c>
      <c r="I107" t="s">
        <v>86</v>
      </c>
      <c r="J107" t="s">
        <v>286</v>
      </c>
      <c r="K107" t="s">
        <v>57</v>
      </c>
    </row>
    <row r="108" spans="1:11" x14ac:dyDescent="0.35">
      <c r="A108" t="s">
        <v>253</v>
      </c>
      <c r="B108">
        <v>2024</v>
      </c>
      <c r="C108" t="s">
        <v>284</v>
      </c>
      <c r="D108" t="s">
        <v>76</v>
      </c>
      <c r="E108" t="s">
        <v>118</v>
      </c>
      <c r="F108" t="s">
        <v>127</v>
      </c>
      <c r="G108" t="s">
        <v>130</v>
      </c>
      <c r="H108" t="s">
        <v>285</v>
      </c>
      <c r="I108" t="s">
        <v>86</v>
      </c>
      <c r="J108" t="s">
        <v>405</v>
      </c>
      <c r="K108" t="s">
        <v>57</v>
      </c>
    </row>
    <row r="109" spans="1:11" x14ac:dyDescent="0.35">
      <c r="A109" t="s">
        <v>430</v>
      </c>
      <c r="B109">
        <v>2024</v>
      </c>
      <c r="C109" t="s">
        <v>284</v>
      </c>
      <c r="D109" t="s">
        <v>76</v>
      </c>
      <c r="E109" t="s">
        <v>112</v>
      </c>
      <c r="F109" t="s">
        <v>125</v>
      </c>
      <c r="G109" t="s">
        <v>128</v>
      </c>
      <c r="H109" t="s">
        <v>285</v>
      </c>
      <c r="I109" t="s">
        <v>86</v>
      </c>
      <c r="J109" t="s">
        <v>286</v>
      </c>
      <c r="K109" t="s">
        <v>57</v>
      </c>
    </row>
    <row r="110" spans="1:11" x14ac:dyDescent="0.35">
      <c r="A110" t="s">
        <v>431</v>
      </c>
      <c r="B110">
        <v>2024</v>
      </c>
      <c r="C110" t="s">
        <v>284</v>
      </c>
      <c r="D110" t="s">
        <v>76</v>
      </c>
      <c r="E110" t="s">
        <v>115</v>
      </c>
      <c r="F110" t="s">
        <v>129</v>
      </c>
      <c r="G110" t="s">
        <v>126</v>
      </c>
      <c r="H110" t="s">
        <v>285</v>
      </c>
      <c r="I110" t="s">
        <v>77</v>
      </c>
      <c r="J110" t="s">
        <v>286</v>
      </c>
      <c r="K110" t="s">
        <v>57</v>
      </c>
    </row>
    <row r="111" spans="1:11" x14ac:dyDescent="0.35">
      <c r="A111" t="s">
        <v>432</v>
      </c>
      <c r="B111">
        <v>2024</v>
      </c>
      <c r="C111" t="s">
        <v>284</v>
      </c>
      <c r="D111" t="s">
        <v>76</v>
      </c>
      <c r="E111" t="s">
        <v>115</v>
      </c>
      <c r="F111" t="s">
        <v>129</v>
      </c>
      <c r="G111" t="s">
        <v>126</v>
      </c>
      <c r="H111" t="s">
        <v>357</v>
      </c>
      <c r="I111" t="s">
        <v>433</v>
      </c>
      <c r="J111" t="s">
        <v>326</v>
      </c>
      <c r="K111" t="s">
        <v>57</v>
      </c>
    </row>
    <row r="112" spans="1:11" x14ac:dyDescent="0.35">
      <c r="A112" t="s">
        <v>434</v>
      </c>
      <c r="B112">
        <v>2024</v>
      </c>
      <c r="C112" t="s">
        <v>284</v>
      </c>
      <c r="D112" t="s">
        <v>85</v>
      </c>
      <c r="E112" t="s">
        <v>116</v>
      </c>
      <c r="F112" t="s">
        <v>131</v>
      </c>
      <c r="G112" t="s">
        <v>130</v>
      </c>
      <c r="H112" t="s">
        <v>285</v>
      </c>
      <c r="I112" t="s">
        <v>77</v>
      </c>
      <c r="J112" t="s">
        <v>288</v>
      </c>
      <c r="K112" t="s">
        <v>57</v>
      </c>
    </row>
    <row r="113" spans="1:11" x14ac:dyDescent="0.35">
      <c r="A113" t="s">
        <v>435</v>
      </c>
      <c r="B113">
        <v>2024</v>
      </c>
      <c r="C113" t="s">
        <v>284</v>
      </c>
      <c r="D113" t="s">
        <v>85</v>
      </c>
      <c r="E113" t="s">
        <v>377</v>
      </c>
      <c r="F113" t="s">
        <v>129</v>
      </c>
      <c r="G113" t="s">
        <v>130</v>
      </c>
      <c r="H113" t="s">
        <v>285</v>
      </c>
      <c r="I113" t="s">
        <v>77</v>
      </c>
      <c r="J113" t="s">
        <v>317</v>
      </c>
      <c r="K113" t="s">
        <v>57</v>
      </c>
    </row>
    <row r="114" spans="1:11" x14ac:dyDescent="0.35">
      <c r="A114" t="s">
        <v>436</v>
      </c>
      <c r="B114">
        <v>2024</v>
      </c>
      <c r="C114" t="s">
        <v>284</v>
      </c>
      <c r="D114" t="s">
        <v>76</v>
      </c>
      <c r="E114" t="s">
        <v>119</v>
      </c>
      <c r="F114" t="s">
        <v>125</v>
      </c>
      <c r="G114" t="s">
        <v>126</v>
      </c>
      <c r="H114" t="s">
        <v>285</v>
      </c>
      <c r="I114" t="s">
        <v>333</v>
      </c>
      <c r="J114" t="s">
        <v>286</v>
      </c>
      <c r="K114" t="s">
        <v>57</v>
      </c>
    </row>
    <row r="115" spans="1:11" x14ac:dyDescent="0.35">
      <c r="A115" t="s">
        <v>437</v>
      </c>
      <c r="B115">
        <v>2024</v>
      </c>
      <c r="C115" t="s">
        <v>284</v>
      </c>
      <c r="D115" t="s">
        <v>85</v>
      </c>
      <c r="E115" t="s">
        <v>116</v>
      </c>
      <c r="F115" t="s">
        <v>125</v>
      </c>
      <c r="G115" t="s">
        <v>130</v>
      </c>
      <c r="H115" t="s">
        <v>285</v>
      </c>
      <c r="I115" t="s">
        <v>86</v>
      </c>
      <c r="J115" t="s">
        <v>326</v>
      </c>
      <c r="K115" t="s">
        <v>57</v>
      </c>
    </row>
    <row r="116" spans="1:11" x14ac:dyDescent="0.35">
      <c r="A116" t="s">
        <v>438</v>
      </c>
      <c r="B116">
        <v>2024</v>
      </c>
      <c r="C116" t="s">
        <v>284</v>
      </c>
      <c r="D116" t="s">
        <v>85</v>
      </c>
      <c r="E116" t="s">
        <v>116</v>
      </c>
      <c r="F116" t="s">
        <v>129</v>
      </c>
      <c r="G116" t="s">
        <v>126</v>
      </c>
      <c r="H116" t="s">
        <v>285</v>
      </c>
      <c r="I116" t="s">
        <v>337</v>
      </c>
      <c r="J116" t="s">
        <v>286</v>
      </c>
      <c r="K116" t="s">
        <v>57</v>
      </c>
    </row>
    <row r="117" spans="1:11" x14ac:dyDescent="0.35">
      <c r="A117" t="s">
        <v>439</v>
      </c>
      <c r="B117">
        <v>2024</v>
      </c>
      <c r="C117" t="s">
        <v>284</v>
      </c>
      <c r="D117" t="s">
        <v>85</v>
      </c>
      <c r="E117" t="s">
        <v>117</v>
      </c>
      <c r="F117" t="s">
        <v>127</v>
      </c>
      <c r="G117" t="s">
        <v>128</v>
      </c>
      <c r="H117" t="s">
        <v>305</v>
      </c>
      <c r="I117" t="s">
        <v>86</v>
      </c>
      <c r="J117" t="s">
        <v>403</v>
      </c>
      <c r="K117" t="s">
        <v>57</v>
      </c>
    </row>
    <row r="118" spans="1:11" x14ac:dyDescent="0.35">
      <c r="A118" t="s">
        <v>440</v>
      </c>
      <c r="B118">
        <v>2024</v>
      </c>
      <c r="C118" t="s">
        <v>284</v>
      </c>
      <c r="D118" t="s">
        <v>76</v>
      </c>
      <c r="E118" t="s">
        <v>109</v>
      </c>
      <c r="F118" t="s">
        <v>127</v>
      </c>
      <c r="G118" t="s">
        <v>128</v>
      </c>
      <c r="H118" t="s">
        <v>285</v>
      </c>
      <c r="I118" t="s">
        <v>77</v>
      </c>
      <c r="J118" t="s">
        <v>286</v>
      </c>
      <c r="K118" t="s">
        <v>57</v>
      </c>
    </row>
    <row r="119" spans="1:11" x14ac:dyDescent="0.35">
      <c r="A119" t="s">
        <v>441</v>
      </c>
      <c r="B119">
        <v>2024</v>
      </c>
      <c r="C119" t="s">
        <v>284</v>
      </c>
      <c r="D119" t="s">
        <v>85</v>
      </c>
      <c r="E119" t="s">
        <v>116</v>
      </c>
      <c r="F119" t="s">
        <v>127</v>
      </c>
      <c r="G119" t="s">
        <v>130</v>
      </c>
      <c r="H119" t="s">
        <v>285</v>
      </c>
      <c r="I119" t="s">
        <v>289</v>
      </c>
      <c r="J119" t="s">
        <v>286</v>
      </c>
      <c r="K119" t="s">
        <v>57</v>
      </c>
    </row>
    <row r="120" spans="1:11" x14ac:dyDescent="0.35">
      <c r="A120" t="s">
        <v>442</v>
      </c>
      <c r="B120">
        <v>2024</v>
      </c>
      <c r="C120" t="s">
        <v>284</v>
      </c>
      <c r="D120" t="s">
        <v>85</v>
      </c>
      <c r="E120" t="s">
        <v>117</v>
      </c>
      <c r="F120" t="s">
        <v>129</v>
      </c>
      <c r="G120" t="s">
        <v>130</v>
      </c>
      <c r="H120" t="s">
        <v>305</v>
      </c>
      <c r="I120" t="s">
        <v>86</v>
      </c>
      <c r="J120" t="s">
        <v>317</v>
      </c>
      <c r="K120" t="s">
        <v>57</v>
      </c>
    </row>
    <row r="121" spans="1:11" x14ac:dyDescent="0.35">
      <c r="A121" t="s">
        <v>443</v>
      </c>
      <c r="B121">
        <v>2024</v>
      </c>
      <c r="C121" t="s">
        <v>284</v>
      </c>
      <c r="D121" t="s">
        <v>85</v>
      </c>
      <c r="E121" t="s">
        <v>116</v>
      </c>
      <c r="F121" t="s">
        <v>288</v>
      </c>
      <c r="G121" t="s">
        <v>132</v>
      </c>
      <c r="H121" t="s">
        <v>285</v>
      </c>
      <c r="I121" t="s">
        <v>86</v>
      </c>
      <c r="J121" t="s">
        <v>403</v>
      </c>
      <c r="K121" t="s">
        <v>57</v>
      </c>
    </row>
    <row r="122" spans="1:11" x14ac:dyDescent="0.35">
      <c r="A122" t="s">
        <v>444</v>
      </c>
      <c r="B122">
        <v>2024</v>
      </c>
      <c r="C122" t="s">
        <v>284</v>
      </c>
      <c r="D122" t="s">
        <v>85</v>
      </c>
      <c r="E122" t="s">
        <v>117</v>
      </c>
      <c r="F122" t="s">
        <v>129</v>
      </c>
      <c r="G122" t="s">
        <v>128</v>
      </c>
      <c r="H122" t="s">
        <v>305</v>
      </c>
      <c r="I122" t="s">
        <v>426</v>
      </c>
      <c r="J122" t="s">
        <v>326</v>
      </c>
      <c r="K122" t="s">
        <v>57</v>
      </c>
    </row>
    <row r="123" spans="1:11" x14ac:dyDescent="0.35">
      <c r="A123" t="s">
        <v>445</v>
      </c>
      <c r="B123">
        <v>2024</v>
      </c>
      <c r="C123" t="s">
        <v>284</v>
      </c>
      <c r="D123" t="s">
        <v>85</v>
      </c>
      <c r="E123" t="s">
        <v>117</v>
      </c>
      <c r="F123" t="s">
        <v>129</v>
      </c>
      <c r="G123" t="s">
        <v>128</v>
      </c>
      <c r="H123" t="s">
        <v>305</v>
      </c>
      <c r="I123" t="s">
        <v>337</v>
      </c>
      <c r="J123" t="s">
        <v>286</v>
      </c>
      <c r="K123" t="s">
        <v>57</v>
      </c>
    </row>
    <row r="124" spans="1:11" x14ac:dyDescent="0.35">
      <c r="A124" t="s">
        <v>446</v>
      </c>
      <c r="B124">
        <v>2024</v>
      </c>
      <c r="C124" t="s">
        <v>284</v>
      </c>
      <c r="D124" t="s">
        <v>76</v>
      </c>
      <c r="E124" t="s">
        <v>115</v>
      </c>
      <c r="F124" t="s">
        <v>127</v>
      </c>
      <c r="G124" t="s">
        <v>130</v>
      </c>
      <c r="H124" t="s">
        <v>285</v>
      </c>
      <c r="I124" t="s">
        <v>77</v>
      </c>
      <c r="J124" t="s">
        <v>447</v>
      </c>
      <c r="K124" t="s">
        <v>57</v>
      </c>
    </row>
    <row r="125" spans="1:11" x14ac:dyDescent="0.35">
      <c r="A125" t="s">
        <v>448</v>
      </c>
      <c r="B125">
        <v>2024</v>
      </c>
      <c r="C125" t="s">
        <v>284</v>
      </c>
      <c r="D125" t="s">
        <v>85</v>
      </c>
      <c r="E125" t="s">
        <v>117</v>
      </c>
      <c r="F125" t="s">
        <v>127</v>
      </c>
      <c r="G125" t="s">
        <v>128</v>
      </c>
      <c r="H125" t="s">
        <v>305</v>
      </c>
      <c r="I125" t="s">
        <v>86</v>
      </c>
      <c r="J125" t="s">
        <v>347</v>
      </c>
      <c r="K125" t="s">
        <v>57</v>
      </c>
    </row>
    <row r="126" spans="1:11" x14ac:dyDescent="0.35">
      <c r="A126" t="s">
        <v>449</v>
      </c>
      <c r="B126">
        <v>2024</v>
      </c>
      <c r="C126" t="s">
        <v>284</v>
      </c>
      <c r="D126" t="s">
        <v>85</v>
      </c>
      <c r="E126" t="s">
        <v>120</v>
      </c>
      <c r="F126" t="s">
        <v>127</v>
      </c>
      <c r="G126" t="s">
        <v>132</v>
      </c>
      <c r="H126" t="s">
        <v>305</v>
      </c>
      <c r="I126" t="s">
        <v>288</v>
      </c>
      <c r="J126" t="s">
        <v>326</v>
      </c>
      <c r="K126" t="s">
        <v>57</v>
      </c>
    </row>
    <row r="127" spans="1:11" x14ac:dyDescent="0.35">
      <c r="A127" t="s">
        <v>450</v>
      </c>
      <c r="B127">
        <v>2024</v>
      </c>
      <c r="C127" t="s">
        <v>284</v>
      </c>
      <c r="D127" t="s">
        <v>76</v>
      </c>
      <c r="E127" t="s">
        <v>109</v>
      </c>
      <c r="F127" t="s">
        <v>129</v>
      </c>
      <c r="G127" t="s">
        <v>128</v>
      </c>
      <c r="H127" t="s">
        <v>285</v>
      </c>
      <c r="I127" t="s">
        <v>86</v>
      </c>
      <c r="J127" t="s">
        <v>286</v>
      </c>
      <c r="K127" t="s">
        <v>57</v>
      </c>
    </row>
    <row r="128" spans="1:11" x14ac:dyDescent="0.35">
      <c r="A128" t="s">
        <v>451</v>
      </c>
      <c r="B128">
        <v>2024</v>
      </c>
      <c r="C128" t="s">
        <v>284</v>
      </c>
      <c r="D128" t="s">
        <v>85</v>
      </c>
      <c r="E128" t="s">
        <v>116</v>
      </c>
      <c r="F128" t="s">
        <v>129</v>
      </c>
      <c r="G128" t="s">
        <v>126</v>
      </c>
      <c r="H128" t="s">
        <v>285</v>
      </c>
      <c r="I128" t="s">
        <v>289</v>
      </c>
      <c r="J128" t="s">
        <v>326</v>
      </c>
      <c r="K128" t="s">
        <v>57</v>
      </c>
    </row>
    <row r="129" spans="1:11" x14ac:dyDescent="0.35">
      <c r="A129" t="s">
        <v>452</v>
      </c>
      <c r="B129">
        <v>2024</v>
      </c>
      <c r="C129" t="s">
        <v>284</v>
      </c>
      <c r="D129" t="s">
        <v>76</v>
      </c>
      <c r="E129" t="s">
        <v>111</v>
      </c>
      <c r="F129" t="s">
        <v>125</v>
      </c>
      <c r="G129" t="s">
        <v>132</v>
      </c>
      <c r="H129" t="s">
        <v>305</v>
      </c>
      <c r="I129" t="s">
        <v>288</v>
      </c>
      <c r="J129" t="s">
        <v>286</v>
      </c>
      <c r="K129" t="s">
        <v>57</v>
      </c>
    </row>
    <row r="130" spans="1:11" x14ac:dyDescent="0.35">
      <c r="A130" t="s">
        <v>453</v>
      </c>
      <c r="B130">
        <v>2024</v>
      </c>
      <c r="C130" t="s">
        <v>284</v>
      </c>
      <c r="D130" t="s">
        <v>76</v>
      </c>
      <c r="E130" t="s">
        <v>113</v>
      </c>
      <c r="F130" t="s">
        <v>129</v>
      </c>
      <c r="G130" t="s">
        <v>130</v>
      </c>
      <c r="H130" t="s">
        <v>285</v>
      </c>
      <c r="I130" t="s">
        <v>77</v>
      </c>
      <c r="J130" t="s">
        <v>286</v>
      </c>
      <c r="K130" t="s">
        <v>57</v>
      </c>
    </row>
    <row r="131" spans="1:11" x14ac:dyDescent="0.35">
      <c r="A131" t="s">
        <v>454</v>
      </c>
      <c r="B131">
        <v>2024</v>
      </c>
      <c r="C131" t="s">
        <v>284</v>
      </c>
      <c r="D131" t="s">
        <v>85</v>
      </c>
      <c r="E131" t="s">
        <v>116</v>
      </c>
      <c r="F131" t="s">
        <v>129</v>
      </c>
      <c r="G131" t="s">
        <v>128</v>
      </c>
      <c r="H131" t="s">
        <v>285</v>
      </c>
      <c r="I131" t="s">
        <v>337</v>
      </c>
      <c r="J131" t="s">
        <v>286</v>
      </c>
      <c r="K131" t="s">
        <v>57</v>
      </c>
    </row>
    <row r="132" spans="1:11" x14ac:dyDescent="0.35">
      <c r="A132" t="s">
        <v>455</v>
      </c>
      <c r="B132">
        <v>2024</v>
      </c>
      <c r="C132" t="s">
        <v>284</v>
      </c>
      <c r="D132" t="s">
        <v>85</v>
      </c>
      <c r="E132" t="s">
        <v>377</v>
      </c>
      <c r="F132" t="s">
        <v>129</v>
      </c>
      <c r="G132" t="s">
        <v>130</v>
      </c>
      <c r="H132" t="s">
        <v>305</v>
      </c>
      <c r="I132" t="s">
        <v>337</v>
      </c>
      <c r="J132" t="s">
        <v>286</v>
      </c>
      <c r="K132" t="s">
        <v>57</v>
      </c>
    </row>
    <row r="133" spans="1:11" x14ac:dyDescent="0.35">
      <c r="A133" t="s">
        <v>456</v>
      </c>
      <c r="B133">
        <v>2024</v>
      </c>
      <c r="C133" t="s">
        <v>284</v>
      </c>
      <c r="D133" t="s">
        <v>85</v>
      </c>
      <c r="E133" t="s">
        <v>115</v>
      </c>
      <c r="F133" t="s">
        <v>127</v>
      </c>
      <c r="G133" t="s">
        <v>128</v>
      </c>
      <c r="H133" t="s">
        <v>285</v>
      </c>
      <c r="I133" t="s">
        <v>289</v>
      </c>
      <c r="J133" t="s">
        <v>403</v>
      </c>
      <c r="K133" t="s">
        <v>57</v>
      </c>
    </row>
    <row r="134" spans="1:11" x14ac:dyDescent="0.35">
      <c r="A134" t="s">
        <v>457</v>
      </c>
      <c r="B134">
        <v>2024</v>
      </c>
      <c r="C134" t="s">
        <v>284</v>
      </c>
      <c r="D134" t="s">
        <v>85</v>
      </c>
      <c r="E134" t="s">
        <v>117</v>
      </c>
      <c r="F134" t="s">
        <v>129</v>
      </c>
      <c r="G134" t="s">
        <v>128</v>
      </c>
      <c r="H134" t="s">
        <v>305</v>
      </c>
      <c r="I134" t="s">
        <v>337</v>
      </c>
      <c r="J134" t="s">
        <v>286</v>
      </c>
      <c r="K134" t="s">
        <v>57</v>
      </c>
    </row>
    <row r="135" spans="1:11" x14ac:dyDescent="0.35">
      <c r="A135" t="s">
        <v>458</v>
      </c>
      <c r="B135">
        <v>2024</v>
      </c>
      <c r="C135" t="s">
        <v>284</v>
      </c>
      <c r="D135" t="s">
        <v>85</v>
      </c>
      <c r="E135" t="s">
        <v>120</v>
      </c>
      <c r="F135" t="s">
        <v>127</v>
      </c>
      <c r="G135" t="s">
        <v>130</v>
      </c>
      <c r="H135" t="s">
        <v>285</v>
      </c>
      <c r="I135" t="s">
        <v>289</v>
      </c>
      <c r="J135" t="s">
        <v>286</v>
      </c>
      <c r="K135" t="s">
        <v>57</v>
      </c>
    </row>
    <row r="136" spans="1:11" x14ac:dyDescent="0.35">
      <c r="A136" t="s">
        <v>459</v>
      </c>
      <c r="B136">
        <v>2024</v>
      </c>
      <c r="C136" t="s">
        <v>284</v>
      </c>
      <c r="D136" t="s">
        <v>76</v>
      </c>
      <c r="E136" t="s">
        <v>107</v>
      </c>
      <c r="F136" t="s">
        <v>288</v>
      </c>
      <c r="G136" t="s">
        <v>128</v>
      </c>
      <c r="H136" t="s">
        <v>285</v>
      </c>
      <c r="I136" t="s">
        <v>289</v>
      </c>
      <c r="J136" t="s">
        <v>286</v>
      </c>
      <c r="K136" t="s">
        <v>57</v>
      </c>
    </row>
    <row r="137" spans="1:11" x14ac:dyDescent="0.35">
      <c r="A137" t="s">
        <v>460</v>
      </c>
      <c r="B137">
        <v>2024</v>
      </c>
      <c r="C137" t="s">
        <v>284</v>
      </c>
      <c r="D137" t="s">
        <v>76</v>
      </c>
      <c r="E137" t="s">
        <v>115</v>
      </c>
      <c r="F137" t="s">
        <v>125</v>
      </c>
      <c r="G137" t="s">
        <v>132</v>
      </c>
      <c r="H137" t="s">
        <v>285</v>
      </c>
      <c r="I137" t="s">
        <v>461</v>
      </c>
      <c r="J137" t="s">
        <v>462</v>
      </c>
      <c r="K137" t="s">
        <v>42</v>
      </c>
    </row>
    <row r="138" spans="1:11" x14ac:dyDescent="0.35">
      <c r="A138" t="s">
        <v>463</v>
      </c>
      <c r="B138">
        <v>2024</v>
      </c>
      <c r="C138" t="s">
        <v>284</v>
      </c>
      <c r="D138" t="s">
        <v>85</v>
      </c>
      <c r="E138" t="s">
        <v>117</v>
      </c>
      <c r="F138" t="s">
        <v>131</v>
      </c>
      <c r="G138" t="s">
        <v>130</v>
      </c>
      <c r="H138" t="s">
        <v>285</v>
      </c>
      <c r="I138" t="s">
        <v>289</v>
      </c>
      <c r="J138" t="s">
        <v>464</v>
      </c>
      <c r="K138" t="s">
        <v>42</v>
      </c>
    </row>
    <row r="139" spans="1:11" x14ac:dyDescent="0.35">
      <c r="A139" t="s">
        <v>465</v>
      </c>
      <c r="B139">
        <v>2024</v>
      </c>
      <c r="C139" t="s">
        <v>284</v>
      </c>
      <c r="D139" t="s">
        <v>85</v>
      </c>
      <c r="E139" t="s">
        <v>120</v>
      </c>
      <c r="F139" t="s">
        <v>127</v>
      </c>
      <c r="G139" t="s">
        <v>128</v>
      </c>
      <c r="H139" t="s">
        <v>285</v>
      </c>
      <c r="I139" t="s">
        <v>86</v>
      </c>
      <c r="J139" t="s">
        <v>326</v>
      </c>
      <c r="K139" t="s">
        <v>57</v>
      </c>
    </row>
    <row r="140" spans="1:11" x14ac:dyDescent="0.35">
      <c r="A140" t="s">
        <v>466</v>
      </c>
      <c r="B140">
        <v>2024</v>
      </c>
      <c r="C140" t="s">
        <v>284</v>
      </c>
      <c r="D140" t="s">
        <v>85</v>
      </c>
      <c r="E140" t="s">
        <v>120</v>
      </c>
      <c r="F140" t="s">
        <v>127</v>
      </c>
      <c r="G140" t="s">
        <v>128</v>
      </c>
      <c r="H140" t="s">
        <v>285</v>
      </c>
      <c r="I140" t="s">
        <v>319</v>
      </c>
      <c r="J140" t="s">
        <v>467</v>
      </c>
      <c r="K140" t="s">
        <v>57</v>
      </c>
    </row>
    <row r="141" spans="1:11" x14ac:dyDescent="0.35">
      <c r="A141" t="s">
        <v>468</v>
      </c>
      <c r="B141">
        <v>2024</v>
      </c>
      <c r="C141" t="s">
        <v>284</v>
      </c>
      <c r="D141" t="s">
        <v>76</v>
      </c>
      <c r="E141" t="s">
        <v>119</v>
      </c>
      <c r="F141" t="s">
        <v>129</v>
      </c>
      <c r="G141" t="s">
        <v>128</v>
      </c>
      <c r="H141" t="s">
        <v>285</v>
      </c>
      <c r="I141" t="s">
        <v>77</v>
      </c>
      <c r="J141" t="s">
        <v>326</v>
      </c>
      <c r="K141" t="s">
        <v>57</v>
      </c>
    </row>
    <row r="142" spans="1:11" x14ac:dyDescent="0.35">
      <c r="A142" t="s">
        <v>469</v>
      </c>
      <c r="B142">
        <v>2024</v>
      </c>
      <c r="C142" t="s">
        <v>284</v>
      </c>
      <c r="D142" t="s">
        <v>85</v>
      </c>
      <c r="E142" t="s">
        <v>116</v>
      </c>
      <c r="F142" t="s">
        <v>131</v>
      </c>
      <c r="G142" t="s">
        <v>128</v>
      </c>
      <c r="H142" t="s">
        <v>285</v>
      </c>
      <c r="I142" t="s">
        <v>77</v>
      </c>
      <c r="J142" t="s">
        <v>361</v>
      </c>
      <c r="K142" t="s">
        <v>57</v>
      </c>
    </row>
    <row r="143" spans="1:11" x14ac:dyDescent="0.35">
      <c r="A143" t="s">
        <v>470</v>
      </c>
      <c r="B143">
        <v>2024</v>
      </c>
      <c r="C143" t="s">
        <v>284</v>
      </c>
      <c r="D143" t="s">
        <v>85</v>
      </c>
      <c r="E143" t="s">
        <v>117</v>
      </c>
      <c r="F143" t="s">
        <v>131</v>
      </c>
      <c r="G143" t="s">
        <v>128</v>
      </c>
      <c r="H143" t="s">
        <v>285</v>
      </c>
      <c r="I143" t="s">
        <v>289</v>
      </c>
      <c r="J143" t="s">
        <v>347</v>
      </c>
      <c r="K143" t="s">
        <v>57</v>
      </c>
    </row>
    <row r="144" spans="1:11" x14ac:dyDescent="0.35">
      <c r="A144" t="s">
        <v>471</v>
      </c>
      <c r="B144">
        <v>2024</v>
      </c>
      <c r="C144" t="s">
        <v>284</v>
      </c>
      <c r="D144" t="s">
        <v>85</v>
      </c>
      <c r="E144" t="s">
        <v>344</v>
      </c>
      <c r="F144" t="s">
        <v>133</v>
      </c>
      <c r="G144" t="s">
        <v>128</v>
      </c>
      <c r="H144" t="s">
        <v>285</v>
      </c>
      <c r="I144" t="s">
        <v>86</v>
      </c>
      <c r="J144" t="s">
        <v>326</v>
      </c>
      <c r="K144" t="s">
        <v>57</v>
      </c>
    </row>
    <row r="145" spans="1:11" x14ac:dyDescent="0.35">
      <c r="A145" t="s">
        <v>472</v>
      </c>
      <c r="B145">
        <v>2024</v>
      </c>
      <c r="C145" t="s">
        <v>284</v>
      </c>
      <c r="D145" t="s">
        <v>85</v>
      </c>
      <c r="E145" t="s">
        <v>344</v>
      </c>
      <c r="F145" t="s">
        <v>133</v>
      </c>
      <c r="G145" t="s">
        <v>128</v>
      </c>
      <c r="H145" t="s">
        <v>285</v>
      </c>
      <c r="I145" t="s">
        <v>86</v>
      </c>
      <c r="J145" t="s">
        <v>326</v>
      </c>
      <c r="K145" t="s">
        <v>57</v>
      </c>
    </row>
    <row r="146" spans="1:11" x14ac:dyDescent="0.35">
      <c r="A146" t="s">
        <v>473</v>
      </c>
      <c r="B146">
        <v>2024</v>
      </c>
      <c r="C146" t="s">
        <v>284</v>
      </c>
      <c r="D146" t="s">
        <v>85</v>
      </c>
      <c r="E146" t="s">
        <v>117</v>
      </c>
      <c r="F146" t="s">
        <v>131</v>
      </c>
      <c r="G146" t="s">
        <v>130</v>
      </c>
      <c r="H146" t="s">
        <v>285</v>
      </c>
      <c r="I146" t="s">
        <v>86</v>
      </c>
      <c r="J146" t="s">
        <v>424</v>
      </c>
      <c r="K146" t="s">
        <v>42</v>
      </c>
    </row>
    <row r="147" spans="1:11" x14ac:dyDescent="0.35">
      <c r="A147" t="s">
        <v>474</v>
      </c>
      <c r="B147">
        <v>2024</v>
      </c>
      <c r="C147" t="s">
        <v>284</v>
      </c>
      <c r="D147" t="s">
        <v>76</v>
      </c>
      <c r="E147" t="s">
        <v>115</v>
      </c>
      <c r="F147" t="s">
        <v>129</v>
      </c>
      <c r="G147" t="s">
        <v>126</v>
      </c>
      <c r="H147" t="s">
        <v>285</v>
      </c>
      <c r="I147" t="s">
        <v>289</v>
      </c>
      <c r="J147" t="s">
        <v>286</v>
      </c>
      <c r="K147" t="s">
        <v>57</v>
      </c>
    </row>
    <row r="148" spans="1:11" x14ac:dyDescent="0.35">
      <c r="A148" t="s">
        <v>475</v>
      </c>
      <c r="B148">
        <v>2024</v>
      </c>
      <c r="C148" t="s">
        <v>284</v>
      </c>
      <c r="D148" t="s">
        <v>85</v>
      </c>
      <c r="E148" t="s">
        <v>116</v>
      </c>
      <c r="F148" t="s">
        <v>131</v>
      </c>
      <c r="G148" t="s">
        <v>130</v>
      </c>
      <c r="H148" t="s">
        <v>285</v>
      </c>
      <c r="I148" t="s">
        <v>77</v>
      </c>
      <c r="J148" t="s">
        <v>286</v>
      </c>
      <c r="K148" t="s">
        <v>57</v>
      </c>
    </row>
    <row r="149" spans="1:11" x14ac:dyDescent="0.35">
      <c r="A149" t="s">
        <v>476</v>
      </c>
      <c r="B149">
        <v>2024</v>
      </c>
      <c r="C149" t="s">
        <v>284</v>
      </c>
      <c r="D149" t="s">
        <v>85</v>
      </c>
      <c r="E149" t="s">
        <v>117</v>
      </c>
      <c r="F149" t="s">
        <v>129</v>
      </c>
      <c r="G149" t="s">
        <v>126</v>
      </c>
      <c r="H149" t="s">
        <v>285</v>
      </c>
      <c r="I149" t="s">
        <v>426</v>
      </c>
      <c r="J149" t="s">
        <v>412</v>
      </c>
      <c r="K149" t="s">
        <v>57</v>
      </c>
    </row>
    <row r="150" spans="1:11" x14ac:dyDescent="0.35">
      <c r="A150" t="s">
        <v>477</v>
      </c>
      <c r="B150">
        <v>2024</v>
      </c>
      <c r="C150" t="s">
        <v>284</v>
      </c>
      <c r="D150" t="s">
        <v>76</v>
      </c>
      <c r="E150" t="s">
        <v>115</v>
      </c>
      <c r="F150" t="s">
        <v>127</v>
      </c>
      <c r="G150" t="s">
        <v>128</v>
      </c>
      <c r="H150" t="s">
        <v>285</v>
      </c>
      <c r="I150" t="s">
        <v>86</v>
      </c>
      <c r="J150" t="s">
        <v>317</v>
      </c>
      <c r="K150" t="s">
        <v>57</v>
      </c>
    </row>
    <row r="151" spans="1:11" x14ac:dyDescent="0.35">
      <c r="A151" t="s">
        <v>478</v>
      </c>
      <c r="B151">
        <v>2024</v>
      </c>
      <c r="C151" t="s">
        <v>284</v>
      </c>
      <c r="D151" t="s">
        <v>76</v>
      </c>
      <c r="E151" t="s">
        <v>111</v>
      </c>
      <c r="F151" t="s">
        <v>125</v>
      </c>
      <c r="G151" t="s">
        <v>132</v>
      </c>
      <c r="H151" t="s">
        <v>357</v>
      </c>
      <c r="I151" t="s">
        <v>86</v>
      </c>
      <c r="J151" t="s">
        <v>288</v>
      </c>
      <c r="K151" t="s">
        <v>57</v>
      </c>
    </row>
    <row r="152" spans="1:11" x14ac:dyDescent="0.35">
      <c r="A152" t="s">
        <v>479</v>
      </c>
      <c r="B152">
        <v>2024</v>
      </c>
      <c r="C152" t="s">
        <v>284</v>
      </c>
      <c r="D152" t="s">
        <v>85</v>
      </c>
      <c r="E152" t="s">
        <v>116</v>
      </c>
      <c r="F152" t="s">
        <v>125</v>
      </c>
      <c r="G152" t="s">
        <v>126</v>
      </c>
      <c r="H152" t="s">
        <v>285</v>
      </c>
      <c r="I152" t="s">
        <v>288</v>
      </c>
      <c r="J152" t="s">
        <v>409</v>
      </c>
      <c r="K152" t="s">
        <v>57</v>
      </c>
    </row>
    <row r="153" spans="1:11" x14ac:dyDescent="0.35">
      <c r="A153" t="s">
        <v>480</v>
      </c>
      <c r="B153">
        <v>2024</v>
      </c>
      <c r="C153" t="s">
        <v>284</v>
      </c>
      <c r="D153" t="s">
        <v>85</v>
      </c>
      <c r="E153" t="s">
        <v>117</v>
      </c>
      <c r="F153" t="s">
        <v>129</v>
      </c>
      <c r="G153" t="s">
        <v>132</v>
      </c>
      <c r="H153" t="s">
        <v>285</v>
      </c>
      <c r="I153" t="s">
        <v>86</v>
      </c>
      <c r="J153" t="s">
        <v>481</v>
      </c>
      <c r="K153" t="s">
        <v>42</v>
      </c>
    </row>
    <row r="154" spans="1:11" x14ac:dyDescent="0.35">
      <c r="A154" t="s">
        <v>482</v>
      </c>
      <c r="B154">
        <v>2024</v>
      </c>
      <c r="C154" t="s">
        <v>284</v>
      </c>
      <c r="D154" t="s">
        <v>85</v>
      </c>
      <c r="E154" t="s">
        <v>120</v>
      </c>
      <c r="F154" t="s">
        <v>129</v>
      </c>
      <c r="G154" t="s">
        <v>126</v>
      </c>
      <c r="H154" t="s">
        <v>285</v>
      </c>
      <c r="I154" t="s">
        <v>77</v>
      </c>
      <c r="J154" t="s">
        <v>286</v>
      </c>
      <c r="K154" t="s">
        <v>57</v>
      </c>
    </row>
    <row r="155" spans="1:11" x14ac:dyDescent="0.35">
      <c r="A155" t="s">
        <v>483</v>
      </c>
      <c r="B155">
        <v>2024</v>
      </c>
      <c r="C155" t="s">
        <v>284</v>
      </c>
      <c r="D155" t="s">
        <v>85</v>
      </c>
      <c r="E155" t="s">
        <v>120</v>
      </c>
      <c r="F155" t="s">
        <v>131</v>
      </c>
      <c r="G155" t="s">
        <v>132</v>
      </c>
      <c r="H155" t="s">
        <v>285</v>
      </c>
      <c r="I155" t="s">
        <v>407</v>
      </c>
      <c r="J155" t="s">
        <v>484</v>
      </c>
      <c r="K155" t="s">
        <v>42</v>
      </c>
    </row>
    <row r="156" spans="1:11" x14ac:dyDescent="0.35">
      <c r="A156" t="s">
        <v>485</v>
      </c>
      <c r="B156">
        <v>2024</v>
      </c>
      <c r="C156" t="s">
        <v>284</v>
      </c>
      <c r="D156" t="s">
        <v>76</v>
      </c>
      <c r="E156" t="s">
        <v>108</v>
      </c>
      <c r="F156" t="s">
        <v>129</v>
      </c>
      <c r="G156" t="s">
        <v>130</v>
      </c>
      <c r="H156" t="s">
        <v>285</v>
      </c>
      <c r="I156" t="s">
        <v>77</v>
      </c>
      <c r="J156" t="s">
        <v>286</v>
      </c>
      <c r="K156" t="s">
        <v>57</v>
      </c>
    </row>
    <row r="157" spans="1:11" x14ac:dyDescent="0.35">
      <c r="A157" t="s">
        <v>486</v>
      </c>
      <c r="B157">
        <v>2024</v>
      </c>
      <c r="C157" t="s">
        <v>284</v>
      </c>
      <c r="D157" t="s">
        <v>76</v>
      </c>
      <c r="E157" t="s">
        <v>109</v>
      </c>
      <c r="F157" t="s">
        <v>129</v>
      </c>
      <c r="G157" t="s">
        <v>128</v>
      </c>
      <c r="H157" t="s">
        <v>285</v>
      </c>
      <c r="I157" t="s">
        <v>351</v>
      </c>
      <c r="J157" t="s">
        <v>286</v>
      </c>
      <c r="K157" t="s">
        <v>57</v>
      </c>
    </row>
    <row r="158" spans="1:11" x14ac:dyDescent="0.35">
      <c r="A158" t="s">
        <v>487</v>
      </c>
      <c r="B158">
        <v>2024</v>
      </c>
      <c r="C158" t="s">
        <v>284</v>
      </c>
      <c r="D158" t="s">
        <v>85</v>
      </c>
      <c r="E158" t="s">
        <v>116</v>
      </c>
      <c r="F158" t="s">
        <v>129</v>
      </c>
      <c r="G158" t="s">
        <v>128</v>
      </c>
      <c r="H158" t="s">
        <v>285</v>
      </c>
      <c r="I158" t="s">
        <v>351</v>
      </c>
      <c r="J158" t="s">
        <v>286</v>
      </c>
      <c r="K158" t="s">
        <v>57</v>
      </c>
    </row>
    <row r="159" spans="1:11" x14ac:dyDescent="0.35">
      <c r="A159" t="s">
        <v>488</v>
      </c>
      <c r="B159">
        <v>2024</v>
      </c>
      <c r="C159" t="s">
        <v>284</v>
      </c>
      <c r="D159" t="s">
        <v>76</v>
      </c>
      <c r="E159" t="s">
        <v>119</v>
      </c>
      <c r="F159" t="s">
        <v>125</v>
      </c>
      <c r="G159" t="s">
        <v>128</v>
      </c>
      <c r="H159" t="s">
        <v>285</v>
      </c>
      <c r="I159" t="s">
        <v>86</v>
      </c>
      <c r="J159" t="s">
        <v>286</v>
      </c>
      <c r="K159" t="s">
        <v>57</v>
      </c>
    </row>
    <row r="160" spans="1:11" x14ac:dyDescent="0.35">
      <c r="A160" t="s">
        <v>489</v>
      </c>
      <c r="B160">
        <v>2024</v>
      </c>
      <c r="C160" t="s">
        <v>284</v>
      </c>
      <c r="D160" t="s">
        <v>76</v>
      </c>
      <c r="E160" t="s">
        <v>107</v>
      </c>
      <c r="F160" t="s">
        <v>125</v>
      </c>
      <c r="G160" t="s">
        <v>126</v>
      </c>
      <c r="H160" t="s">
        <v>285</v>
      </c>
      <c r="I160" t="s">
        <v>333</v>
      </c>
      <c r="J160" t="s">
        <v>286</v>
      </c>
      <c r="K160" t="s">
        <v>57</v>
      </c>
    </row>
    <row r="161" spans="1:11" x14ac:dyDescent="0.35">
      <c r="A161" t="s">
        <v>490</v>
      </c>
      <c r="B161">
        <v>2024</v>
      </c>
      <c r="C161" t="s">
        <v>284</v>
      </c>
      <c r="D161" t="s">
        <v>76</v>
      </c>
      <c r="E161" t="s">
        <v>119</v>
      </c>
      <c r="F161" t="s">
        <v>125</v>
      </c>
      <c r="G161" t="s">
        <v>128</v>
      </c>
      <c r="H161" t="s">
        <v>285</v>
      </c>
      <c r="I161" t="s">
        <v>288</v>
      </c>
      <c r="J161" t="s">
        <v>288</v>
      </c>
      <c r="K161" t="s">
        <v>57</v>
      </c>
    </row>
    <row r="162" spans="1:11" x14ac:dyDescent="0.35">
      <c r="A162" t="s">
        <v>491</v>
      </c>
      <c r="B162">
        <v>2024</v>
      </c>
      <c r="C162" t="s">
        <v>284</v>
      </c>
      <c r="D162" t="s">
        <v>85</v>
      </c>
      <c r="E162" t="s">
        <v>377</v>
      </c>
      <c r="F162" t="s">
        <v>125</v>
      </c>
      <c r="G162" t="s">
        <v>132</v>
      </c>
      <c r="H162" t="s">
        <v>285</v>
      </c>
      <c r="I162" t="s">
        <v>86</v>
      </c>
      <c r="J162" t="s">
        <v>492</v>
      </c>
      <c r="K162" t="s">
        <v>57</v>
      </c>
    </row>
    <row r="163" spans="1:11" x14ac:dyDescent="0.35">
      <c r="A163" t="s">
        <v>493</v>
      </c>
      <c r="B163">
        <v>2024</v>
      </c>
      <c r="C163" t="s">
        <v>284</v>
      </c>
      <c r="D163" t="s">
        <v>85</v>
      </c>
      <c r="E163" t="s">
        <v>344</v>
      </c>
      <c r="F163" t="s">
        <v>131</v>
      </c>
      <c r="G163" t="s">
        <v>128</v>
      </c>
      <c r="H163" t="s">
        <v>305</v>
      </c>
      <c r="I163" t="s">
        <v>288</v>
      </c>
      <c r="J163" t="s">
        <v>286</v>
      </c>
      <c r="K163" t="s">
        <v>57</v>
      </c>
    </row>
    <row r="164" spans="1:11" x14ac:dyDescent="0.35">
      <c r="A164" t="s">
        <v>494</v>
      </c>
      <c r="B164">
        <v>2024</v>
      </c>
      <c r="C164" t="s">
        <v>284</v>
      </c>
      <c r="D164" t="s">
        <v>76</v>
      </c>
      <c r="E164" t="s">
        <v>107</v>
      </c>
      <c r="F164" t="s">
        <v>127</v>
      </c>
      <c r="G164" t="s">
        <v>128</v>
      </c>
      <c r="H164" t="s">
        <v>285</v>
      </c>
      <c r="I164" t="s">
        <v>86</v>
      </c>
      <c r="J164" t="s">
        <v>308</v>
      </c>
      <c r="K164" t="s">
        <v>42</v>
      </c>
    </row>
    <row r="165" spans="1:11" x14ac:dyDescent="0.35">
      <c r="A165" t="s">
        <v>495</v>
      </c>
      <c r="B165">
        <v>2024</v>
      </c>
      <c r="C165" t="s">
        <v>284</v>
      </c>
      <c r="D165" t="s">
        <v>76</v>
      </c>
      <c r="E165" t="s">
        <v>119</v>
      </c>
      <c r="F165" t="s">
        <v>125</v>
      </c>
      <c r="G165" t="s">
        <v>130</v>
      </c>
      <c r="H165" t="s">
        <v>285</v>
      </c>
      <c r="I165" t="s">
        <v>86</v>
      </c>
      <c r="J165" t="s">
        <v>286</v>
      </c>
      <c r="K165" t="s">
        <v>57</v>
      </c>
    </row>
    <row r="166" spans="1:11" x14ac:dyDescent="0.35">
      <c r="A166" t="s">
        <v>496</v>
      </c>
      <c r="B166">
        <v>2024</v>
      </c>
      <c r="C166" t="s">
        <v>284</v>
      </c>
      <c r="D166" t="s">
        <v>85</v>
      </c>
      <c r="E166" t="s">
        <v>115</v>
      </c>
      <c r="F166" t="s">
        <v>288</v>
      </c>
      <c r="G166" t="s">
        <v>128</v>
      </c>
      <c r="H166" t="s">
        <v>285</v>
      </c>
      <c r="I166" t="s">
        <v>86</v>
      </c>
      <c r="J166" t="s">
        <v>405</v>
      </c>
      <c r="K166" t="s">
        <v>57</v>
      </c>
    </row>
    <row r="167" spans="1:11" x14ac:dyDescent="0.35">
      <c r="A167" t="s">
        <v>497</v>
      </c>
      <c r="B167">
        <v>2024</v>
      </c>
      <c r="C167" t="s">
        <v>284</v>
      </c>
      <c r="D167" t="s">
        <v>85</v>
      </c>
      <c r="E167" t="s">
        <v>344</v>
      </c>
      <c r="F167" t="s">
        <v>131</v>
      </c>
      <c r="G167" t="s">
        <v>128</v>
      </c>
      <c r="H167" t="s">
        <v>285</v>
      </c>
      <c r="I167" t="s">
        <v>77</v>
      </c>
      <c r="J167" t="s">
        <v>286</v>
      </c>
      <c r="K167" t="s">
        <v>57</v>
      </c>
    </row>
    <row r="168" spans="1:11" x14ac:dyDescent="0.35">
      <c r="A168" t="s">
        <v>498</v>
      </c>
      <c r="B168">
        <v>2024</v>
      </c>
      <c r="C168" t="s">
        <v>284</v>
      </c>
      <c r="D168" t="s">
        <v>76</v>
      </c>
      <c r="E168" t="s">
        <v>115</v>
      </c>
      <c r="F168" t="s">
        <v>127</v>
      </c>
      <c r="G168" t="s">
        <v>128</v>
      </c>
      <c r="H168" t="s">
        <v>285</v>
      </c>
      <c r="I168" t="s">
        <v>499</v>
      </c>
      <c r="J168" t="s">
        <v>447</v>
      </c>
      <c r="K168" t="s">
        <v>57</v>
      </c>
    </row>
    <row r="169" spans="1:11" x14ac:dyDescent="0.35">
      <c r="A169" t="s">
        <v>500</v>
      </c>
      <c r="B169">
        <v>2024</v>
      </c>
      <c r="C169" t="s">
        <v>284</v>
      </c>
      <c r="D169" t="s">
        <v>85</v>
      </c>
      <c r="E169" t="s">
        <v>120</v>
      </c>
      <c r="F169" t="s">
        <v>129</v>
      </c>
      <c r="G169" t="s">
        <v>130</v>
      </c>
      <c r="H169" t="s">
        <v>305</v>
      </c>
      <c r="I169" t="s">
        <v>77</v>
      </c>
      <c r="J169" t="s">
        <v>286</v>
      </c>
      <c r="K169" t="s">
        <v>57</v>
      </c>
    </row>
    <row r="170" spans="1:11" x14ac:dyDescent="0.35">
      <c r="A170" t="s">
        <v>501</v>
      </c>
      <c r="B170">
        <v>2024</v>
      </c>
      <c r="C170" t="s">
        <v>284</v>
      </c>
      <c r="D170" t="s">
        <v>85</v>
      </c>
      <c r="E170" t="s">
        <v>377</v>
      </c>
      <c r="F170" t="s">
        <v>125</v>
      </c>
      <c r="G170" t="s">
        <v>128</v>
      </c>
      <c r="H170" t="s">
        <v>285</v>
      </c>
      <c r="I170" t="s">
        <v>77</v>
      </c>
      <c r="J170" t="s">
        <v>286</v>
      </c>
      <c r="K170" t="s">
        <v>57</v>
      </c>
    </row>
    <row r="171" spans="1:11" x14ac:dyDescent="0.35">
      <c r="A171" t="s">
        <v>502</v>
      </c>
      <c r="B171">
        <v>2024</v>
      </c>
      <c r="C171" t="s">
        <v>284</v>
      </c>
      <c r="D171" t="s">
        <v>85</v>
      </c>
      <c r="E171" t="s">
        <v>117</v>
      </c>
      <c r="F171" t="s">
        <v>129</v>
      </c>
      <c r="G171" t="s">
        <v>128</v>
      </c>
      <c r="H171" t="s">
        <v>285</v>
      </c>
      <c r="I171" t="s">
        <v>337</v>
      </c>
      <c r="J171" t="s">
        <v>503</v>
      </c>
      <c r="K171" t="s">
        <v>42</v>
      </c>
    </row>
    <row r="172" spans="1:11" x14ac:dyDescent="0.35">
      <c r="A172" t="s">
        <v>504</v>
      </c>
      <c r="B172">
        <v>2024</v>
      </c>
      <c r="C172" t="s">
        <v>284</v>
      </c>
      <c r="D172" t="s">
        <v>85</v>
      </c>
      <c r="E172" t="s">
        <v>116</v>
      </c>
      <c r="F172" t="s">
        <v>129</v>
      </c>
      <c r="G172" t="s">
        <v>128</v>
      </c>
      <c r="H172" t="s">
        <v>285</v>
      </c>
      <c r="I172" t="s">
        <v>289</v>
      </c>
      <c r="J172" t="s">
        <v>286</v>
      </c>
      <c r="K172" t="s">
        <v>57</v>
      </c>
    </row>
    <row r="173" spans="1:11" x14ac:dyDescent="0.35">
      <c r="A173" t="s">
        <v>505</v>
      </c>
      <c r="B173">
        <v>2024</v>
      </c>
      <c r="C173" t="s">
        <v>284</v>
      </c>
      <c r="D173" t="s">
        <v>85</v>
      </c>
      <c r="E173" t="s">
        <v>117</v>
      </c>
      <c r="F173" t="s">
        <v>134</v>
      </c>
      <c r="G173" t="s">
        <v>128</v>
      </c>
      <c r="H173" t="s">
        <v>297</v>
      </c>
      <c r="I173" t="s">
        <v>289</v>
      </c>
      <c r="J173" t="s">
        <v>286</v>
      </c>
      <c r="K173" t="s">
        <v>57</v>
      </c>
    </row>
    <row r="174" spans="1:11" x14ac:dyDescent="0.35">
      <c r="A174" t="s">
        <v>506</v>
      </c>
      <c r="B174">
        <v>2024</v>
      </c>
      <c r="C174" t="s">
        <v>284</v>
      </c>
      <c r="D174" t="s">
        <v>85</v>
      </c>
      <c r="E174" t="s">
        <v>116</v>
      </c>
      <c r="F174" t="s">
        <v>288</v>
      </c>
      <c r="G174" t="s">
        <v>128</v>
      </c>
      <c r="H174" t="s">
        <v>285</v>
      </c>
      <c r="I174" t="s">
        <v>86</v>
      </c>
      <c r="J174" t="s">
        <v>286</v>
      </c>
      <c r="K174" t="s">
        <v>57</v>
      </c>
    </row>
    <row r="175" spans="1:11" x14ac:dyDescent="0.35">
      <c r="A175" t="s">
        <v>507</v>
      </c>
      <c r="B175">
        <v>2024</v>
      </c>
      <c r="C175" t="s">
        <v>284</v>
      </c>
      <c r="D175" t="s">
        <v>85</v>
      </c>
      <c r="E175" t="s">
        <v>116</v>
      </c>
      <c r="F175" t="s">
        <v>288</v>
      </c>
      <c r="G175" t="s">
        <v>128</v>
      </c>
      <c r="H175" t="s">
        <v>285</v>
      </c>
      <c r="I175" t="s">
        <v>77</v>
      </c>
      <c r="J175" t="s">
        <v>286</v>
      </c>
      <c r="K175" t="s">
        <v>57</v>
      </c>
    </row>
    <row r="176" spans="1:11" x14ac:dyDescent="0.35">
      <c r="A176" t="s">
        <v>508</v>
      </c>
      <c r="B176">
        <v>2024</v>
      </c>
      <c r="C176" t="s">
        <v>284</v>
      </c>
      <c r="D176" t="s">
        <v>76</v>
      </c>
      <c r="E176" t="s">
        <v>107</v>
      </c>
      <c r="F176" t="s">
        <v>125</v>
      </c>
      <c r="G176" t="s">
        <v>126</v>
      </c>
      <c r="H176" t="s">
        <v>285</v>
      </c>
      <c r="I176" t="s">
        <v>86</v>
      </c>
      <c r="J176" t="s">
        <v>509</v>
      </c>
      <c r="K176" t="s">
        <v>42</v>
      </c>
    </row>
    <row r="177" spans="1:11" x14ac:dyDescent="0.35">
      <c r="A177" t="s">
        <v>510</v>
      </c>
      <c r="B177">
        <v>2024</v>
      </c>
      <c r="C177" t="s">
        <v>284</v>
      </c>
      <c r="D177" t="s">
        <v>85</v>
      </c>
      <c r="E177" t="s">
        <v>344</v>
      </c>
      <c r="F177" t="s">
        <v>131</v>
      </c>
      <c r="G177" t="s">
        <v>130</v>
      </c>
      <c r="H177" t="s">
        <v>305</v>
      </c>
      <c r="I177" t="s">
        <v>407</v>
      </c>
      <c r="J177" t="s">
        <v>361</v>
      </c>
      <c r="K177" t="s">
        <v>57</v>
      </c>
    </row>
    <row r="178" spans="1:11" x14ac:dyDescent="0.35">
      <c r="A178" t="s">
        <v>511</v>
      </c>
      <c r="B178">
        <v>2024</v>
      </c>
      <c r="C178" t="s">
        <v>284</v>
      </c>
      <c r="D178" t="s">
        <v>76</v>
      </c>
      <c r="E178" t="s">
        <v>107</v>
      </c>
      <c r="F178" t="s">
        <v>125</v>
      </c>
      <c r="G178" t="s">
        <v>128</v>
      </c>
      <c r="H178" t="s">
        <v>285</v>
      </c>
      <c r="I178" t="s">
        <v>86</v>
      </c>
      <c r="J178" t="s">
        <v>286</v>
      </c>
      <c r="K178" t="s">
        <v>57</v>
      </c>
    </row>
    <row r="179" spans="1:11" x14ac:dyDescent="0.35">
      <c r="A179" t="s">
        <v>512</v>
      </c>
      <c r="B179">
        <v>2024</v>
      </c>
      <c r="C179" t="s">
        <v>284</v>
      </c>
      <c r="D179" t="s">
        <v>85</v>
      </c>
      <c r="E179" t="s">
        <v>117</v>
      </c>
      <c r="F179" t="s">
        <v>129</v>
      </c>
      <c r="G179" t="s">
        <v>126</v>
      </c>
      <c r="H179" t="s">
        <v>285</v>
      </c>
      <c r="I179" t="s">
        <v>289</v>
      </c>
      <c r="J179" t="s">
        <v>464</v>
      </c>
      <c r="K179" t="s">
        <v>42</v>
      </c>
    </row>
    <row r="180" spans="1:11" x14ac:dyDescent="0.35">
      <c r="A180" t="s">
        <v>513</v>
      </c>
      <c r="B180">
        <v>2024</v>
      </c>
      <c r="C180" t="s">
        <v>284</v>
      </c>
      <c r="D180" t="s">
        <v>85</v>
      </c>
      <c r="E180" t="s">
        <v>377</v>
      </c>
      <c r="F180" t="s">
        <v>131</v>
      </c>
      <c r="G180" t="s">
        <v>126</v>
      </c>
      <c r="H180" t="s">
        <v>285</v>
      </c>
      <c r="I180" t="s">
        <v>77</v>
      </c>
      <c r="J180" t="s">
        <v>317</v>
      </c>
      <c r="K180" t="s">
        <v>57</v>
      </c>
    </row>
    <row r="181" spans="1:11" x14ac:dyDescent="0.35">
      <c r="A181" t="s">
        <v>514</v>
      </c>
      <c r="B181">
        <v>2024</v>
      </c>
      <c r="C181" t="s">
        <v>284</v>
      </c>
      <c r="D181" t="s">
        <v>85</v>
      </c>
      <c r="E181" t="s">
        <v>116</v>
      </c>
      <c r="F181" t="s">
        <v>125</v>
      </c>
      <c r="G181" t="s">
        <v>128</v>
      </c>
      <c r="H181" t="s">
        <v>285</v>
      </c>
      <c r="I181" t="s">
        <v>86</v>
      </c>
      <c r="J181" t="s">
        <v>515</v>
      </c>
      <c r="K181" t="s">
        <v>57</v>
      </c>
    </row>
    <row r="182" spans="1:11" x14ac:dyDescent="0.35">
      <c r="A182" t="s">
        <v>516</v>
      </c>
      <c r="B182">
        <v>2024</v>
      </c>
      <c r="C182" t="s">
        <v>284</v>
      </c>
      <c r="D182" t="s">
        <v>76</v>
      </c>
      <c r="E182" t="s">
        <v>109</v>
      </c>
      <c r="F182" t="s">
        <v>129</v>
      </c>
      <c r="G182" t="s">
        <v>128</v>
      </c>
      <c r="H182" t="s">
        <v>285</v>
      </c>
      <c r="I182" t="s">
        <v>77</v>
      </c>
      <c r="J182" t="s">
        <v>286</v>
      </c>
      <c r="K182" t="s">
        <v>57</v>
      </c>
    </row>
    <row r="183" spans="1:11" x14ac:dyDescent="0.35">
      <c r="A183" t="s">
        <v>517</v>
      </c>
      <c r="B183">
        <v>2024</v>
      </c>
      <c r="C183" t="s">
        <v>284</v>
      </c>
      <c r="D183" t="s">
        <v>85</v>
      </c>
      <c r="E183" t="s">
        <v>117</v>
      </c>
      <c r="F183" t="s">
        <v>288</v>
      </c>
      <c r="G183" t="s">
        <v>132</v>
      </c>
      <c r="H183" t="s">
        <v>285</v>
      </c>
      <c r="I183" t="s">
        <v>288</v>
      </c>
      <c r="J183" t="s">
        <v>288</v>
      </c>
      <c r="K183" t="s">
        <v>57</v>
      </c>
    </row>
    <row r="184" spans="1:11" x14ac:dyDescent="0.35">
      <c r="A184" t="s">
        <v>518</v>
      </c>
      <c r="B184">
        <v>2024</v>
      </c>
      <c r="C184" t="s">
        <v>284</v>
      </c>
      <c r="D184" t="s">
        <v>85</v>
      </c>
      <c r="E184" t="s">
        <v>120</v>
      </c>
      <c r="F184" t="s">
        <v>129</v>
      </c>
      <c r="G184" t="s">
        <v>130</v>
      </c>
      <c r="H184" t="s">
        <v>285</v>
      </c>
      <c r="I184" t="s">
        <v>86</v>
      </c>
      <c r="J184" t="s">
        <v>317</v>
      </c>
      <c r="K184" t="s">
        <v>57</v>
      </c>
    </row>
    <row r="185" spans="1:11" x14ac:dyDescent="0.35">
      <c r="A185" t="s">
        <v>519</v>
      </c>
      <c r="B185">
        <v>2024</v>
      </c>
      <c r="C185" t="s">
        <v>284</v>
      </c>
      <c r="D185" t="s">
        <v>76</v>
      </c>
      <c r="E185" t="s">
        <v>115</v>
      </c>
      <c r="F185" t="s">
        <v>288</v>
      </c>
      <c r="G185" t="s">
        <v>130</v>
      </c>
      <c r="H185" t="s">
        <v>285</v>
      </c>
      <c r="I185" t="s">
        <v>86</v>
      </c>
      <c r="J185" t="s">
        <v>520</v>
      </c>
      <c r="K185" t="s">
        <v>42</v>
      </c>
    </row>
    <row r="186" spans="1:11" x14ac:dyDescent="0.35">
      <c r="A186" t="s">
        <v>521</v>
      </c>
      <c r="B186">
        <v>2024</v>
      </c>
      <c r="C186" t="s">
        <v>284</v>
      </c>
      <c r="D186" t="s">
        <v>76</v>
      </c>
      <c r="E186" t="s">
        <v>115</v>
      </c>
      <c r="F186" t="s">
        <v>127</v>
      </c>
      <c r="G186" t="s">
        <v>130</v>
      </c>
      <c r="H186" t="s">
        <v>285</v>
      </c>
      <c r="I186" t="s">
        <v>77</v>
      </c>
      <c r="J186" t="s">
        <v>286</v>
      </c>
      <c r="K186" t="s">
        <v>57</v>
      </c>
    </row>
    <row r="187" spans="1:11" x14ac:dyDescent="0.35">
      <c r="A187" t="s">
        <v>522</v>
      </c>
      <c r="B187">
        <v>2024</v>
      </c>
      <c r="C187" t="s">
        <v>284</v>
      </c>
      <c r="D187" t="s">
        <v>85</v>
      </c>
      <c r="E187" t="s">
        <v>120</v>
      </c>
      <c r="F187" t="s">
        <v>131</v>
      </c>
      <c r="G187" t="s">
        <v>128</v>
      </c>
      <c r="H187" t="s">
        <v>285</v>
      </c>
      <c r="I187" t="s">
        <v>77</v>
      </c>
      <c r="J187" t="s">
        <v>317</v>
      </c>
      <c r="K187" t="s">
        <v>57</v>
      </c>
    </row>
    <row r="188" spans="1:11" x14ac:dyDescent="0.35">
      <c r="A188" t="s">
        <v>523</v>
      </c>
      <c r="B188">
        <v>2024</v>
      </c>
      <c r="C188" t="s">
        <v>284</v>
      </c>
      <c r="D188" t="s">
        <v>85</v>
      </c>
      <c r="E188" t="s">
        <v>116</v>
      </c>
      <c r="F188" t="s">
        <v>129</v>
      </c>
      <c r="G188" t="s">
        <v>128</v>
      </c>
      <c r="H188" t="s">
        <v>285</v>
      </c>
      <c r="I188" t="s">
        <v>77</v>
      </c>
      <c r="J188" t="s">
        <v>317</v>
      </c>
      <c r="K188" t="s">
        <v>57</v>
      </c>
    </row>
    <row r="189" spans="1:11" x14ac:dyDescent="0.35">
      <c r="A189" t="s">
        <v>524</v>
      </c>
      <c r="B189">
        <v>2024</v>
      </c>
      <c r="C189" t="s">
        <v>284</v>
      </c>
      <c r="D189" t="s">
        <v>76</v>
      </c>
      <c r="E189" t="s">
        <v>107</v>
      </c>
      <c r="F189" t="s">
        <v>125</v>
      </c>
      <c r="G189" t="s">
        <v>128</v>
      </c>
      <c r="H189" t="s">
        <v>285</v>
      </c>
      <c r="I189" t="s">
        <v>86</v>
      </c>
      <c r="J189" t="s">
        <v>317</v>
      </c>
      <c r="K189" t="s">
        <v>57</v>
      </c>
    </row>
    <row r="190" spans="1:11" x14ac:dyDescent="0.35">
      <c r="A190" t="s">
        <v>525</v>
      </c>
      <c r="B190">
        <v>2024</v>
      </c>
      <c r="C190" t="s">
        <v>284</v>
      </c>
      <c r="D190" t="s">
        <v>85</v>
      </c>
      <c r="E190" t="s">
        <v>117</v>
      </c>
      <c r="F190" t="s">
        <v>129</v>
      </c>
      <c r="G190" t="s">
        <v>130</v>
      </c>
      <c r="H190" t="s">
        <v>285</v>
      </c>
      <c r="I190" t="s">
        <v>86</v>
      </c>
      <c r="J190" t="s">
        <v>405</v>
      </c>
      <c r="K190" t="s">
        <v>57</v>
      </c>
    </row>
    <row r="191" spans="1:11" x14ac:dyDescent="0.35">
      <c r="A191" t="s">
        <v>526</v>
      </c>
      <c r="B191">
        <v>2024</v>
      </c>
      <c r="C191" t="s">
        <v>284</v>
      </c>
      <c r="D191" t="s">
        <v>85</v>
      </c>
      <c r="E191" t="s">
        <v>116</v>
      </c>
      <c r="F191" t="s">
        <v>129</v>
      </c>
      <c r="G191" t="s">
        <v>130</v>
      </c>
      <c r="H191" t="s">
        <v>285</v>
      </c>
      <c r="I191" t="s">
        <v>77</v>
      </c>
      <c r="J191" t="s">
        <v>286</v>
      </c>
      <c r="K191" t="s">
        <v>57</v>
      </c>
    </row>
    <row r="192" spans="1:11" x14ac:dyDescent="0.35">
      <c r="A192" t="s">
        <v>527</v>
      </c>
      <c r="B192">
        <v>2024</v>
      </c>
      <c r="C192" t="s">
        <v>284</v>
      </c>
      <c r="D192" t="s">
        <v>85</v>
      </c>
      <c r="E192" t="s">
        <v>117</v>
      </c>
      <c r="F192" t="s">
        <v>129</v>
      </c>
      <c r="G192" t="s">
        <v>128</v>
      </c>
      <c r="H192" t="s">
        <v>285</v>
      </c>
      <c r="I192" t="s">
        <v>288</v>
      </c>
      <c r="J192" t="s">
        <v>288</v>
      </c>
      <c r="K192" t="s">
        <v>57</v>
      </c>
    </row>
    <row r="193" spans="1:11" x14ac:dyDescent="0.35">
      <c r="A193" t="s">
        <v>528</v>
      </c>
      <c r="B193">
        <v>2024</v>
      </c>
      <c r="C193" t="s">
        <v>284</v>
      </c>
      <c r="D193" t="s">
        <v>85</v>
      </c>
      <c r="E193" t="s">
        <v>117</v>
      </c>
      <c r="F193" t="s">
        <v>131</v>
      </c>
      <c r="G193" t="s">
        <v>128</v>
      </c>
      <c r="H193" t="s">
        <v>285</v>
      </c>
      <c r="I193" t="s">
        <v>289</v>
      </c>
      <c r="J193" t="s">
        <v>347</v>
      </c>
      <c r="K193" t="s">
        <v>57</v>
      </c>
    </row>
    <row r="194" spans="1:11" x14ac:dyDescent="0.35">
      <c r="A194" t="s">
        <v>529</v>
      </c>
      <c r="B194">
        <v>2024</v>
      </c>
      <c r="C194" t="s">
        <v>284</v>
      </c>
      <c r="D194" t="s">
        <v>85</v>
      </c>
      <c r="E194" t="s">
        <v>117</v>
      </c>
      <c r="F194" t="s">
        <v>127</v>
      </c>
      <c r="G194" t="s">
        <v>132</v>
      </c>
      <c r="H194" t="s">
        <v>285</v>
      </c>
      <c r="I194" t="s">
        <v>86</v>
      </c>
      <c r="J194" t="s">
        <v>317</v>
      </c>
      <c r="K194" t="s">
        <v>57</v>
      </c>
    </row>
    <row r="195" spans="1:11" x14ac:dyDescent="0.35">
      <c r="A195" t="s">
        <v>530</v>
      </c>
      <c r="B195">
        <v>2024</v>
      </c>
      <c r="C195" t="s">
        <v>284</v>
      </c>
      <c r="D195" t="s">
        <v>85</v>
      </c>
      <c r="E195" t="s">
        <v>116</v>
      </c>
      <c r="F195" t="s">
        <v>129</v>
      </c>
      <c r="G195" t="s">
        <v>128</v>
      </c>
      <c r="H195" t="s">
        <v>285</v>
      </c>
      <c r="I195" t="s">
        <v>77</v>
      </c>
      <c r="J195" t="s">
        <v>286</v>
      </c>
      <c r="K195" t="s">
        <v>57</v>
      </c>
    </row>
    <row r="196" spans="1:11" x14ac:dyDescent="0.35">
      <c r="A196" t="s">
        <v>531</v>
      </c>
      <c r="B196">
        <v>2024</v>
      </c>
      <c r="C196" t="s">
        <v>284</v>
      </c>
      <c r="D196" t="s">
        <v>76</v>
      </c>
      <c r="E196" t="s">
        <v>119</v>
      </c>
      <c r="F196" t="s">
        <v>125</v>
      </c>
      <c r="G196" t="s">
        <v>128</v>
      </c>
      <c r="H196" t="s">
        <v>285</v>
      </c>
      <c r="I196" t="s">
        <v>86</v>
      </c>
      <c r="J196" t="s">
        <v>532</v>
      </c>
      <c r="K196" t="s">
        <v>57</v>
      </c>
    </row>
    <row r="197" spans="1:11" x14ac:dyDescent="0.35">
      <c r="A197" t="s">
        <v>533</v>
      </c>
      <c r="B197">
        <v>2024</v>
      </c>
      <c r="C197" t="s">
        <v>284</v>
      </c>
      <c r="D197" t="s">
        <v>76</v>
      </c>
      <c r="E197" t="s">
        <v>115</v>
      </c>
      <c r="F197" t="s">
        <v>125</v>
      </c>
      <c r="G197" t="s">
        <v>128</v>
      </c>
      <c r="H197" t="s">
        <v>285</v>
      </c>
      <c r="I197" t="s">
        <v>77</v>
      </c>
      <c r="J197" t="s">
        <v>317</v>
      </c>
      <c r="K197" t="s">
        <v>57</v>
      </c>
    </row>
    <row r="198" spans="1:11" x14ac:dyDescent="0.35">
      <c r="A198" t="s">
        <v>534</v>
      </c>
      <c r="B198">
        <v>2024</v>
      </c>
      <c r="C198" t="s">
        <v>284</v>
      </c>
      <c r="D198" t="s">
        <v>76</v>
      </c>
      <c r="E198" t="s">
        <v>115</v>
      </c>
      <c r="F198" t="s">
        <v>133</v>
      </c>
      <c r="G198" t="s">
        <v>132</v>
      </c>
      <c r="H198" t="s">
        <v>285</v>
      </c>
      <c r="I198" t="s">
        <v>535</v>
      </c>
      <c r="J198" t="s">
        <v>286</v>
      </c>
      <c r="K198" t="s">
        <v>57</v>
      </c>
    </row>
    <row r="199" spans="1:11" x14ac:dyDescent="0.35">
      <c r="A199" t="s">
        <v>536</v>
      </c>
      <c r="B199">
        <v>2024</v>
      </c>
      <c r="C199" t="s">
        <v>284</v>
      </c>
      <c r="D199" t="s">
        <v>85</v>
      </c>
      <c r="E199" t="s">
        <v>377</v>
      </c>
      <c r="F199" t="s">
        <v>131</v>
      </c>
      <c r="G199" t="s">
        <v>128</v>
      </c>
      <c r="H199" t="s">
        <v>285</v>
      </c>
      <c r="I199" t="s">
        <v>337</v>
      </c>
      <c r="J199" t="s">
        <v>537</v>
      </c>
      <c r="K199" t="s">
        <v>42</v>
      </c>
    </row>
    <row r="200" spans="1:11" x14ac:dyDescent="0.35">
      <c r="A200" t="s">
        <v>538</v>
      </c>
      <c r="B200">
        <v>2024</v>
      </c>
      <c r="C200" t="s">
        <v>284</v>
      </c>
      <c r="D200" t="s">
        <v>85</v>
      </c>
      <c r="E200" t="s">
        <v>116</v>
      </c>
      <c r="F200" t="s">
        <v>129</v>
      </c>
      <c r="G200" t="s">
        <v>128</v>
      </c>
      <c r="H200" t="s">
        <v>285</v>
      </c>
      <c r="I200" t="s">
        <v>86</v>
      </c>
      <c r="J200" t="s">
        <v>286</v>
      </c>
      <c r="K200" t="s">
        <v>57</v>
      </c>
    </row>
    <row r="201" spans="1:11" x14ac:dyDescent="0.35">
      <c r="A201" t="s">
        <v>539</v>
      </c>
      <c r="B201">
        <v>2024</v>
      </c>
      <c r="C201" t="s">
        <v>284</v>
      </c>
      <c r="D201" t="s">
        <v>76</v>
      </c>
      <c r="E201" t="s">
        <v>119</v>
      </c>
      <c r="F201" t="s">
        <v>288</v>
      </c>
      <c r="G201" t="s">
        <v>128</v>
      </c>
      <c r="H201" t="s">
        <v>357</v>
      </c>
      <c r="I201" t="s">
        <v>86</v>
      </c>
      <c r="J201" t="s">
        <v>331</v>
      </c>
      <c r="K201" t="s">
        <v>42</v>
      </c>
    </row>
    <row r="202" spans="1:11" x14ac:dyDescent="0.35">
      <c r="A202" t="s">
        <v>540</v>
      </c>
      <c r="B202">
        <v>2024</v>
      </c>
      <c r="C202" t="s">
        <v>284</v>
      </c>
      <c r="D202" t="s">
        <v>85</v>
      </c>
      <c r="E202" t="s">
        <v>120</v>
      </c>
      <c r="F202" t="s">
        <v>127</v>
      </c>
      <c r="G202" t="s">
        <v>128</v>
      </c>
      <c r="H202" t="s">
        <v>285</v>
      </c>
      <c r="I202" t="s">
        <v>77</v>
      </c>
      <c r="J202" t="s">
        <v>286</v>
      </c>
      <c r="K202" t="s">
        <v>57</v>
      </c>
    </row>
    <row r="203" spans="1:11" x14ac:dyDescent="0.35">
      <c r="A203" t="s">
        <v>541</v>
      </c>
      <c r="B203">
        <v>2024</v>
      </c>
      <c r="C203" t="s">
        <v>284</v>
      </c>
      <c r="D203" t="s">
        <v>76</v>
      </c>
      <c r="E203" t="s">
        <v>111</v>
      </c>
      <c r="F203" t="s">
        <v>125</v>
      </c>
      <c r="G203" t="s">
        <v>130</v>
      </c>
      <c r="H203" t="s">
        <v>285</v>
      </c>
      <c r="I203" t="s">
        <v>288</v>
      </c>
      <c r="J203" t="s">
        <v>286</v>
      </c>
      <c r="K203" t="s">
        <v>57</v>
      </c>
    </row>
    <row r="204" spans="1:11" x14ac:dyDescent="0.35">
      <c r="A204" t="s">
        <v>542</v>
      </c>
      <c r="B204">
        <v>2024</v>
      </c>
      <c r="C204" t="s">
        <v>284</v>
      </c>
      <c r="D204" t="s">
        <v>76</v>
      </c>
      <c r="E204" t="s">
        <v>119</v>
      </c>
      <c r="F204" t="s">
        <v>127</v>
      </c>
      <c r="G204" t="s">
        <v>126</v>
      </c>
      <c r="H204" t="s">
        <v>285</v>
      </c>
      <c r="I204" t="s">
        <v>288</v>
      </c>
      <c r="J204" t="s">
        <v>286</v>
      </c>
      <c r="K204" t="s">
        <v>57</v>
      </c>
    </row>
    <row r="205" spans="1:11" x14ac:dyDescent="0.35">
      <c r="A205" t="s">
        <v>543</v>
      </c>
      <c r="B205">
        <v>2024</v>
      </c>
      <c r="C205" t="s">
        <v>284</v>
      </c>
      <c r="D205" t="s">
        <v>85</v>
      </c>
      <c r="E205" t="s">
        <v>116</v>
      </c>
      <c r="F205" t="s">
        <v>131</v>
      </c>
      <c r="G205" t="s">
        <v>130</v>
      </c>
      <c r="H205" t="s">
        <v>305</v>
      </c>
      <c r="I205" t="s">
        <v>289</v>
      </c>
      <c r="J205" t="s">
        <v>544</v>
      </c>
      <c r="K205" t="s">
        <v>57</v>
      </c>
    </row>
    <row r="206" spans="1:11" x14ac:dyDescent="0.35">
      <c r="A206" t="s">
        <v>545</v>
      </c>
      <c r="B206">
        <v>2024</v>
      </c>
      <c r="C206" t="s">
        <v>284</v>
      </c>
      <c r="D206" t="s">
        <v>76</v>
      </c>
      <c r="E206" t="s">
        <v>115</v>
      </c>
      <c r="F206" t="s">
        <v>129</v>
      </c>
      <c r="G206" t="s">
        <v>132</v>
      </c>
      <c r="H206" t="s">
        <v>357</v>
      </c>
      <c r="I206" t="s">
        <v>77</v>
      </c>
      <c r="J206" t="s">
        <v>286</v>
      </c>
      <c r="K206" t="s">
        <v>57</v>
      </c>
    </row>
    <row r="207" spans="1:11" x14ac:dyDescent="0.35">
      <c r="A207" t="s">
        <v>546</v>
      </c>
      <c r="B207">
        <v>2024</v>
      </c>
      <c r="C207" t="s">
        <v>284</v>
      </c>
      <c r="D207" t="s">
        <v>85</v>
      </c>
      <c r="E207" t="s">
        <v>116</v>
      </c>
      <c r="F207" t="s">
        <v>129</v>
      </c>
      <c r="G207" t="s">
        <v>130</v>
      </c>
      <c r="H207" t="s">
        <v>285</v>
      </c>
      <c r="I207" t="s">
        <v>289</v>
      </c>
      <c r="J207" t="s">
        <v>286</v>
      </c>
      <c r="K207" t="s">
        <v>57</v>
      </c>
    </row>
    <row r="208" spans="1:11" x14ac:dyDescent="0.35">
      <c r="A208" t="s">
        <v>547</v>
      </c>
      <c r="B208">
        <v>2024</v>
      </c>
      <c r="C208" t="s">
        <v>284</v>
      </c>
      <c r="D208" t="s">
        <v>85</v>
      </c>
      <c r="E208" t="s">
        <v>117</v>
      </c>
      <c r="F208" t="s">
        <v>127</v>
      </c>
      <c r="G208" t="s">
        <v>132</v>
      </c>
      <c r="H208" t="s">
        <v>305</v>
      </c>
      <c r="I208" t="s">
        <v>426</v>
      </c>
      <c r="J208" t="s">
        <v>326</v>
      </c>
      <c r="K208" t="s">
        <v>57</v>
      </c>
    </row>
    <row r="209" spans="1:11" x14ac:dyDescent="0.35">
      <c r="A209" t="s">
        <v>548</v>
      </c>
      <c r="B209">
        <v>2024</v>
      </c>
      <c r="C209" t="s">
        <v>284</v>
      </c>
      <c r="D209" t="s">
        <v>76</v>
      </c>
      <c r="E209" t="s">
        <v>108</v>
      </c>
      <c r="F209" t="s">
        <v>125</v>
      </c>
      <c r="G209" t="s">
        <v>128</v>
      </c>
      <c r="H209" t="s">
        <v>285</v>
      </c>
      <c r="I209" t="s">
        <v>288</v>
      </c>
      <c r="J209" t="s">
        <v>405</v>
      </c>
      <c r="K209" t="s">
        <v>57</v>
      </c>
    </row>
    <row r="210" spans="1:11" x14ac:dyDescent="0.35">
      <c r="A210" t="s">
        <v>549</v>
      </c>
      <c r="B210">
        <v>2024</v>
      </c>
      <c r="C210" t="s">
        <v>284</v>
      </c>
      <c r="D210" t="s">
        <v>85</v>
      </c>
      <c r="E210" t="s">
        <v>116</v>
      </c>
      <c r="F210" t="s">
        <v>129</v>
      </c>
      <c r="G210" t="s">
        <v>128</v>
      </c>
      <c r="H210" t="s">
        <v>305</v>
      </c>
      <c r="I210" t="s">
        <v>86</v>
      </c>
      <c r="J210" t="s">
        <v>317</v>
      </c>
      <c r="K210" t="s">
        <v>57</v>
      </c>
    </row>
    <row r="211" spans="1:11" x14ac:dyDescent="0.35">
      <c r="A211" t="s">
        <v>550</v>
      </c>
      <c r="B211">
        <v>2024</v>
      </c>
      <c r="C211" t="s">
        <v>284</v>
      </c>
      <c r="D211" t="s">
        <v>76</v>
      </c>
      <c r="E211" t="s">
        <v>119</v>
      </c>
      <c r="F211" t="s">
        <v>125</v>
      </c>
      <c r="G211" t="s">
        <v>128</v>
      </c>
      <c r="H211" t="s">
        <v>285</v>
      </c>
      <c r="I211" t="s">
        <v>77</v>
      </c>
      <c r="J211" t="s">
        <v>551</v>
      </c>
      <c r="K211" t="s">
        <v>42</v>
      </c>
    </row>
    <row r="212" spans="1:11" x14ac:dyDescent="0.35">
      <c r="A212" t="s">
        <v>552</v>
      </c>
      <c r="B212">
        <v>2024</v>
      </c>
      <c r="C212" t="s">
        <v>284</v>
      </c>
      <c r="D212" t="s">
        <v>85</v>
      </c>
      <c r="E212" t="s">
        <v>117</v>
      </c>
      <c r="F212" t="s">
        <v>127</v>
      </c>
      <c r="G212" t="s">
        <v>128</v>
      </c>
      <c r="H212" t="s">
        <v>305</v>
      </c>
      <c r="I212" t="s">
        <v>86</v>
      </c>
      <c r="J212" t="s">
        <v>308</v>
      </c>
      <c r="K212" t="s">
        <v>42</v>
      </c>
    </row>
    <row r="213" spans="1:11" x14ac:dyDescent="0.35">
      <c r="A213" t="s">
        <v>553</v>
      </c>
      <c r="B213">
        <v>2024</v>
      </c>
      <c r="C213" t="s">
        <v>284</v>
      </c>
      <c r="D213" t="s">
        <v>85</v>
      </c>
      <c r="E213" t="s">
        <v>116</v>
      </c>
      <c r="F213" t="s">
        <v>131</v>
      </c>
      <c r="G213" t="s">
        <v>130</v>
      </c>
      <c r="H213" t="s">
        <v>285</v>
      </c>
      <c r="I213" t="s">
        <v>333</v>
      </c>
      <c r="J213" t="s">
        <v>286</v>
      </c>
      <c r="K213" t="s">
        <v>57</v>
      </c>
    </row>
    <row r="214" spans="1:11" x14ac:dyDescent="0.35">
      <c r="A214" t="s">
        <v>554</v>
      </c>
      <c r="B214">
        <v>2024</v>
      </c>
      <c r="C214" t="s">
        <v>284</v>
      </c>
      <c r="D214" t="s">
        <v>85</v>
      </c>
      <c r="E214" t="s">
        <v>115</v>
      </c>
      <c r="F214" t="s">
        <v>127</v>
      </c>
      <c r="G214" t="s">
        <v>130</v>
      </c>
      <c r="H214" t="s">
        <v>285</v>
      </c>
      <c r="I214" t="s">
        <v>86</v>
      </c>
      <c r="J214" t="s">
        <v>317</v>
      </c>
      <c r="K214" t="s">
        <v>57</v>
      </c>
    </row>
    <row r="215" spans="1:11" x14ac:dyDescent="0.35">
      <c r="A215" t="s">
        <v>555</v>
      </c>
      <c r="B215">
        <v>2024</v>
      </c>
      <c r="C215" t="s">
        <v>284</v>
      </c>
      <c r="D215" t="s">
        <v>85</v>
      </c>
      <c r="E215" t="s">
        <v>117</v>
      </c>
      <c r="F215" t="s">
        <v>129</v>
      </c>
      <c r="G215" t="s">
        <v>128</v>
      </c>
      <c r="H215" t="s">
        <v>305</v>
      </c>
      <c r="I215" t="s">
        <v>289</v>
      </c>
      <c r="J215" t="s">
        <v>556</v>
      </c>
      <c r="K215" t="s">
        <v>42</v>
      </c>
    </row>
    <row r="216" spans="1:11" x14ac:dyDescent="0.35">
      <c r="A216" t="s">
        <v>557</v>
      </c>
      <c r="B216">
        <v>2024</v>
      </c>
      <c r="C216" t="s">
        <v>284</v>
      </c>
      <c r="D216" t="s">
        <v>85</v>
      </c>
      <c r="E216" t="s">
        <v>116</v>
      </c>
      <c r="F216" t="s">
        <v>129</v>
      </c>
      <c r="G216" t="s">
        <v>132</v>
      </c>
      <c r="H216" t="s">
        <v>305</v>
      </c>
      <c r="I216" t="s">
        <v>337</v>
      </c>
      <c r="J216" t="s">
        <v>286</v>
      </c>
      <c r="K216" t="s">
        <v>57</v>
      </c>
    </row>
    <row r="217" spans="1:11" x14ac:dyDescent="0.35">
      <c r="A217" t="s">
        <v>558</v>
      </c>
      <c r="B217">
        <v>2024</v>
      </c>
      <c r="C217" t="s">
        <v>284</v>
      </c>
      <c r="D217" t="s">
        <v>76</v>
      </c>
      <c r="E217" t="s">
        <v>115</v>
      </c>
      <c r="F217" t="s">
        <v>133</v>
      </c>
      <c r="G217" t="s">
        <v>132</v>
      </c>
      <c r="H217" t="s">
        <v>297</v>
      </c>
      <c r="I217" t="s">
        <v>559</v>
      </c>
      <c r="J217" t="s">
        <v>560</v>
      </c>
      <c r="K217" t="s">
        <v>42</v>
      </c>
    </row>
    <row r="218" spans="1:11" x14ac:dyDescent="0.35">
      <c r="A218" t="s">
        <v>561</v>
      </c>
      <c r="B218">
        <v>2024</v>
      </c>
      <c r="C218" t="s">
        <v>284</v>
      </c>
      <c r="D218" t="s">
        <v>85</v>
      </c>
      <c r="E218" t="s">
        <v>117</v>
      </c>
      <c r="F218" t="s">
        <v>288</v>
      </c>
      <c r="G218" t="s">
        <v>132</v>
      </c>
      <c r="H218" t="s">
        <v>305</v>
      </c>
      <c r="I218" t="s">
        <v>288</v>
      </c>
      <c r="J218" t="s">
        <v>288</v>
      </c>
      <c r="K218" t="s">
        <v>57</v>
      </c>
    </row>
    <row r="219" spans="1:11" x14ac:dyDescent="0.35">
      <c r="A219" t="s">
        <v>562</v>
      </c>
      <c r="B219">
        <v>2024</v>
      </c>
      <c r="C219" t="s">
        <v>284</v>
      </c>
      <c r="D219" t="s">
        <v>85</v>
      </c>
      <c r="E219" t="s">
        <v>120</v>
      </c>
      <c r="F219" t="s">
        <v>133</v>
      </c>
      <c r="G219" t="s">
        <v>128</v>
      </c>
      <c r="H219" t="s">
        <v>305</v>
      </c>
      <c r="I219" t="s">
        <v>77</v>
      </c>
      <c r="J219" t="s">
        <v>286</v>
      </c>
      <c r="K219" t="s">
        <v>57</v>
      </c>
    </row>
    <row r="220" spans="1:11" x14ac:dyDescent="0.35">
      <c r="A220" t="s">
        <v>563</v>
      </c>
      <c r="B220">
        <v>2024</v>
      </c>
      <c r="C220" t="s">
        <v>284</v>
      </c>
      <c r="D220" t="s">
        <v>76</v>
      </c>
      <c r="E220" t="s">
        <v>107</v>
      </c>
      <c r="F220" t="s">
        <v>288</v>
      </c>
      <c r="G220" t="s">
        <v>126</v>
      </c>
      <c r="H220" t="s">
        <v>285</v>
      </c>
      <c r="I220" t="s">
        <v>86</v>
      </c>
      <c r="J220" t="s">
        <v>286</v>
      </c>
      <c r="K220" t="s">
        <v>57</v>
      </c>
    </row>
    <row r="221" spans="1:11" x14ac:dyDescent="0.35">
      <c r="A221" t="s">
        <v>564</v>
      </c>
      <c r="B221">
        <v>2024</v>
      </c>
      <c r="C221" t="s">
        <v>284</v>
      </c>
      <c r="D221" t="s">
        <v>85</v>
      </c>
      <c r="E221" t="s">
        <v>117</v>
      </c>
      <c r="F221" t="s">
        <v>127</v>
      </c>
      <c r="G221" t="s">
        <v>132</v>
      </c>
      <c r="H221" t="s">
        <v>305</v>
      </c>
      <c r="I221" t="s">
        <v>565</v>
      </c>
      <c r="J221" t="s">
        <v>566</v>
      </c>
      <c r="K221" t="s">
        <v>42</v>
      </c>
    </row>
    <row r="222" spans="1:11" x14ac:dyDescent="0.35">
      <c r="A222" t="s">
        <v>567</v>
      </c>
      <c r="B222">
        <v>2024</v>
      </c>
      <c r="C222" t="s">
        <v>284</v>
      </c>
      <c r="D222" t="s">
        <v>76</v>
      </c>
      <c r="E222" t="s">
        <v>115</v>
      </c>
      <c r="F222" t="s">
        <v>288</v>
      </c>
      <c r="G222" t="s">
        <v>126</v>
      </c>
      <c r="H222" t="s">
        <v>305</v>
      </c>
      <c r="I222" t="s">
        <v>77</v>
      </c>
      <c r="J222" t="s">
        <v>286</v>
      </c>
      <c r="K222" t="s">
        <v>57</v>
      </c>
    </row>
    <row r="223" spans="1:11" x14ac:dyDescent="0.35">
      <c r="A223" t="s">
        <v>568</v>
      </c>
      <c r="B223">
        <v>2024</v>
      </c>
      <c r="C223" t="s">
        <v>284</v>
      </c>
      <c r="D223" t="s">
        <v>85</v>
      </c>
      <c r="E223" t="s">
        <v>116</v>
      </c>
      <c r="F223" t="s">
        <v>129</v>
      </c>
      <c r="G223" t="s">
        <v>130</v>
      </c>
      <c r="H223" t="s">
        <v>285</v>
      </c>
      <c r="I223" t="s">
        <v>86</v>
      </c>
      <c r="J223" t="s">
        <v>286</v>
      </c>
      <c r="K223" t="s">
        <v>57</v>
      </c>
    </row>
    <row r="224" spans="1:11" x14ac:dyDescent="0.35">
      <c r="A224" t="s">
        <v>569</v>
      </c>
      <c r="B224">
        <v>2024</v>
      </c>
      <c r="C224" t="s">
        <v>284</v>
      </c>
      <c r="D224" t="s">
        <v>85</v>
      </c>
      <c r="E224" t="s">
        <v>116</v>
      </c>
      <c r="F224" t="s">
        <v>127</v>
      </c>
      <c r="G224" t="s">
        <v>128</v>
      </c>
      <c r="H224" t="s">
        <v>285</v>
      </c>
      <c r="I224" t="s">
        <v>289</v>
      </c>
      <c r="J224" t="s">
        <v>286</v>
      </c>
      <c r="K224" t="s">
        <v>57</v>
      </c>
    </row>
    <row r="225" spans="1:11" x14ac:dyDescent="0.35">
      <c r="A225" t="s">
        <v>570</v>
      </c>
      <c r="B225">
        <v>2024</v>
      </c>
      <c r="C225" t="s">
        <v>284</v>
      </c>
      <c r="D225" t="s">
        <v>85</v>
      </c>
      <c r="E225" t="s">
        <v>120</v>
      </c>
      <c r="F225" t="s">
        <v>129</v>
      </c>
      <c r="G225" t="s">
        <v>128</v>
      </c>
      <c r="H225" t="s">
        <v>357</v>
      </c>
      <c r="I225" t="s">
        <v>77</v>
      </c>
      <c r="J225" t="s">
        <v>571</v>
      </c>
      <c r="K225" t="s">
        <v>42</v>
      </c>
    </row>
    <row r="226" spans="1:11" x14ac:dyDescent="0.35">
      <c r="A226" t="s">
        <v>572</v>
      </c>
      <c r="B226">
        <v>2024</v>
      </c>
      <c r="C226" t="s">
        <v>284</v>
      </c>
      <c r="D226" t="s">
        <v>85</v>
      </c>
      <c r="E226" t="s">
        <v>117</v>
      </c>
      <c r="F226" t="s">
        <v>133</v>
      </c>
      <c r="G226" t="s">
        <v>130</v>
      </c>
      <c r="H226" t="s">
        <v>305</v>
      </c>
      <c r="I226" t="s">
        <v>351</v>
      </c>
      <c r="J226" t="s">
        <v>326</v>
      </c>
      <c r="K226" t="s">
        <v>57</v>
      </c>
    </row>
    <row r="227" spans="1:11" x14ac:dyDescent="0.35">
      <c r="A227" t="s">
        <v>573</v>
      </c>
      <c r="B227">
        <v>2024</v>
      </c>
      <c r="C227" t="s">
        <v>284</v>
      </c>
      <c r="D227" t="s">
        <v>85</v>
      </c>
      <c r="E227" t="s">
        <v>344</v>
      </c>
      <c r="F227" t="s">
        <v>131</v>
      </c>
      <c r="G227" t="s">
        <v>128</v>
      </c>
      <c r="H227" t="s">
        <v>305</v>
      </c>
      <c r="I227" t="s">
        <v>77</v>
      </c>
      <c r="J227" t="s">
        <v>286</v>
      </c>
      <c r="K227" t="s">
        <v>57</v>
      </c>
    </row>
    <row r="228" spans="1:11" x14ac:dyDescent="0.35">
      <c r="A228" t="s">
        <v>574</v>
      </c>
      <c r="B228">
        <v>2024</v>
      </c>
      <c r="C228" t="s">
        <v>284</v>
      </c>
      <c r="D228" t="s">
        <v>85</v>
      </c>
      <c r="E228" t="s">
        <v>116</v>
      </c>
      <c r="F228" t="s">
        <v>288</v>
      </c>
      <c r="G228" t="s">
        <v>128</v>
      </c>
      <c r="H228" t="s">
        <v>285</v>
      </c>
      <c r="I228" t="s">
        <v>77</v>
      </c>
      <c r="J228" t="s">
        <v>288</v>
      </c>
      <c r="K228" t="s">
        <v>57</v>
      </c>
    </row>
    <row r="229" spans="1:11" x14ac:dyDescent="0.35">
      <c r="A229" t="s">
        <v>575</v>
      </c>
      <c r="B229">
        <v>2024</v>
      </c>
      <c r="C229" t="s">
        <v>284</v>
      </c>
      <c r="D229" t="s">
        <v>85</v>
      </c>
      <c r="E229" t="s">
        <v>120</v>
      </c>
      <c r="F229" t="s">
        <v>131</v>
      </c>
      <c r="G229" t="s">
        <v>130</v>
      </c>
      <c r="H229" t="s">
        <v>305</v>
      </c>
      <c r="I229" t="s">
        <v>77</v>
      </c>
      <c r="J229" t="s">
        <v>317</v>
      </c>
      <c r="K229" t="s">
        <v>57</v>
      </c>
    </row>
    <row r="230" spans="1:11" x14ac:dyDescent="0.35">
      <c r="A230" t="s">
        <v>576</v>
      </c>
      <c r="B230">
        <v>2024</v>
      </c>
      <c r="C230" t="s">
        <v>284</v>
      </c>
      <c r="D230" t="s">
        <v>76</v>
      </c>
      <c r="E230" t="s">
        <v>118</v>
      </c>
      <c r="F230" t="s">
        <v>129</v>
      </c>
      <c r="G230" t="s">
        <v>128</v>
      </c>
      <c r="H230" t="s">
        <v>285</v>
      </c>
      <c r="I230" t="s">
        <v>86</v>
      </c>
      <c r="J230" t="s">
        <v>347</v>
      </c>
      <c r="K230" t="s">
        <v>57</v>
      </c>
    </row>
    <row r="231" spans="1:11" x14ac:dyDescent="0.35">
      <c r="A231" t="s">
        <v>577</v>
      </c>
      <c r="B231">
        <v>2024</v>
      </c>
      <c r="C231" t="s">
        <v>284</v>
      </c>
      <c r="D231" t="s">
        <v>76</v>
      </c>
      <c r="E231" t="s">
        <v>107</v>
      </c>
      <c r="F231" t="s">
        <v>125</v>
      </c>
      <c r="G231" t="s">
        <v>128</v>
      </c>
      <c r="H231" t="s">
        <v>285</v>
      </c>
      <c r="I231" t="s">
        <v>86</v>
      </c>
      <c r="J231" t="s">
        <v>308</v>
      </c>
      <c r="K231" t="s">
        <v>42</v>
      </c>
    </row>
    <row r="232" spans="1:11" x14ac:dyDescent="0.35">
      <c r="A232" t="s">
        <v>578</v>
      </c>
      <c r="B232">
        <v>2024</v>
      </c>
      <c r="C232" t="s">
        <v>284</v>
      </c>
      <c r="D232" t="s">
        <v>85</v>
      </c>
      <c r="E232" t="s">
        <v>117</v>
      </c>
      <c r="F232" t="s">
        <v>129</v>
      </c>
      <c r="G232" t="s">
        <v>126</v>
      </c>
      <c r="H232" t="s">
        <v>305</v>
      </c>
      <c r="I232" t="s">
        <v>86</v>
      </c>
      <c r="J232" t="s">
        <v>288</v>
      </c>
      <c r="K232" t="s">
        <v>57</v>
      </c>
    </row>
    <row r="233" spans="1:11" x14ac:dyDescent="0.35">
      <c r="A233" t="s">
        <v>579</v>
      </c>
      <c r="B233">
        <v>2024</v>
      </c>
      <c r="C233" t="s">
        <v>284</v>
      </c>
      <c r="D233" t="s">
        <v>76</v>
      </c>
      <c r="E233" t="s">
        <v>115</v>
      </c>
      <c r="F233" t="s">
        <v>288</v>
      </c>
      <c r="G233" t="s">
        <v>132</v>
      </c>
      <c r="H233" t="s">
        <v>297</v>
      </c>
      <c r="I233" t="s">
        <v>86</v>
      </c>
      <c r="J233" t="s">
        <v>405</v>
      </c>
      <c r="K233" t="s">
        <v>57</v>
      </c>
    </row>
    <row r="234" spans="1:11" x14ac:dyDescent="0.35">
      <c r="A234" t="s">
        <v>580</v>
      </c>
      <c r="B234">
        <v>2024</v>
      </c>
      <c r="C234" t="s">
        <v>284</v>
      </c>
      <c r="D234" t="s">
        <v>85</v>
      </c>
      <c r="E234" t="s">
        <v>116</v>
      </c>
      <c r="F234" t="s">
        <v>131</v>
      </c>
      <c r="G234" t="s">
        <v>126</v>
      </c>
      <c r="H234" t="s">
        <v>285</v>
      </c>
      <c r="I234" t="s">
        <v>288</v>
      </c>
      <c r="J234" t="s">
        <v>286</v>
      </c>
      <c r="K234" t="s">
        <v>57</v>
      </c>
    </row>
    <row r="235" spans="1:11" x14ac:dyDescent="0.35">
      <c r="A235" t="s">
        <v>581</v>
      </c>
      <c r="B235">
        <v>2024</v>
      </c>
      <c r="C235" t="s">
        <v>284</v>
      </c>
      <c r="D235" t="s">
        <v>76</v>
      </c>
      <c r="E235" t="s">
        <v>360</v>
      </c>
      <c r="F235" t="s">
        <v>129</v>
      </c>
      <c r="G235" t="s">
        <v>132</v>
      </c>
      <c r="H235" t="s">
        <v>285</v>
      </c>
      <c r="I235" t="s">
        <v>77</v>
      </c>
      <c r="J235" t="s">
        <v>286</v>
      </c>
      <c r="K235" t="s">
        <v>57</v>
      </c>
    </row>
    <row r="236" spans="1:11" x14ac:dyDescent="0.35">
      <c r="A236" t="s">
        <v>582</v>
      </c>
      <c r="B236">
        <v>2024</v>
      </c>
      <c r="C236" t="s">
        <v>284</v>
      </c>
      <c r="D236" t="s">
        <v>85</v>
      </c>
      <c r="E236" t="s">
        <v>120</v>
      </c>
      <c r="F236" t="s">
        <v>129</v>
      </c>
      <c r="G236" t="s">
        <v>132</v>
      </c>
      <c r="H236" t="s">
        <v>285</v>
      </c>
      <c r="I236" t="s">
        <v>426</v>
      </c>
      <c r="J236" t="s">
        <v>286</v>
      </c>
      <c r="K236" t="s">
        <v>57</v>
      </c>
    </row>
    <row r="237" spans="1:11" x14ac:dyDescent="0.35">
      <c r="A237" t="s">
        <v>583</v>
      </c>
      <c r="B237">
        <v>2024</v>
      </c>
      <c r="C237" t="s">
        <v>284</v>
      </c>
      <c r="D237" t="s">
        <v>85</v>
      </c>
      <c r="E237" t="s">
        <v>117</v>
      </c>
      <c r="F237" t="s">
        <v>131</v>
      </c>
      <c r="G237" t="s">
        <v>130</v>
      </c>
      <c r="H237" t="s">
        <v>305</v>
      </c>
      <c r="I237" t="s">
        <v>289</v>
      </c>
      <c r="J237" t="s">
        <v>403</v>
      </c>
      <c r="K237" t="s">
        <v>57</v>
      </c>
    </row>
    <row r="238" spans="1:11" x14ac:dyDescent="0.35">
      <c r="A238" t="s">
        <v>584</v>
      </c>
      <c r="B238">
        <v>2024</v>
      </c>
      <c r="C238" t="s">
        <v>284</v>
      </c>
      <c r="D238" t="s">
        <v>76</v>
      </c>
      <c r="E238" t="s">
        <v>115</v>
      </c>
      <c r="F238" t="s">
        <v>125</v>
      </c>
      <c r="G238" t="s">
        <v>132</v>
      </c>
      <c r="H238" t="s">
        <v>357</v>
      </c>
      <c r="I238" t="s">
        <v>86</v>
      </c>
      <c r="J238" t="s">
        <v>585</v>
      </c>
      <c r="K238" t="s">
        <v>42</v>
      </c>
    </row>
    <row r="239" spans="1:11" x14ac:dyDescent="0.35">
      <c r="A239" t="s">
        <v>586</v>
      </c>
      <c r="B239">
        <v>2024</v>
      </c>
      <c r="C239" t="s">
        <v>284</v>
      </c>
      <c r="D239" t="s">
        <v>76</v>
      </c>
      <c r="E239" t="s">
        <v>115</v>
      </c>
      <c r="F239" t="s">
        <v>288</v>
      </c>
      <c r="G239" t="s">
        <v>128</v>
      </c>
      <c r="H239" t="s">
        <v>357</v>
      </c>
      <c r="I239" t="s">
        <v>289</v>
      </c>
      <c r="J239" t="s">
        <v>286</v>
      </c>
      <c r="K239" t="s">
        <v>57</v>
      </c>
    </row>
    <row r="240" spans="1:11" x14ac:dyDescent="0.35">
      <c r="A240" t="s">
        <v>587</v>
      </c>
      <c r="B240">
        <v>2024</v>
      </c>
      <c r="C240" t="s">
        <v>284</v>
      </c>
      <c r="D240" t="s">
        <v>76</v>
      </c>
      <c r="E240" t="s">
        <v>113</v>
      </c>
      <c r="F240" t="s">
        <v>127</v>
      </c>
      <c r="G240" t="s">
        <v>132</v>
      </c>
      <c r="H240" t="s">
        <v>285</v>
      </c>
      <c r="I240" t="s">
        <v>77</v>
      </c>
      <c r="J240" t="s">
        <v>286</v>
      </c>
      <c r="K240" t="s">
        <v>57</v>
      </c>
    </row>
    <row r="241" spans="1:11" x14ac:dyDescent="0.35">
      <c r="A241" t="s">
        <v>588</v>
      </c>
      <c r="B241">
        <v>2024</v>
      </c>
      <c r="C241" t="s">
        <v>284</v>
      </c>
      <c r="D241" t="s">
        <v>85</v>
      </c>
      <c r="E241" t="s">
        <v>116</v>
      </c>
      <c r="F241" t="s">
        <v>127</v>
      </c>
      <c r="G241" t="s">
        <v>126</v>
      </c>
      <c r="H241" t="s">
        <v>285</v>
      </c>
      <c r="I241" t="s">
        <v>86</v>
      </c>
      <c r="J241" t="s">
        <v>326</v>
      </c>
      <c r="K241" t="s">
        <v>57</v>
      </c>
    </row>
    <row r="242" spans="1:11" x14ac:dyDescent="0.35">
      <c r="A242" t="s">
        <v>589</v>
      </c>
      <c r="B242">
        <v>2024</v>
      </c>
      <c r="C242" t="s">
        <v>284</v>
      </c>
      <c r="D242" t="s">
        <v>76</v>
      </c>
      <c r="E242" t="s">
        <v>119</v>
      </c>
      <c r="F242" t="s">
        <v>131</v>
      </c>
      <c r="G242" t="s">
        <v>130</v>
      </c>
      <c r="H242" t="s">
        <v>357</v>
      </c>
      <c r="I242" t="s">
        <v>590</v>
      </c>
      <c r="J242" t="s">
        <v>591</v>
      </c>
      <c r="K242" t="s">
        <v>42</v>
      </c>
    </row>
    <row r="243" spans="1:11" x14ac:dyDescent="0.35">
      <c r="A243" t="s">
        <v>592</v>
      </c>
      <c r="B243">
        <v>2024</v>
      </c>
      <c r="C243" t="s">
        <v>284</v>
      </c>
      <c r="D243" t="s">
        <v>85</v>
      </c>
      <c r="E243" t="s">
        <v>117</v>
      </c>
      <c r="F243" t="s">
        <v>125</v>
      </c>
      <c r="G243" t="s">
        <v>126</v>
      </c>
      <c r="H243" t="s">
        <v>305</v>
      </c>
      <c r="I243" t="s">
        <v>86</v>
      </c>
      <c r="J243" t="s">
        <v>326</v>
      </c>
      <c r="K243" t="s">
        <v>57</v>
      </c>
    </row>
    <row r="244" spans="1:11" x14ac:dyDescent="0.35">
      <c r="A244" t="s">
        <v>593</v>
      </c>
      <c r="B244">
        <v>2024</v>
      </c>
      <c r="C244" t="s">
        <v>284</v>
      </c>
      <c r="D244" t="s">
        <v>76</v>
      </c>
      <c r="E244" t="s">
        <v>119</v>
      </c>
      <c r="F244" t="s">
        <v>127</v>
      </c>
      <c r="G244" t="s">
        <v>132</v>
      </c>
      <c r="H244" t="s">
        <v>285</v>
      </c>
      <c r="I244" t="s">
        <v>86</v>
      </c>
      <c r="J244" t="s">
        <v>417</v>
      </c>
      <c r="K244" t="s">
        <v>42</v>
      </c>
    </row>
    <row r="245" spans="1:11" x14ac:dyDescent="0.35">
      <c r="A245" t="s">
        <v>594</v>
      </c>
      <c r="B245">
        <v>2024</v>
      </c>
      <c r="C245" t="s">
        <v>284</v>
      </c>
      <c r="D245" t="s">
        <v>76</v>
      </c>
      <c r="E245" t="s">
        <v>108</v>
      </c>
      <c r="F245" t="s">
        <v>125</v>
      </c>
      <c r="G245" t="s">
        <v>126</v>
      </c>
      <c r="H245" t="s">
        <v>285</v>
      </c>
      <c r="I245" t="s">
        <v>86</v>
      </c>
      <c r="J245" t="s">
        <v>317</v>
      </c>
      <c r="K245" t="s">
        <v>57</v>
      </c>
    </row>
    <row r="246" spans="1:11" x14ac:dyDescent="0.35">
      <c r="A246" t="s">
        <v>595</v>
      </c>
      <c r="B246">
        <v>2024</v>
      </c>
      <c r="C246" t="s">
        <v>284</v>
      </c>
      <c r="D246" t="s">
        <v>85</v>
      </c>
      <c r="E246" t="s">
        <v>117</v>
      </c>
      <c r="F246" t="s">
        <v>288</v>
      </c>
      <c r="G246" t="s">
        <v>128</v>
      </c>
      <c r="H246" t="s">
        <v>305</v>
      </c>
      <c r="I246" t="s">
        <v>86</v>
      </c>
      <c r="J246" t="s">
        <v>288</v>
      </c>
      <c r="K246" t="s">
        <v>57</v>
      </c>
    </row>
    <row r="247" spans="1:11" x14ac:dyDescent="0.35">
      <c r="A247" t="s">
        <v>596</v>
      </c>
      <c r="B247">
        <v>2024</v>
      </c>
      <c r="C247" t="s">
        <v>284</v>
      </c>
      <c r="D247" t="s">
        <v>85</v>
      </c>
      <c r="E247" t="s">
        <v>116</v>
      </c>
      <c r="F247" t="s">
        <v>129</v>
      </c>
      <c r="G247" t="s">
        <v>132</v>
      </c>
      <c r="H247" t="s">
        <v>285</v>
      </c>
      <c r="I247" t="s">
        <v>337</v>
      </c>
      <c r="J247" t="s">
        <v>405</v>
      </c>
      <c r="K247" t="s">
        <v>57</v>
      </c>
    </row>
    <row r="248" spans="1:11" x14ac:dyDescent="0.35">
      <c r="A248" t="s">
        <v>597</v>
      </c>
      <c r="B248">
        <v>2024</v>
      </c>
      <c r="C248" t="s">
        <v>284</v>
      </c>
      <c r="D248" t="s">
        <v>85</v>
      </c>
      <c r="E248" t="s">
        <v>116</v>
      </c>
      <c r="F248" t="s">
        <v>131</v>
      </c>
      <c r="G248" t="s">
        <v>126</v>
      </c>
      <c r="H248" t="s">
        <v>285</v>
      </c>
      <c r="I248" t="s">
        <v>337</v>
      </c>
      <c r="J248" t="s">
        <v>306</v>
      </c>
      <c r="K248" t="s">
        <v>57</v>
      </c>
    </row>
    <row r="249" spans="1:11" x14ac:dyDescent="0.35">
      <c r="A249" t="s">
        <v>598</v>
      </c>
      <c r="B249">
        <v>2024</v>
      </c>
      <c r="C249" t="s">
        <v>284</v>
      </c>
      <c r="D249" t="s">
        <v>76</v>
      </c>
      <c r="E249" t="s">
        <v>599</v>
      </c>
      <c r="F249" t="s">
        <v>125</v>
      </c>
      <c r="G249" t="s">
        <v>128</v>
      </c>
      <c r="H249" t="s">
        <v>285</v>
      </c>
      <c r="I249" t="s">
        <v>86</v>
      </c>
      <c r="J249" t="s">
        <v>317</v>
      </c>
      <c r="K249" t="s">
        <v>57</v>
      </c>
    </row>
    <row r="250" spans="1:11" x14ac:dyDescent="0.35">
      <c r="A250" t="s">
        <v>600</v>
      </c>
      <c r="B250">
        <v>2024</v>
      </c>
      <c r="C250" t="s">
        <v>284</v>
      </c>
      <c r="D250" t="s">
        <v>76</v>
      </c>
      <c r="E250" t="s">
        <v>115</v>
      </c>
      <c r="F250" t="s">
        <v>129</v>
      </c>
      <c r="G250" t="s">
        <v>128</v>
      </c>
      <c r="H250" t="s">
        <v>285</v>
      </c>
      <c r="I250" t="s">
        <v>337</v>
      </c>
      <c r="J250" t="s">
        <v>481</v>
      </c>
      <c r="K250" t="s">
        <v>42</v>
      </c>
    </row>
    <row r="251" spans="1:11" x14ac:dyDescent="0.35">
      <c r="A251" t="s">
        <v>601</v>
      </c>
      <c r="B251">
        <v>2024</v>
      </c>
      <c r="C251" t="s">
        <v>284</v>
      </c>
      <c r="D251" t="s">
        <v>76</v>
      </c>
      <c r="E251" t="s">
        <v>114</v>
      </c>
      <c r="F251" t="s">
        <v>129</v>
      </c>
      <c r="G251" t="s">
        <v>128</v>
      </c>
      <c r="H251" t="s">
        <v>285</v>
      </c>
      <c r="I251" t="s">
        <v>77</v>
      </c>
      <c r="J251" t="s">
        <v>286</v>
      </c>
      <c r="K251" t="s">
        <v>57</v>
      </c>
    </row>
    <row r="252" spans="1:11" x14ac:dyDescent="0.35">
      <c r="A252" t="s">
        <v>602</v>
      </c>
      <c r="B252">
        <v>2024</v>
      </c>
      <c r="C252" t="s">
        <v>284</v>
      </c>
      <c r="D252" t="s">
        <v>85</v>
      </c>
      <c r="E252" t="s">
        <v>117</v>
      </c>
      <c r="F252" t="s">
        <v>288</v>
      </c>
      <c r="G252" t="s">
        <v>132</v>
      </c>
      <c r="H252" t="s">
        <v>305</v>
      </c>
      <c r="I252" t="s">
        <v>86</v>
      </c>
      <c r="J252" t="s">
        <v>288</v>
      </c>
      <c r="K252" t="s">
        <v>57</v>
      </c>
    </row>
    <row r="253" spans="1:11" x14ac:dyDescent="0.35">
      <c r="A253" t="s">
        <v>603</v>
      </c>
      <c r="B253">
        <v>2024</v>
      </c>
      <c r="C253" t="s">
        <v>284</v>
      </c>
      <c r="D253" t="s">
        <v>76</v>
      </c>
      <c r="E253" t="s">
        <v>110</v>
      </c>
      <c r="F253" t="s">
        <v>125</v>
      </c>
      <c r="G253" t="s">
        <v>126</v>
      </c>
      <c r="H253" t="s">
        <v>285</v>
      </c>
      <c r="I253" t="s">
        <v>86</v>
      </c>
      <c r="J253" t="s">
        <v>286</v>
      </c>
      <c r="K253" t="s">
        <v>57</v>
      </c>
    </row>
    <row r="254" spans="1:11" x14ac:dyDescent="0.35">
      <c r="A254" t="s">
        <v>604</v>
      </c>
      <c r="B254">
        <v>2024</v>
      </c>
      <c r="C254" t="s">
        <v>284</v>
      </c>
      <c r="D254" t="s">
        <v>76</v>
      </c>
      <c r="E254" t="s">
        <v>115</v>
      </c>
      <c r="F254" t="s">
        <v>127</v>
      </c>
      <c r="G254" t="s">
        <v>128</v>
      </c>
      <c r="H254" t="s">
        <v>285</v>
      </c>
      <c r="I254" t="s">
        <v>77</v>
      </c>
      <c r="J254" t="s">
        <v>286</v>
      </c>
      <c r="K254" t="s">
        <v>57</v>
      </c>
    </row>
    <row r="255" spans="1:11" x14ac:dyDescent="0.35">
      <c r="A255" t="s">
        <v>605</v>
      </c>
      <c r="B255">
        <v>2024</v>
      </c>
      <c r="C255" t="s">
        <v>284</v>
      </c>
      <c r="D255" t="s">
        <v>85</v>
      </c>
      <c r="E255" t="s">
        <v>117</v>
      </c>
      <c r="F255" t="s">
        <v>129</v>
      </c>
      <c r="G255" t="s">
        <v>130</v>
      </c>
      <c r="H255" t="s">
        <v>305</v>
      </c>
      <c r="I255" t="s">
        <v>288</v>
      </c>
      <c r="J255" t="s">
        <v>288</v>
      </c>
      <c r="K255" t="s">
        <v>57</v>
      </c>
    </row>
    <row r="256" spans="1:11" x14ac:dyDescent="0.35">
      <c r="A256" t="s">
        <v>606</v>
      </c>
      <c r="B256">
        <v>2024</v>
      </c>
      <c r="C256" t="s">
        <v>284</v>
      </c>
      <c r="D256" t="s">
        <v>76</v>
      </c>
      <c r="E256" t="s">
        <v>108</v>
      </c>
      <c r="F256" t="s">
        <v>127</v>
      </c>
      <c r="G256" t="s">
        <v>128</v>
      </c>
      <c r="H256" t="s">
        <v>285</v>
      </c>
      <c r="I256" t="s">
        <v>461</v>
      </c>
      <c r="J256" t="s">
        <v>286</v>
      </c>
      <c r="K256" t="s">
        <v>57</v>
      </c>
    </row>
    <row r="257" spans="1:11" x14ac:dyDescent="0.35">
      <c r="A257" t="s">
        <v>607</v>
      </c>
      <c r="B257">
        <v>2024</v>
      </c>
      <c r="C257" t="s">
        <v>284</v>
      </c>
      <c r="D257" t="s">
        <v>76</v>
      </c>
      <c r="E257" t="s">
        <v>107</v>
      </c>
      <c r="F257" t="s">
        <v>125</v>
      </c>
      <c r="G257" t="s">
        <v>132</v>
      </c>
      <c r="H257" t="s">
        <v>285</v>
      </c>
      <c r="I257" t="s">
        <v>77</v>
      </c>
      <c r="J257" t="s">
        <v>308</v>
      </c>
      <c r="K257" t="s">
        <v>42</v>
      </c>
    </row>
    <row r="258" spans="1:11" x14ac:dyDescent="0.35">
      <c r="A258" t="s">
        <v>608</v>
      </c>
      <c r="B258">
        <v>2024</v>
      </c>
      <c r="C258" t="s">
        <v>284</v>
      </c>
      <c r="D258" t="s">
        <v>76</v>
      </c>
      <c r="E258" t="s">
        <v>118</v>
      </c>
      <c r="F258" t="s">
        <v>127</v>
      </c>
      <c r="G258" t="s">
        <v>128</v>
      </c>
      <c r="H258" t="s">
        <v>285</v>
      </c>
      <c r="I258" t="s">
        <v>333</v>
      </c>
      <c r="J258" t="s">
        <v>317</v>
      </c>
      <c r="K258" t="s">
        <v>57</v>
      </c>
    </row>
    <row r="259" spans="1:11" x14ac:dyDescent="0.35">
      <c r="A259" t="s">
        <v>609</v>
      </c>
      <c r="B259">
        <v>2024</v>
      </c>
      <c r="C259" t="s">
        <v>284</v>
      </c>
      <c r="D259" t="s">
        <v>85</v>
      </c>
      <c r="E259" t="s">
        <v>117</v>
      </c>
      <c r="F259" t="s">
        <v>127</v>
      </c>
      <c r="G259" t="s">
        <v>128</v>
      </c>
      <c r="H259" t="s">
        <v>305</v>
      </c>
      <c r="I259" t="s">
        <v>86</v>
      </c>
      <c r="J259" t="s">
        <v>347</v>
      </c>
      <c r="K259" t="s">
        <v>57</v>
      </c>
    </row>
    <row r="260" spans="1:11" x14ac:dyDescent="0.35">
      <c r="A260" t="s">
        <v>610</v>
      </c>
      <c r="B260">
        <v>2024</v>
      </c>
      <c r="C260" t="s">
        <v>284</v>
      </c>
      <c r="D260" t="s">
        <v>85</v>
      </c>
      <c r="E260" t="s">
        <v>120</v>
      </c>
      <c r="F260" t="s">
        <v>288</v>
      </c>
      <c r="G260" t="s">
        <v>130</v>
      </c>
      <c r="H260" t="s">
        <v>305</v>
      </c>
      <c r="I260" t="s">
        <v>86</v>
      </c>
      <c r="J260" t="s">
        <v>317</v>
      </c>
      <c r="K260" t="s">
        <v>57</v>
      </c>
    </row>
    <row r="261" spans="1:11" x14ac:dyDescent="0.35">
      <c r="A261" t="s">
        <v>611</v>
      </c>
      <c r="B261">
        <v>2024</v>
      </c>
      <c r="C261" t="s">
        <v>284</v>
      </c>
      <c r="D261" t="s">
        <v>85</v>
      </c>
      <c r="E261" t="s">
        <v>117</v>
      </c>
      <c r="F261" t="s">
        <v>127</v>
      </c>
      <c r="G261" t="s">
        <v>128</v>
      </c>
      <c r="H261" t="s">
        <v>305</v>
      </c>
      <c r="I261" t="s">
        <v>337</v>
      </c>
      <c r="J261" t="s">
        <v>612</v>
      </c>
      <c r="K261" t="s">
        <v>42</v>
      </c>
    </row>
    <row r="262" spans="1:11" x14ac:dyDescent="0.35">
      <c r="A262" t="s">
        <v>613</v>
      </c>
      <c r="B262">
        <v>2024</v>
      </c>
      <c r="C262" t="s">
        <v>284</v>
      </c>
      <c r="D262" t="s">
        <v>76</v>
      </c>
      <c r="E262" t="s">
        <v>118</v>
      </c>
      <c r="F262" t="s">
        <v>131</v>
      </c>
      <c r="G262" t="s">
        <v>126</v>
      </c>
      <c r="H262" t="s">
        <v>357</v>
      </c>
      <c r="I262" t="s">
        <v>77</v>
      </c>
      <c r="J262" t="s">
        <v>286</v>
      </c>
      <c r="K262" t="s">
        <v>57</v>
      </c>
    </row>
    <row r="263" spans="1:11" x14ac:dyDescent="0.35">
      <c r="A263" t="s">
        <v>614</v>
      </c>
      <c r="B263">
        <v>2024</v>
      </c>
      <c r="C263" t="s">
        <v>284</v>
      </c>
      <c r="D263" t="s">
        <v>85</v>
      </c>
      <c r="E263" t="s">
        <v>120</v>
      </c>
      <c r="F263" t="s">
        <v>288</v>
      </c>
      <c r="G263" t="s">
        <v>132</v>
      </c>
      <c r="H263" t="s">
        <v>305</v>
      </c>
      <c r="I263" t="s">
        <v>77</v>
      </c>
      <c r="J263" t="s">
        <v>361</v>
      </c>
      <c r="K263" t="s">
        <v>57</v>
      </c>
    </row>
    <row r="264" spans="1:11" x14ac:dyDescent="0.35">
      <c r="A264" t="s">
        <v>615</v>
      </c>
      <c r="B264">
        <v>2024</v>
      </c>
      <c r="C264" t="s">
        <v>284</v>
      </c>
      <c r="D264" t="s">
        <v>85</v>
      </c>
      <c r="E264" t="s">
        <v>117</v>
      </c>
      <c r="F264" t="s">
        <v>129</v>
      </c>
      <c r="G264" t="s">
        <v>128</v>
      </c>
      <c r="H264" t="s">
        <v>305</v>
      </c>
      <c r="I264" t="s">
        <v>289</v>
      </c>
      <c r="J264" t="s">
        <v>616</v>
      </c>
      <c r="K264" t="s">
        <v>42</v>
      </c>
    </row>
    <row r="265" spans="1:11" x14ac:dyDescent="0.35">
      <c r="A265" t="s">
        <v>617</v>
      </c>
      <c r="B265">
        <v>2024</v>
      </c>
      <c r="C265" t="s">
        <v>284</v>
      </c>
      <c r="D265" t="s">
        <v>85</v>
      </c>
      <c r="E265" t="s">
        <v>117</v>
      </c>
      <c r="F265" t="s">
        <v>129</v>
      </c>
      <c r="G265" t="s">
        <v>128</v>
      </c>
      <c r="H265" t="s">
        <v>305</v>
      </c>
      <c r="I265" t="s">
        <v>289</v>
      </c>
      <c r="J265" t="s">
        <v>616</v>
      </c>
      <c r="K265" t="s">
        <v>42</v>
      </c>
    </row>
    <row r="266" spans="1:11" x14ac:dyDescent="0.35">
      <c r="A266" t="s">
        <v>618</v>
      </c>
      <c r="B266">
        <v>2024</v>
      </c>
      <c r="C266" t="s">
        <v>284</v>
      </c>
      <c r="D266" t="s">
        <v>85</v>
      </c>
      <c r="E266" t="s">
        <v>117</v>
      </c>
      <c r="F266" t="s">
        <v>129</v>
      </c>
      <c r="G266" t="s">
        <v>128</v>
      </c>
      <c r="H266" t="s">
        <v>305</v>
      </c>
      <c r="I266" t="s">
        <v>86</v>
      </c>
      <c r="J266" t="s">
        <v>619</v>
      </c>
      <c r="K266" t="s">
        <v>42</v>
      </c>
    </row>
    <row r="267" spans="1:11" x14ac:dyDescent="0.35">
      <c r="A267" t="s">
        <v>620</v>
      </c>
      <c r="B267">
        <v>2024</v>
      </c>
      <c r="C267" t="s">
        <v>284</v>
      </c>
      <c r="D267" t="s">
        <v>85</v>
      </c>
      <c r="E267" t="s">
        <v>117</v>
      </c>
      <c r="F267" t="s">
        <v>288</v>
      </c>
      <c r="G267" t="s">
        <v>128</v>
      </c>
      <c r="H267" t="s">
        <v>305</v>
      </c>
      <c r="I267" t="s">
        <v>86</v>
      </c>
      <c r="J267" t="s">
        <v>619</v>
      </c>
      <c r="K267" t="s">
        <v>42</v>
      </c>
    </row>
    <row r="268" spans="1:11" x14ac:dyDescent="0.35">
      <c r="A268" t="s">
        <v>621</v>
      </c>
      <c r="B268">
        <v>2024</v>
      </c>
      <c r="C268" t="s">
        <v>284</v>
      </c>
      <c r="D268" t="s">
        <v>85</v>
      </c>
      <c r="E268" t="s">
        <v>117</v>
      </c>
      <c r="F268" t="s">
        <v>127</v>
      </c>
      <c r="G268" t="s">
        <v>128</v>
      </c>
      <c r="H268" t="s">
        <v>305</v>
      </c>
      <c r="I268" t="s">
        <v>86</v>
      </c>
      <c r="J268" t="s">
        <v>405</v>
      </c>
      <c r="K268" t="s">
        <v>57</v>
      </c>
    </row>
    <row r="269" spans="1:11" x14ac:dyDescent="0.35">
      <c r="A269" t="s">
        <v>622</v>
      </c>
      <c r="B269">
        <v>2024</v>
      </c>
      <c r="C269" t="s">
        <v>284</v>
      </c>
      <c r="D269" t="s">
        <v>76</v>
      </c>
      <c r="E269" t="s">
        <v>110</v>
      </c>
      <c r="F269" t="s">
        <v>125</v>
      </c>
      <c r="G269" t="s">
        <v>126</v>
      </c>
      <c r="H269" t="s">
        <v>285</v>
      </c>
      <c r="I269" t="s">
        <v>86</v>
      </c>
      <c r="J269" t="s">
        <v>286</v>
      </c>
      <c r="K269" t="s">
        <v>57</v>
      </c>
    </row>
    <row r="270" spans="1:11" x14ac:dyDescent="0.35">
      <c r="A270" t="s">
        <v>623</v>
      </c>
      <c r="B270">
        <v>2024</v>
      </c>
      <c r="C270" t="s">
        <v>284</v>
      </c>
      <c r="D270" t="s">
        <v>76</v>
      </c>
      <c r="E270" t="s">
        <v>109</v>
      </c>
      <c r="F270" t="s">
        <v>127</v>
      </c>
      <c r="G270" t="s">
        <v>128</v>
      </c>
      <c r="H270" t="s">
        <v>285</v>
      </c>
      <c r="I270" t="s">
        <v>77</v>
      </c>
      <c r="J270" t="s">
        <v>286</v>
      </c>
      <c r="K270" t="s">
        <v>57</v>
      </c>
    </row>
    <row r="271" spans="1:11" x14ac:dyDescent="0.35">
      <c r="A271" t="s">
        <v>624</v>
      </c>
      <c r="B271">
        <v>2024</v>
      </c>
      <c r="C271" t="s">
        <v>284</v>
      </c>
      <c r="D271" t="s">
        <v>76</v>
      </c>
      <c r="E271" t="s">
        <v>115</v>
      </c>
      <c r="F271" t="s">
        <v>288</v>
      </c>
      <c r="G271" t="s">
        <v>126</v>
      </c>
      <c r="H271" t="s">
        <v>357</v>
      </c>
      <c r="I271" t="s">
        <v>77</v>
      </c>
      <c r="J271" t="s">
        <v>288</v>
      </c>
      <c r="K271" t="s">
        <v>57</v>
      </c>
    </row>
    <row r="272" spans="1:11" x14ac:dyDescent="0.35">
      <c r="A272" t="s">
        <v>625</v>
      </c>
      <c r="B272">
        <v>2024</v>
      </c>
      <c r="C272" t="s">
        <v>284</v>
      </c>
      <c r="D272" t="s">
        <v>85</v>
      </c>
      <c r="E272" t="s">
        <v>344</v>
      </c>
      <c r="F272" t="s">
        <v>129</v>
      </c>
      <c r="G272" t="s">
        <v>128</v>
      </c>
      <c r="H272" t="s">
        <v>305</v>
      </c>
      <c r="I272" t="s">
        <v>289</v>
      </c>
      <c r="J272" t="s">
        <v>326</v>
      </c>
      <c r="K272" t="s">
        <v>57</v>
      </c>
    </row>
    <row r="273" spans="1:11" x14ac:dyDescent="0.35">
      <c r="A273" t="s">
        <v>626</v>
      </c>
      <c r="B273">
        <v>2024</v>
      </c>
      <c r="C273" t="s">
        <v>284</v>
      </c>
      <c r="D273" t="s">
        <v>85</v>
      </c>
      <c r="E273" t="s">
        <v>117</v>
      </c>
      <c r="F273" t="s">
        <v>131</v>
      </c>
      <c r="G273" t="s">
        <v>130</v>
      </c>
      <c r="H273" t="s">
        <v>305</v>
      </c>
      <c r="I273" t="s">
        <v>86</v>
      </c>
      <c r="J273" t="s">
        <v>347</v>
      </c>
      <c r="K273" t="s">
        <v>57</v>
      </c>
    </row>
    <row r="274" spans="1:11" x14ac:dyDescent="0.35">
      <c r="A274" t="s">
        <v>627</v>
      </c>
      <c r="B274">
        <v>2024</v>
      </c>
      <c r="C274" t="s">
        <v>284</v>
      </c>
      <c r="D274" t="s">
        <v>76</v>
      </c>
      <c r="E274" t="s">
        <v>107</v>
      </c>
      <c r="F274" t="s">
        <v>125</v>
      </c>
      <c r="G274" t="s">
        <v>128</v>
      </c>
      <c r="H274" t="s">
        <v>285</v>
      </c>
      <c r="I274" t="s">
        <v>86</v>
      </c>
      <c r="J274" t="s">
        <v>286</v>
      </c>
      <c r="K274" t="s">
        <v>57</v>
      </c>
    </row>
    <row r="275" spans="1:11" x14ac:dyDescent="0.35">
      <c r="A275" t="s">
        <v>628</v>
      </c>
      <c r="B275">
        <v>2024</v>
      </c>
      <c r="C275" t="s">
        <v>284</v>
      </c>
      <c r="D275" t="s">
        <v>76</v>
      </c>
      <c r="E275" t="s">
        <v>108</v>
      </c>
      <c r="F275" t="s">
        <v>125</v>
      </c>
      <c r="G275" t="s">
        <v>128</v>
      </c>
      <c r="H275" t="s">
        <v>285</v>
      </c>
      <c r="I275" t="s">
        <v>86</v>
      </c>
      <c r="J275" t="s">
        <v>308</v>
      </c>
      <c r="K275" t="s">
        <v>42</v>
      </c>
    </row>
    <row r="276" spans="1:11" x14ac:dyDescent="0.35">
      <c r="A276" t="s">
        <v>629</v>
      </c>
      <c r="B276">
        <v>2024</v>
      </c>
      <c r="C276" t="s">
        <v>284</v>
      </c>
      <c r="D276" t="s">
        <v>85</v>
      </c>
      <c r="E276" t="s">
        <v>116</v>
      </c>
      <c r="F276" t="s">
        <v>125</v>
      </c>
      <c r="G276" t="s">
        <v>128</v>
      </c>
      <c r="H276" t="s">
        <v>285</v>
      </c>
      <c r="I276" t="s">
        <v>319</v>
      </c>
      <c r="J276" t="s">
        <v>630</v>
      </c>
      <c r="K276" t="s">
        <v>42</v>
      </c>
    </row>
    <row r="277" spans="1:11" x14ac:dyDescent="0.35">
      <c r="A277" t="s">
        <v>631</v>
      </c>
      <c r="B277">
        <v>2024</v>
      </c>
      <c r="C277" t="s">
        <v>284</v>
      </c>
      <c r="D277" t="s">
        <v>76</v>
      </c>
      <c r="E277" t="s">
        <v>107</v>
      </c>
      <c r="F277" t="s">
        <v>125</v>
      </c>
      <c r="G277" t="s">
        <v>126</v>
      </c>
      <c r="H277" t="s">
        <v>285</v>
      </c>
      <c r="I277" t="s">
        <v>632</v>
      </c>
      <c r="J277" t="s">
        <v>286</v>
      </c>
      <c r="K277" t="s">
        <v>57</v>
      </c>
    </row>
    <row r="278" spans="1:11" x14ac:dyDescent="0.35">
      <c r="A278" t="s">
        <v>633</v>
      </c>
      <c r="B278">
        <v>2024</v>
      </c>
      <c r="C278" t="s">
        <v>284</v>
      </c>
      <c r="D278" t="s">
        <v>76</v>
      </c>
      <c r="E278" t="s">
        <v>118</v>
      </c>
      <c r="F278" t="s">
        <v>131</v>
      </c>
      <c r="G278" t="s">
        <v>130</v>
      </c>
      <c r="H278" t="s">
        <v>357</v>
      </c>
      <c r="I278" t="s">
        <v>77</v>
      </c>
      <c r="J278" t="s">
        <v>286</v>
      </c>
      <c r="K278" t="s">
        <v>57</v>
      </c>
    </row>
    <row r="279" spans="1:11" x14ac:dyDescent="0.35">
      <c r="A279" t="s">
        <v>634</v>
      </c>
      <c r="B279">
        <v>2024</v>
      </c>
      <c r="C279" t="s">
        <v>284</v>
      </c>
      <c r="D279" t="s">
        <v>76</v>
      </c>
      <c r="E279" t="s">
        <v>107</v>
      </c>
      <c r="F279" t="s">
        <v>125</v>
      </c>
      <c r="G279" t="s">
        <v>132</v>
      </c>
      <c r="H279" t="s">
        <v>285</v>
      </c>
      <c r="I279" t="s">
        <v>288</v>
      </c>
      <c r="J279" t="s">
        <v>347</v>
      </c>
      <c r="K279" t="s">
        <v>57</v>
      </c>
    </row>
    <row r="280" spans="1:11" x14ac:dyDescent="0.35">
      <c r="A280" t="s">
        <v>635</v>
      </c>
      <c r="B280">
        <v>2024</v>
      </c>
      <c r="C280" t="s">
        <v>284</v>
      </c>
      <c r="D280" t="s">
        <v>76</v>
      </c>
      <c r="E280" t="s">
        <v>119</v>
      </c>
      <c r="F280" t="s">
        <v>288</v>
      </c>
      <c r="G280" t="s">
        <v>132</v>
      </c>
      <c r="H280" t="s">
        <v>285</v>
      </c>
      <c r="I280" t="s">
        <v>461</v>
      </c>
      <c r="J280" t="s">
        <v>286</v>
      </c>
      <c r="K280" t="s">
        <v>57</v>
      </c>
    </row>
    <row r="281" spans="1:11" x14ac:dyDescent="0.35">
      <c r="A281" t="s">
        <v>636</v>
      </c>
      <c r="B281">
        <v>2024</v>
      </c>
      <c r="C281" t="s">
        <v>284</v>
      </c>
      <c r="D281" t="s">
        <v>76</v>
      </c>
      <c r="E281" t="s">
        <v>119</v>
      </c>
      <c r="F281" t="s">
        <v>125</v>
      </c>
      <c r="G281" t="s">
        <v>132</v>
      </c>
      <c r="H281" t="s">
        <v>285</v>
      </c>
      <c r="I281" t="s">
        <v>86</v>
      </c>
      <c r="J281" t="s">
        <v>288</v>
      </c>
      <c r="K281" t="s">
        <v>57</v>
      </c>
    </row>
    <row r="282" spans="1:11" x14ac:dyDescent="0.35">
      <c r="A282" t="s">
        <v>637</v>
      </c>
      <c r="B282">
        <v>2024</v>
      </c>
      <c r="C282" t="s">
        <v>284</v>
      </c>
      <c r="D282" t="s">
        <v>76</v>
      </c>
      <c r="E282" t="s">
        <v>119</v>
      </c>
      <c r="F282" t="s">
        <v>125</v>
      </c>
      <c r="G282" t="s">
        <v>128</v>
      </c>
      <c r="H282" t="s">
        <v>285</v>
      </c>
      <c r="I282" t="s">
        <v>638</v>
      </c>
      <c r="J282" t="s">
        <v>288</v>
      </c>
      <c r="K282" t="s">
        <v>57</v>
      </c>
    </row>
    <row r="283" spans="1:11" x14ac:dyDescent="0.35">
      <c r="A283" t="s">
        <v>639</v>
      </c>
      <c r="B283">
        <v>2024</v>
      </c>
      <c r="C283" t="s">
        <v>284</v>
      </c>
      <c r="D283" t="s">
        <v>76</v>
      </c>
      <c r="E283" t="s">
        <v>115</v>
      </c>
      <c r="F283" t="s">
        <v>125</v>
      </c>
      <c r="G283" t="s">
        <v>130</v>
      </c>
      <c r="H283" t="s">
        <v>285</v>
      </c>
      <c r="I283" t="s">
        <v>288</v>
      </c>
      <c r="J283" t="s">
        <v>286</v>
      </c>
      <c r="K283" t="s">
        <v>57</v>
      </c>
    </row>
    <row r="284" spans="1:11" x14ac:dyDescent="0.35">
      <c r="A284" t="s">
        <v>640</v>
      </c>
      <c r="B284">
        <v>2024</v>
      </c>
      <c r="C284" t="s">
        <v>284</v>
      </c>
      <c r="D284" t="s">
        <v>85</v>
      </c>
      <c r="E284" t="s">
        <v>117</v>
      </c>
      <c r="F284" t="s">
        <v>127</v>
      </c>
      <c r="G284" t="s">
        <v>130</v>
      </c>
      <c r="H284" t="s">
        <v>305</v>
      </c>
      <c r="I284" t="s">
        <v>86</v>
      </c>
      <c r="J284" t="s">
        <v>467</v>
      </c>
      <c r="K284" t="s">
        <v>57</v>
      </c>
    </row>
    <row r="285" spans="1:11" x14ac:dyDescent="0.35">
      <c r="A285" t="s">
        <v>641</v>
      </c>
      <c r="B285">
        <v>2024</v>
      </c>
      <c r="C285" t="s">
        <v>284</v>
      </c>
      <c r="D285" t="s">
        <v>76</v>
      </c>
      <c r="E285" t="s">
        <v>107</v>
      </c>
      <c r="F285" t="s">
        <v>125</v>
      </c>
      <c r="G285" t="s">
        <v>126</v>
      </c>
      <c r="H285" t="s">
        <v>285</v>
      </c>
      <c r="I285" t="s">
        <v>86</v>
      </c>
      <c r="J285" t="s">
        <v>286</v>
      </c>
      <c r="K285" t="s">
        <v>57</v>
      </c>
    </row>
    <row r="286" spans="1:11" x14ac:dyDescent="0.35">
      <c r="A286" t="s">
        <v>642</v>
      </c>
      <c r="B286">
        <v>2024</v>
      </c>
      <c r="C286" t="s">
        <v>284</v>
      </c>
      <c r="D286" t="s">
        <v>85</v>
      </c>
      <c r="E286" t="s">
        <v>116</v>
      </c>
      <c r="F286" t="s">
        <v>133</v>
      </c>
      <c r="G286" t="s">
        <v>128</v>
      </c>
      <c r="H286" t="s">
        <v>357</v>
      </c>
      <c r="I286" t="s">
        <v>289</v>
      </c>
      <c r="J286" t="s">
        <v>467</v>
      </c>
      <c r="K286" t="s">
        <v>57</v>
      </c>
    </row>
    <row r="287" spans="1:11" x14ac:dyDescent="0.35">
      <c r="A287" t="s">
        <v>643</v>
      </c>
      <c r="B287">
        <v>2024</v>
      </c>
      <c r="C287" t="s">
        <v>284</v>
      </c>
      <c r="D287" t="s">
        <v>85</v>
      </c>
      <c r="E287" t="s">
        <v>116</v>
      </c>
      <c r="F287" t="s">
        <v>288</v>
      </c>
      <c r="G287" t="s">
        <v>130</v>
      </c>
      <c r="H287" t="s">
        <v>285</v>
      </c>
      <c r="I287" t="s">
        <v>319</v>
      </c>
      <c r="J287" t="s">
        <v>644</v>
      </c>
      <c r="K287" t="s">
        <v>42</v>
      </c>
    </row>
    <row r="288" spans="1:11" x14ac:dyDescent="0.35">
      <c r="A288" t="s">
        <v>645</v>
      </c>
      <c r="B288">
        <v>2024</v>
      </c>
      <c r="C288" t="s">
        <v>284</v>
      </c>
      <c r="D288" t="s">
        <v>85</v>
      </c>
      <c r="E288" t="s">
        <v>116</v>
      </c>
      <c r="F288" t="s">
        <v>129</v>
      </c>
      <c r="G288" t="s">
        <v>130</v>
      </c>
      <c r="H288" t="s">
        <v>285</v>
      </c>
      <c r="I288" t="s">
        <v>319</v>
      </c>
      <c r="J288" t="s">
        <v>571</v>
      </c>
      <c r="K288" t="s">
        <v>42</v>
      </c>
    </row>
    <row r="289" spans="1:11" x14ac:dyDescent="0.35">
      <c r="A289" t="s">
        <v>646</v>
      </c>
      <c r="B289">
        <v>2024</v>
      </c>
      <c r="C289" t="s">
        <v>284</v>
      </c>
      <c r="D289" t="s">
        <v>85</v>
      </c>
      <c r="E289" t="s">
        <v>344</v>
      </c>
      <c r="F289" t="s">
        <v>133</v>
      </c>
      <c r="G289" t="s">
        <v>128</v>
      </c>
      <c r="H289" t="s">
        <v>285</v>
      </c>
      <c r="I289" t="s">
        <v>77</v>
      </c>
      <c r="J289" t="s">
        <v>286</v>
      </c>
      <c r="K289" t="s">
        <v>57</v>
      </c>
    </row>
    <row r="290" spans="1:11" x14ac:dyDescent="0.35">
      <c r="A290" t="s">
        <v>647</v>
      </c>
      <c r="B290">
        <v>2024</v>
      </c>
      <c r="C290" t="s">
        <v>284</v>
      </c>
      <c r="D290" t="s">
        <v>85</v>
      </c>
      <c r="E290" t="s">
        <v>116</v>
      </c>
      <c r="F290" t="s">
        <v>129</v>
      </c>
      <c r="G290" t="s">
        <v>128</v>
      </c>
      <c r="H290" t="s">
        <v>285</v>
      </c>
      <c r="I290" t="s">
        <v>289</v>
      </c>
      <c r="J290" t="s">
        <v>286</v>
      </c>
      <c r="K290" t="s">
        <v>57</v>
      </c>
    </row>
    <row r="291" spans="1:11" x14ac:dyDescent="0.35">
      <c r="A291" t="s">
        <v>648</v>
      </c>
      <c r="B291">
        <v>2024</v>
      </c>
      <c r="C291" t="s">
        <v>284</v>
      </c>
      <c r="D291" t="s">
        <v>76</v>
      </c>
      <c r="E291" t="s">
        <v>119</v>
      </c>
      <c r="F291" t="s">
        <v>125</v>
      </c>
      <c r="G291" t="s">
        <v>126</v>
      </c>
      <c r="H291" t="s">
        <v>285</v>
      </c>
      <c r="I291" t="s">
        <v>86</v>
      </c>
      <c r="J291" t="s">
        <v>288</v>
      </c>
      <c r="K291" t="s">
        <v>57</v>
      </c>
    </row>
    <row r="292" spans="1:11" x14ac:dyDescent="0.35">
      <c r="A292" t="s">
        <v>649</v>
      </c>
      <c r="B292">
        <v>2024</v>
      </c>
      <c r="C292" t="s">
        <v>284</v>
      </c>
      <c r="D292" t="s">
        <v>76</v>
      </c>
      <c r="E292" t="s">
        <v>119</v>
      </c>
      <c r="F292" t="s">
        <v>125</v>
      </c>
      <c r="G292" t="s">
        <v>128</v>
      </c>
      <c r="H292" t="s">
        <v>285</v>
      </c>
      <c r="I292" t="s">
        <v>77</v>
      </c>
      <c r="J292" t="s">
        <v>308</v>
      </c>
      <c r="K292" t="s">
        <v>42</v>
      </c>
    </row>
    <row r="293" spans="1:11" x14ac:dyDescent="0.35">
      <c r="A293" t="s">
        <v>650</v>
      </c>
      <c r="B293">
        <v>2024</v>
      </c>
      <c r="C293" t="s">
        <v>284</v>
      </c>
      <c r="D293" t="s">
        <v>85</v>
      </c>
      <c r="E293" t="s">
        <v>120</v>
      </c>
      <c r="F293" t="s">
        <v>288</v>
      </c>
      <c r="G293" t="s">
        <v>126</v>
      </c>
      <c r="H293" t="s">
        <v>357</v>
      </c>
      <c r="I293" t="s">
        <v>77</v>
      </c>
      <c r="J293" t="s">
        <v>317</v>
      </c>
      <c r="K293" t="s">
        <v>57</v>
      </c>
    </row>
    <row r="294" spans="1:11" x14ac:dyDescent="0.35">
      <c r="A294" t="s">
        <v>651</v>
      </c>
      <c r="B294">
        <v>2024</v>
      </c>
      <c r="C294" t="s">
        <v>284</v>
      </c>
      <c r="D294" t="s">
        <v>85</v>
      </c>
      <c r="E294" t="s">
        <v>120</v>
      </c>
      <c r="F294" t="s">
        <v>125</v>
      </c>
      <c r="G294" t="s">
        <v>132</v>
      </c>
      <c r="H294" t="s">
        <v>285</v>
      </c>
      <c r="I294" t="s">
        <v>86</v>
      </c>
      <c r="J294" t="s">
        <v>405</v>
      </c>
      <c r="K294" t="s">
        <v>57</v>
      </c>
    </row>
    <row r="295" spans="1:11" x14ac:dyDescent="0.35">
      <c r="A295" t="s">
        <v>652</v>
      </c>
      <c r="B295">
        <v>2024</v>
      </c>
      <c r="C295" t="s">
        <v>284</v>
      </c>
      <c r="D295" t="s">
        <v>85</v>
      </c>
      <c r="E295" t="s">
        <v>116</v>
      </c>
      <c r="F295" t="s">
        <v>129</v>
      </c>
      <c r="G295" t="s">
        <v>128</v>
      </c>
      <c r="H295" t="s">
        <v>285</v>
      </c>
      <c r="I295" t="s">
        <v>289</v>
      </c>
      <c r="J295" t="s">
        <v>317</v>
      </c>
      <c r="K295" t="s">
        <v>57</v>
      </c>
    </row>
    <row r="296" spans="1:11" x14ac:dyDescent="0.35">
      <c r="A296" t="s">
        <v>653</v>
      </c>
      <c r="B296">
        <v>2024</v>
      </c>
      <c r="C296" t="s">
        <v>284</v>
      </c>
      <c r="D296" t="s">
        <v>85</v>
      </c>
      <c r="E296" t="s">
        <v>116</v>
      </c>
      <c r="F296" t="s">
        <v>131</v>
      </c>
      <c r="G296" t="s">
        <v>128</v>
      </c>
      <c r="H296" t="s">
        <v>285</v>
      </c>
      <c r="I296" t="s">
        <v>77</v>
      </c>
      <c r="J296" t="s">
        <v>317</v>
      </c>
      <c r="K296" t="s">
        <v>57</v>
      </c>
    </row>
    <row r="297" spans="1:11" x14ac:dyDescent="0.35">
      <c r="A297" t="s">
        <v>654</v>
      </c>
      <c r="B297">
        <v>2024</v>
      </c>
      <c r="C297" t="s">
        <v>284</v>
      </c>
      <c r="D297" t="s">
        <v>85</v>
      </c>
      <c r="E297" t="s">
        <v>120</v>
      </c>
      <c r="F297" t="s">
        <v>129</v>
      </c>
      <c r="G297" t="s">
        <v>126</v>
      </c>
      <c r="H297" t="s">
        <v>285</v>
      </c>
      <c r="I297" t="s">
        <v>289</v>
      </c>
      <c r="J297" t="s">
        <v>286</v>
      </c>
      <c r="K297" t="s">
        <v>57</v>
      </c>
    </row>
    <row r="298" spans="1:11" x14ac:dyDescent="0.35">
      <c r="A298" t="s">
        <v>655</v>
      </c>
      <c r="B298">
        <v>2024</v>
      </c>
      <c r="C298" t="s">
        <v>284</v>
      </c>
      <c r="D298" t="s">
        <v>85</v>
      </c>
      <c r="E298" t="s">
        <v>117</v>
      </c>
      <c r="F298" t="s">
        <v>125</v>
      </c>
      <c r="G298" t="s">
        <v>130</v>
      </c>
      <c r="H298" t="s">
        <v>305</v>
      </c>
      <c r="I298" t="s">
        <v>86</v>
      </c>
      <c r="J298" t="s">
        <v>347</v>
      </c>
      <c r="K298" t="s">
        <v>57</v>
      </c>
    </row>
    <row r="299" spans="1:11" x14ac:dyDescent="0.35">
      <c r="A299" t="s">
        <v>656</v>
      </c>
      <c r="B299">
        <v>2024</v>
      </c>
      <c r="C299" t="s">
        <v>284</v>
      </c>
      <c r="D299" t="s">
        <v>85</v>
      </c>
      <c r="E299" t="s">
        <v>120</v>
      </c>
      <c r="F299" t="s">
        <v>134</v>
      </c>
      <c r="G299" t="s">
        <v>132</v>
      </c>
      <c r="H299" t="s">
        <v>285</v>
      </c>
      <c r="I299" t="s">
        <v>77</v>
      </c>
      <c r="J299" t="s">
        <v>286</v>
      </c>
      <c r="K299" t="s">
        <v>57</v>
      </c>
    </row>
    <row r="300" spans="1:11" x14ac:dyDescent="0.35">
      <c r="A300" t="s">
        <v>657</v>
      </c>
      <c r="B300">
        <v>2024</v>
      </c>
      <c r="C300" t="s">
        <v>284</v>
      </c>
      <c r="D300" t="s">
        <v>76</v>
      </c>
      <c r="E300" t="s">
        <v>118</v>
      </c>
      <c r="F300" t="s">
        <v>127</v>
      </c>
      <c r="G300" t="s">
        <v>130</v>
      </c>
      <c r="H300" t="s">
        <v>285</v>
      </c>
      <c r="I300" t="s">
        <v>77</v>
      </c>
      <c r="J300" t="s">
        <v>286</v>
      </c>
      <c r="K300" t="s">
        <v>57</v>
      </c>
    </row>
    <row r="301" spans="1:11" x14ac:dyDescent="0.35">
      <c r="A301" t="s">
        <v>658</v>
      </c>
      <c r="B301">
        <v>2024</v>
      </c>
      <c r="C301" t="s">
        <v>284</v>
      </c>
      <c r="D301" t="s">
        <v>85</v>
      </c>
      <c r="E301" t="s">
        <v>116</v>
      </c>
      <c r="F301" t="s">
        <v>129</v>
      </c>
      <c r="G301" t="s">
        <v>132</v>
      </c>
      <c r="H301" t="s">
        <v>285</v>
      </c>
      <c r="I301" t="s">
        <v>289</v>
      </c>
      <c r="J301" t="s">
        <v>317</v>
      </c>
      <c r="K301" t="s">
        <v>57</v>
      </c>
    </row>
    <row r="302" spans="1:11" x14ac:dyDescent="0.35">
      <c r="A302" t="s">
        <v>659</v>
      </c>
      <c r="B302">
        <v>2024</v>
      </c>
      <c r="C302" t="s">
        <v>284</v>
      </c>
      <c r="D302" t="s">
        <v>85</v>
      </c>
      <c r="E302" t="s">
        <v>117</v>
      </c>
      <c r="F302" t="s">
        <v>129</v>
      </c>
      <c r="G302" t="s">
        <v>132</v>
      </c>
      <c r="H302" t="s">
        <v>305</v>
      </c>
      <c r="I302" t="s">
        <v>86</v>
      </c>
      <c r="J302" t="s">
        <v>566</v>
      </c>
      <c r="K302" t="s">
        <v>42</v>
      </c>
    </row>
    <row r="303" spans="1:11" x14ac:dyDescent="0.35">
      <c r="A303" t="s">
        <v>660</v>
      </c>
      <c r="B303">
        <v>2024</v>
      </c>
      <c r="C303" t="s">
        <v>284</v>
      </c>
      <c r="D303" t="s">
        <v>76</v>
      </c>
      <c r="E303" t="s">
        <v>112</v>
      </c>
      <c r="F303" t="s">
        <v>129</v>
      </c>
      <c r="G303" t="s">
        <v>128</v>
      </c>
      <c r="H303" t="s">
        <v>285</v>
      </c>
      <c r="I303" t="s">
        <v>428</v>
      </c>
      <c r="J303" t="s">
        <v>308</v>
      </c>
      <c r="K303" t="s">
        <v>42</v>
      </c>
    </row>
    <row r="304" spans="1:11" x14ac:dyDescent="0.35">
      <c r="A304" t="s">
        <v>661</v>
      </c>
      <c r="B304">
        <v>2024</v>
      </c>
      <c r="C304" t="s">
        <v>284</v>
      </c>
      <c r="D304" t="s">
        <v>85</v>
      </c>
      <c r="E304" t="s">
        <v>116</v>
      </c>
      <c r="F304" t="s">
        <v>131</v>
      </c>
      <c r="G304" t="s">
        <v>130</v>
      </c>
      <c r="H304" t="s">
        <v>285</v>
      </c>
      <c r="I304" t="s">
        <v>86</v>
      </c>
      <c r="J304" t="s">
        <v>286</v>
      </c>
      <c r="K304" t="s">
        <v>57</v>
      </c>
    </row>
    <row r="305" spans="1:11" x14ac:dyDescent="0.35">
      <c r="A305" t="s">
        <v>662</v>
      </c>
      <c r="B305">
        <v>2024</v>
      </c>
      <c r="C305" t="s">
        <v>284</v>
      </c>
      <c r="D305" t="s">
        <v>76</v>
      </c>
      <c r="E305" t="s">
        <v>111</v>
      </c>
      <c r="F305" t="s">
        <v>125</v>
      </c>
      <c r="G305" t="s">
        <v>132</v>
      </c>
      <c r="H305" t="s">
        <v>285</v>
      </c>
      <c r="I305" t="s">
        <v>77</v>
      </c>
      <c r="J305" t="s">
        <v>409</v>
      </c>
      <c r="K305" t="s">
        <v>57</v>
      </c>
    </row>
    <row r="306" spans="1:11" x14ac:dyDescent="0.35">
      <c r="A306" t="s">
        <v>663</v>
      </c>
      <c r="B306">
        <v>2024</v>
      </c>
      <c r="C306" t="s">
        <v>284</v>
      </c>
      <c r="D306" t="s">
        <v>85</v>
      </c>
      <c r="E306" t="s">
        <v>116</v>
      </c>
      <c r="F306" t="s">
        <v>133</v>
      </c>
      <c r="G306" t="s">
        <v>130</v>
      </c>
      <c r="H306" t="s">
        <v>285</v>
      </c>
      <c r="I306" t="s">
        <v>426</v>
      </c>
      <c r="J306" t="s">
        <v>326</v>
      </c>
      <c r="K306" t="s">
        <v>57</v>
      </c>
    </row>
    <row r="307" spans="1:11" x14ac:dyDescent="0.35">
      <c r="A307" t="s">
        <v>664</v>
      </c>
      <c r="B307">
        <v>2024</v>
      </c>
      <c r="C307" t="s">
        <v>284</v>
      </c>
      <c r="D307" t="s">
        <v>76</v>
      </c>
      <c r="E307" t="s">
        <v>115</v>
      </c>
      <c r="F307" t="s">
        <v>127</v>
      </c>
      <c r="G307" t="s">
        <v>130</v>
      </c>
      <c r="H307" t="s">
        <v>357</v>
      </c>
      <c r="I307" t="s">
        <v>86</v>
      </c>
      <c r="J307" t="s">
        <v>326</v>
      </c>
      <c r="K307" t="s">
        <v>57</v>
      </c>
    </row>
    <row r="308" spans="1:11" x14ac:dyDescent="0.35">
      <c r="A308" t="s">
        <v>665</v>
      </c>
      <c r="B308">
        <v>2024</v>
      </c>
      <c r="C308" t="s">
        <v>284</v>
      </c>
      <c r="D308" t="s">
        <v>85</v>
      </c>
      <c r="E308" t="s">
        <v>116</v>
      </c>
      <c r="F308" t="s">
        <v>127</v>
      </c>
      <c r="G308" t="s">
        <v>128</v>
      </c>
      <c r="H308" t="s">
        <v>285</v>
      </c>
      <c r="I308" t="s">
        <v>86</v>
      </c>
      <c r="J308" t="s">
        <v>308</v>
      </c>
      <c r="K308" t="s">
        <v>42</v>
      </c>
    </row>
    <row r="309" spans="1:11" x14ac:dyDescent="0.35">
      <c r="A309" t="s">
        <v>666</v>
      </c>
      <c r="B309">
        <v>2024</v>
      </c>
      <c r="C309" t="s">
        <v>284</v>
      </c>
      <c r="D309" t="s">
        <v>85</v>
      </c>
      <c r="E309" t="s">
        <v>116</v>
      </c>
      <c r="F309" t="s">
        <v>125</v>
      </c>
      <c r="G309" t="s">
        <v>126</v>
      </c>
      <c r="H309" t="s">
        <v>285</v>
      </c>
      <c r="I309" t="s">
        <v>86</v>
      </c>
      <c r="J309" t="s">
        <v>317</v>
      </c>
      <c r="K309" t="s">
        <v>57</v>
      </c>
    </row>
    <row r="310" spans="1:11" x14ac:dyDescent="0.35">
      <c r="A310" t="s">
        <v>667</v>
      </c>
      <c r="B310">
        <v>2024</v>
      </c>
      <c r="C310" t="s">
        <v>284</v>
      </c>
      <c r="D310" t="s">
        <v>76</v>
      </c>
      <c r="E310" t="s">
        <v>360</v>
      </c>
      <c r="F310" t="s">
        <v>288</v>
      </c>
      <c r="G310" t="s">
        <v>132</v>
      </c>
      <c r="H310" t="s">
        <v>285</v>
      </c>
      <c r="I310" t="s">
        <v>86</v>
      </c>
      <c r="J310" t="s">
        <v>286</v>
      </c>
      <c r="K310" t="s">
        <v>57</v>
      </c>
    </row>
    <row r="311" spans="1:11" x14ac:dyDescent="0.35">
      <c r="A311" t="s">
        <v>668</v>
      </c>
      <c r="B311">
        <v>2024</v>
      </c>
      <c r="C311" t="s">
        <v>284</v>
      </c>
      <c r="D311" t="s">
        <v>76</v>
      </c>
      <c r="E311" t="s">
        <v>118</v>
      </c>
      <c r="F311" t="s">
        <v>131</v>
      </c>
      <c r="G311" t="s">
        <v>128</v>
      </c>
      <c r="H311" t="s">
        <v>285</v>
      </c>
      <c r="I311" t="s">
        <v>86</v>
      </c>
      <c r="J311" t="s">
        <v>317</v>
      </c>
      <c r="K311" t="s">
        <v>57</v>
      </c>
    </row>
    <row r="312" spans="1:11" x14ac:dyDescent="0.35">
      <c r="A312" t="s">
        <v>669</v>
      </c>
      <c r="B312">
        <v>2024</v>
      </c>
      <c r="C312" t="s">
        <v>284</v>
      </c>
      <c r="D312" t="s">
        <v>85</v>
      </c>
      <c r="E312" t="s">
        <v>117</v>
      </c>
      <c r="F312" t="s">
        <v>129</v>
      </c>
      <c r="G312" t="s">
        <v>132</v>
      </c>
      <c r="H312" t="s">
        <v>285</v>
      </c>
      <c r="I312" t="s">
        <v>86</v>
      </c>
      <c r="J312" t="s">
        <v>286</v>
      </c>
      <c r="K312" t="s">
        <v>57</v>
      </c>
    </row>
    <row r="313" spans="1:11" x14ac:dyDescent="0.35">
      <c r="A313" t="s">
        <v>670</v>
      </c>
      <c r="B313">
        <v>2024</v>
      </c>
      <c r="C313" t="s">
        <v>284</v>
      </c>
      <c r="D313" t="s">
        <v>76</v>
      </c>
      <c r="E313" t="s">
        <v>360</v>
      </c>
      <c r="F313" t="s">
        <v>134</v>
      </c>
      <c r="G313" t="s">
        <v>126</v>
      </c>
      <c r="H313" t="s">
        <v>285</v>
      </c>
      <c r="I313" t="s">
        <v>77</v>
      </c>
      <c r="J313" t="s">
        <v>286</v>
      </c>
      <c r="K313" t="s">
        <v>57</v>
      </c>
    </row>
    <row r="314" spans="1:11" x14ac:dyDescent="0.35">
      <c r="A314" t="s">
        <v>671</v>
      </c>
      <c r="B314">
        <v>2024</v>
      </c>
      <c r="C314" t="s">
        <v>284</v>
      </c>
      <c r="D314" t="s">
        <v>85</v>
      </c>
      <c r="E314" t="s">
        <v>120</v>
      </c>
      <c r="F314" t="s">
        <v>288</v>
      </c>
      <c r="G314" t="s">
        <v>132</v>
      </c>
      <c r="H314" t="s">
        <v>285</v>
      </c>
      <c r="I314" t="s">
        <v>86</v>
      </c>
      <c r="J314" t="s">
        <v>405</v>
      </c>
      <c r="K314" t="s">
        <v>57</v>
      </c>
    </row>
    <row r="315" spans="1:11" x14ac:dyDescent="0.35">
      <c r="A315" t="s">
        <v>672</v>
      </c>
      <c r="B315">
        <v>2024</v>
      </c>
      <c r="C315" t="s">
        <v>284</v>
      </c>
      <c r="D315" t="s">
        <v>76</v>
      </c>
      <c r="E315" t="s">
        <v>599</v>
      </c>
      <c r="F315" t="s">
        <v>125</v>
      </c>
      <c r="G315" t="s">
        <v>126</v>
      </c>
      <c r="H315" t="s">
        <v>285</v>
      </c>
      <c r="I315" t="s">
        <v>86</v>
      </c>
      <c r="J315" t="s">
        <v>447</v>
      </c>
      <c r="K315" t="s">
        <v>57</v>
      </c>
    </row>
    <row r="316" spans="1:11" x14ac:dyDescent="0.35">
      <c r="A316" t="s">
        <v>673</v>
      </c>
      <c r="B316">
        <v>2024</v>
      </c>
      <c r="C316" t="s">
        <v>284</v>
      </c>
      <c r="D316" t="s">
        <v>85</v>
      </c>
      <c r="E316" t="s">
        <v>115</v>
      </c>
      <c r="F316" t="s">
        <v>288</v>
      </c>
      <c r="G316" t="s">
        <v>130</v>
      </c>
      <c r="H316" t="s">
        <v>285</v>
      </c>
      <c r="I316" t="s">
        <v>86</v>
      </c>
      <c r="J316" t="s">
        <v>347</v>
      </c>
      <c r="K316" t="s">
        <v>57</v>
      </c>
    </row>
    <row r="317" spans="1:11" x14ac:dyDescent="0.35">
      <c r="A317" t="s">
        <v>674</v>
      </c>
      <c r="B317">
        <v>2024</v>
      </c>
      <c r="C317" t="s">
        <v>284</v>
      </c>
      <c r="D317" t="s">
        <v>76</v>
      </c>
      <c r="E317" t="s">
        <v>107</v>
      </c>
      <c r="F317" t="s">
        <v>127</v>
      </c>
      <c r="G317" t="s">
        <v>128</v>
      </c>
      <c r="H317" t="s">
        <v>285</v>
      </c>
      <c r="I317" t="s">
        <v>86</v>
      </c>
      <c r="J317" t="s">
        <v>317</v>
      </c>
      <c r="K317" t="s">
        <v>57</v>
      </c>
    </row>
    <row r="318" spans="1:11" x14ac:dyDescent="0.35">
      <c r="A318" t="s">
        <v>675</v>
      </c>
      <c r="B318">
        <v>2024</v>
      </c>
      <c r="C318" t="s">
        <v>284</v>
      </c>
      <c r="D318" t="s">
        <v>85</v>
      </c>
      <c r="E318" t="s">
        <v>377</v>
      </c>
      <c r="F318" t="s">
        <v>131</v>
      </c>
      <c r="G318" t="s">
        <v>128</v>
      </c>
      <c r="H318" t="s">
        <v>285</v>
      </c>
      <c r="I318" t="s">
        <v>289</v>
      </c>
      <c r="J318" t="s">
        <v>676</v>
      </c>
      <c r="K318" t="s">
        <v>42</v>
      </c>
    </row>
    <row r="319" spans="1:11" x14ac:dyDescent="0.35">
      <c r="A319" t="s">
        <v>677</v>
      </c>
      <c r="B319">
        <v>2024</v>
      </c>
      <c r="C319" t="s">
        <v>678</v>
      </c>
      <c r="D319" t="s">
        <v>76</v>
      </c>
      <c r="E319" t="s">
        <v>110</v>
      </c>
      <c r="F319" t="s">
        <v>125</v>
      </c>
      <c r="G319" t="s">
        <v>132</v>
      </c>
      <c r="H319" t="s">
        <v>285</v>
      </c>
      <c r="I319" t="s">
        <v>86</v>
      </c>
      <c r="J319" t="s">
        <v>286</v>
      </c>
      <c r="K319" t="s">
        <v>57</v>
      </c>
    </row>
    <row r="320" spans="1:11" x14ac:dyDescent="0.35">
      <c r="A320" t="s">
        <v>679</v>
      </c>
      <c r="B320">
        <v>2024</v>
      </c>
      <c r="C320" t="s">
        <v>678</v>
      </c>
      <c r="D320" t="s">
        <v>76</v>
      </c>
      <c r="E320" t="s">
        <v>110</v>
      </c>
      <c r="F320" t="s">
        <v>125</v>
      </c>
      <c r="G320" t="s">
        <v>132</v>
      </c>
      <c r="H320" t="s">
        <v>285</v>
      </c>
      <c r="I320" t="s">
        <v>86</v>
      </c>
      <c r="J320" t="s">
        <v>286</v>
      </c>
      <c r="K320" t="s">
        <v>57</v>
      </c>
    </row>
    <row r="321" spans="1:11" x14ac:dyDescent="0.35">
      <c r="A321" t="s">
        <v>680</v>
      </c>
      <c r="B321">
        <v>2024</v>
      </c>
      <c r="C321" t="s">
        <v>678</v>
      </c>
      <c r="D321" t="s">
        <v>85</v>
      </c>
      <c r="E321" t="s">
        <v>120</v>
      </c>
      <c r="F321" t="s">
        <v>288</v>
      </c>
      <c r="G321" t="s">
        <v>126</v>
      </c>
      <c r="H321" t="s">
        <v>285</v>
      </c>
      <c r="I321" t="s">
        <v>289</v>
      </c>
      <c r="J321" t="s">
        <v>409</v>
      </c>
      <c r="K321" t="s">
        <v>57</v>
      </c>
    </row>
    <row r="322" spans="1:11" x14ac:dyDescent="0.35">
      <c r="A322" t="s">
        <v>681</v>
      </c>
      <c r="B322">
        <v>2024</v>
      </c>
      <c r="C322" t="s">
        <v>678</v>
      </c>
      <c r="D322" t="s">
        <v>76</v>
      </c>
      <c r="E322" t="s">
        <v>115</v>
      </c>
      <c r="F322" t="s">
        <v>129</v>
      </c>
      <c r="G322" t="s">
        <v>132</v>
      </c>
      <c r="H322" t="s">
        <v>285</v>
      </c>
      <c r="I322" t="s">
        <v>77</v>
      </c>
      <c r="J322" t="s">
        <v>447</v>
      </c>
      <c r="K322" t="s">
        <v>57</v>
      </c>
    </row>
    <row r="323" spans="1:11" x14ac:dyDescent="0.35">
      <c r="A323" t="s">
        <v>682</v>
      </c>
      <c r="B323">
        <v>2024</v>
      </c>
      <c r="C323" t="s">
        <v>678</v>
      </c>
      <c r="D323" t="s">
        <v>85</v>
      </c>
      <c r="E323" t="s">
        <v>117</v>
      </c>
      <c r="F323" t="s">
        <v>129</v>
      </c>
      <c r="G323" t="s">
        <v>130</v>
      </c>
      <c r="H323" t="s">
        <v>285</v>
      </c>
      <c r="I323" t="s">
        <v>86</v>
      </c>
      <c r="J323" t="s">
        <v>288</v>
      </c>
      <c r="K323" t="s">
        <v>57</v>
      </c>
    </row>
    <row r="324" spans="1:11" x14ac:dyDescent="0.35">
      <c r="A324" t="s">
        <v>683</v>
      </c>
      <c r="B324">
        <v>2024</v>
      </c>
      <c r="C324" t="s">
        <v>678</v>
      </c>
      <c r="D324" t="s">
        <v>76</v>
      </c>
      <c r="E324" t="s">
        <v>599</v>
      </c>
      <c r="F324" t="s">
        <v>125</v>
      </c>
      <c r="G324" t="s">
        <v>132</v>
      </c>
      <c r="H324" t="s">
        <v>285</v>
      </c>
      <c r="I324" t="s">
        <v>77</v>
      </c>
      <c r="J324" t="s">
        <v>286</v>
      </c>
      <c r="K324" t="s">
        <v>57</v>
      </c>
    </row>
    <row r="325" spans="1:11" x14ac:dyDescent="0.35">
      <c r="A325" t="s">
        <v>684</v>
      </c>
      <c r="B325">
        <v>2024</v>
      </c>
      <c r="C325" t="s">
        <v>678</v>
      </c>
      <c r="D325" t="s">
        <v>85</v>
      </c>
      <c r="E325" t="s">
        <v>116</v>
      </c>
      <c r="F325" t="s">
        <v>129</v>
      </c>
      <c r="G325" t="s">
        <v>128</v>
      </c>
      <c r="H325" t="s">
        <v>285</v>
      </c>
      <c r="I325" t="s">
        <v>289</v>
      </c>
      <c r="J325" t="s">
        <v>286</v>
      </c>
      <c r="K325" t="s">
        <v>57</v>
      </c>
    </row>
    <row r="326" spans="1:11" x14ac:dyDescent="0.35">
      <c r="A326" t="s">
        <v>685</v>
      </c>
      <c r="B326">
        <v>2024</v>
      </c>
      <c r="C326" t="s">
        <v>678</v>
      </c>
      <c r="D326" t="s">
        <v>85</v>
      </c>
      <c r="E326" t="s">
        <v>117</v>
      </c>
      <c r="F326" t="s">
        <v>125</v>
      </c>
      <c r="G326" t="s">
        <v>130</v>
      </c>
      <c r="H326" t="s">
        <v>305</v>
      </c>
      <c r="I326" t="s">
        <v>86</v>
      </c>
      <c r="J326" t="s">
        <v>686</v>
      </c>
      <c r="K326" t="s">
        <v>57</v>
      </c>
    </row>
    <row r="327" spans="1:11" x14ac:dyDescent="0.35">
      <c r="A327" t="s">
        <v>687</v>
      </c>
      <c r="B327">
        <v>2024</v>
      </c>
      <c r="C327" t="s">
        <v>678</v>
      </c>
      <c r="D327" t="s">
        <v>76</v>
      </c>
      <c r="E327" t="s">
        <v>115</v>
      </c>
      <c r="F327" t="s">
        <v>288</v>
      </c>
      <c r="G327" t="s">
        <v>126</v>
      </c>
      <c r="H327" t="s">
        <v>285</v>
      </c>
      <c r="I327" t="s">
        <v>77</v>
      </c>
      <c r="J327" t="s">
        <v>286</v>
      </c>
      <c r="K327" t="s">
        <v>57</v>
      </c>
    </row>
    <row r="328" spans="1:11" x14ac:dyDescent="0.35">
      <c r="A328" t="s">
        <v>688</v>
      </c>
      <c r="B328">
        <v>2024</v>
      </c>
      <c r="C328" t="s">
        <v>678</v>
      </c>
      <c r="D328" t="s">
        <v>85</v>
      </c>
      <c r="E328" t="s">
        <v>116</v>
      </c>
      <c r="F328" t="s">
        <v>129</v>
      </c>
      <c r="G328" t="s">
        <v>132</v>
      </c>
      <c r="H328" t="s">
        <v>285</v>
      </c>
      <c r="I328" t="s">
        <v>689</v>
      </c>
      <c r="J328" t="s">
        <v>690</v>
      </c>
      <c r="K328" t="s">
        <v>42</v>
      </c>
    </row>
    <row r="329" spans="1:11" x14ac:dyDescent="0.35">
      <c r="A329" t="s">
        <v>691</v>
      </c>
      <c r="B329">
        <v>2024</v>
      </c>
      <c r="C329" t="s">
        <v>678</v>
      </c>
      <c r="D329" t="s">
        <v>76</v>
      </c>
      <c r="E329" t="s">
        <v>107</v>
      </c>
      <c r="F329" t="s">
        <v>127</v>
      </c>
      <c r="G329" t="s">
        <v>128</v>
      </c>
      <c r="H329" t="s">
        <v>285</v>
      </c>
      <c r="I329" t="s">
        <v>86</v>
      </c>
      <c r="J329" t="s">
        <v>286</v>
      </c>
      <c r="K329" t="s">
        <v>57</v>
      </c>
    </row>
    <row r="330" spans="1:11" x14ac:dyDescent="0.35">
      <c r="A330" t="s">
        <v>692</v>
      </c>
      <c r="B330">
        <v>2024</v>
      </c>
      <c r="C330" t="s">
        <v>678</v>
      </c>
      <c r="D330" t="s">
        <v>85</v>
      </c>
      <c r="E330" t="s">
        <v>116</v>
      </c>
      <c r="F330" t="s">
        <v>129</v>
      </c>
      <c r="G330" t="s">
        <v>126</v>
      </c>
      <c r="H330" t="s">
        <v>285</v>
      </c>
      <c r="I330" t="s">
        <v>77</v>
      </c>
      <c r="J330" t="s">
        <v>286</v>
      </c>
      <c r="K330" t="s">
        <v>57</v>
      </c>
    </row>
    <row r="331" spans="1:11" x14ac:dyDescent="0.35">
      <c r="A331" t="s">
        <v>693</v>
      </c>
      <c r="B331">
        <v>2024</v>
      </c>
      <c r="C331" t="s">
        <v>678</v>
      </c>
      <c r="D331" t="s">
        <v>85</v>
      </c>
      <c r="E331" t="s">
        <v>117</v>
      </c>
      <c r="F331" t="s">
        <v>127</v>
      </c>
      <c r="G331" t="s">
        <v>128</v>
      </c>
      <c r="H331" t="s">
        <v>285</v>
      </c>
      <c r="I331" t="s">
        <v>86</v>
      </c>
      <c r="J331" t="s">
        <v>317</v>
      </c>
      <c r="K331" t="s">
        <v>57</v>
      </c>
    </row>
    <row r="332" spans="1:11" x14ac:dyDescent="0.35">
      <c r="A332" t="s">
        <v>694</v>
      </c>
      <c r="B332">
        <v>2024</v>
      </c>
      <c r="C332" t="s">
        <v>678</v>
      </c>
      <c r="D332" t="s">
        <v>76</v>
      </c>
      <c r="E332" t="s">
        <v>113</v>
      </c>
      <c r="F332" t="s">
        <v>125</v>
      </c>
      <c r="G332" t="s">
        <v>132</v>
      </c>
      <c r="H332" t="s">
        <v>285</v>
      </c>
      <c r="I332" t="s">
        <v>695</v>
      </c>
      <c r="J332" t="s">
        <v>308</v>
      </c>
      <c r="K332" t="s">
        <v>42</v>
      </c>
    </row>
    <row r="333" spans="1:11" x14ac:dyDescent="0.35">
      <c r="A333" t="s">
        <v>696</v>
      </c>
      <c r="B333">
        <v>2024</v>
      </c>
      <c r="C333" t="s">
        <v>678</v>
      </c>
      <c r="D333" t="s">
        <v>85</v>
      </c>
      <c r="E333" t="s">
        <v>117</v>
      </c>
      <c r="F333" t="s">
        <v>288</v>
      </c>
      <c r="G333" t="s">
        <v>130</v>
      </c>
      <c r="H333" t="s">
        <v>285</v>
      </c>
      <c r="I333" t="s">
        <v>86</v>
      </c>
      <c r="J333" t="s">
        <v>286</v>
      </c>
      <c r="K333" t="s">
        <v>57</v>
      </c>
    </row>
    <row r="334" spans="1:11" x14ac:dyDescent="0.35">
      <c r="A334" t="s">
        <v>697</v>
      </c>
      <c r="B334">
        <v>2024</v>
      </c>
      <c r="C334" t="s">
        <v>678</v>
      </c>
      <c r="D334" t="s">
        <v>85</v>
      </c>
      <c r="E334" t="s">
        <v>117</v>
      </c>
      <c r="F334" t="s">
        <v>288</v>
      </c>
      <c r="G334" t="s">
        <v>130</v>
      </c>
      <c r="H334" t="s">
        <v>285</v>
      </c>
      <c r="I334" t="s">
        <v>86</v>
      </c>
      <c r="J334" t="s">
        <v>286</v>
      </c>
      <c r="K334" t="s">
        <v>57</v>
      </c>
    </row>
    <row r="335" spans="1:11" x14ac:dyDescent="0.35">
      <c r="A335" t="s">
        <v>698</v>
      </c>
      <c r="B335">
        <v>2024</v>
      </c>
      <c r="C335" t="s">
        <v>678</v>
      </c>
      <c r="D335" t="s">
        <v>85</v>
      </c>
      <c r="E335" t="s">
        <v>117</v>
      </c>
      <c r="F335" t="s">
        <v>129</v>
      </c>
      <c r="G335" t="s">
        <v>128</v>
      </c>
      <c r="H335" t="s">
        <v>285</v>
      </c>
      <c r="I335" t="s">
        <v>337</v>
      </c>
      <c r="J335" t="s">
        <v>417</v>
      </c>
      <c r="K335" t="s">
        <v>42</v>
      </c>
    </row>
    <row r="336" spans="1:11" x14ac:dyDescent="0.35">
      <c r="A336" t="s">
        <v>699</v>
      </c>
      <c r="B336">
        <v>2024</v>
      </c>
      <c r="C336" t="s">
        <v>678</v>
      </c>
      <c r="D336" t="s">
        <v>85</v>
      </c>
      <c r="E336" t="s">
        <v>116</v>
      </c>
      <c r="F336" t="s">
        <v>131</v>
      </c>
      <c r="G336" t="s">
        <v>130</v>
      </c>
      <c r="H336" t="s">
        <v>285</v>
      </c>
      <c r="I336" t="s">
        <v>77</v>
      </c>
      <c r="J336" t="s">
        <v>286</v>
      </c>
      <c r="K336" t="s">
        <v>57</v>
      </c>
    </row>
    <row r="337" spans="1:11" x14ac:dyDescent="0.35">
      <c r="A337" t="s">
        <v>700</v>
      </c>
      <c r="B337">
        <v>2024</v>
      </c>
      <c r="C337" t="s">
        <v>678</v>
      </c>
      <c r="D337" t="s">
        <v>85</v>
      </c>
      <c r="E337" t="s">
        <v>117</v>
      </c>
      <c r="F337" t="s">
        <v>288</v>
      </c>
      <c r="G337" t="s">
        <v>132</v>
      </c>
      <c r="H337" t="s">
        <v>285</v>
      </c>
      <c r="I337" t="s">
        <v>288</v>
      </c>
      <c r="J337" t="s">
        <v>288</v>
      </c>
      <c r="K337" t="s">
        <v>57</v>
      </c>
    </row>
    <row r="338" spans="1:11" x14ac:dyDescent="0.35">
      <c r="A338" t="s">
        <v>701</v>
      </c>
      <c r="B338">
        <v>2024</v>
      </c>
      <c r="C338" t="s">
        <v>678</v>
      </c>
      <c r="D338" t="s">
        <v>85</v>
      </c>
      <c r="E338" t="s">
        <v>115</v>
      </c>
      <c r="F338" t="s">
        <v>125</v>
      </c>
      <c r="G338" t="s">
        <v>126</v>
      </c>
      <c r="H338" t="s">
        <v>285</v>
      </c>
      <c r="I338" t="s">
        <v>86</v>
      </c>
      <c r="J338" t="s">
        <v>409</v>
      </c>
      <c r="K338" t="s">
        <v>57</v>
      </c>
    </row>
    <row r="339" spans="1:11" x14ac:dyDescent="0.35">
      <c r="A339" t="s">
        <v>702</v>
      </c>
      <c r="B339">
        <v>2024</v>
      </c>
      <c r="C339" t="s">
        <v>678</v>
      </c>
      <c r="D339" t="s">
        <v>76</v>
      </c>
      <c r="E339" t="s">
        <v>119</v>
      </c>
      <c r="F339" t="s">
        <v>133</v>
      </c>
      <c r="G339" t="s">
        <v>128</v>
      </c>
      <c r="H339" t="s">
        <v>305</v>
      </c>
      <c r="I339" t="s">
        <v>77</v>
      </c>
      <c r="J339" t="s">
        <v>286</v>
      </c>
      <c r="K339" t="s">
        <v>57</v>
      </c>
    </row>
    <row r="340" spans="1:11" x14ac:dyDescent="0.35">
      <c r="A340" t="s">
        <v>703</v>
      </c>
      <c r="B340">
        <v>2024</v>
      </c>
      <c r="C340" t="s">
        <v>678</v>
      </c>
      <c r="D340" t="s">
        <v>85</v>
      </c>
      <c r="E340" t="s">
        <v>344</v>
      </c>
      <c r="F340" t="s">
        <v>125</v>
      </c>
      <c r="G340" t="s">
        <v>126</v>
      </c>
      <c r="H340" t="s">
        <v>285</v>
      </c>
      <c r="I340" t="s">
        <v>86</v>
      </c>
      <c r="J340" t="s">
        <v>467</v>
      </c>
      <c r="K340" t="s">
        <v>57</v>
      </c>
    </row>
    <row r="341" spans="1:11" x14ac:dyDescent="0.35">
      <c r="A341" t="s">
        <v>704</v>
      </c>
      <c r="B341">
        <v>2024</v>
      </c>
      <c r="C341" t="s">
        <v>678</v>
      </c>
      <c r="D341" t="s">
        <v>85</v>
      </c>
      <c r="E341" t="s">
        <v>117</v>
      </c>
      <c r="F341" t="s">
        <v>288</v>
      </c>
      <c r="G341" t="s">
        <v>128</v>
      </c>
      <c r="H341" t="s">
        <v>285</v>
      </c>
      <c r="I341" t="s">
        <v>86</v>
      </c>
      <c r="J341" t="s">
        <v>705</v>
      </c>
      <c r="K341" t="s">
        <v>42</v>
      </c>
    </row>
    <row r="342" spans="1:11" x14ac:dyDescent="0.35">
      <c r="A342" t="s">
        <v>706</v>
      </c>
      <c r="B342">
        <v>2024</v>
      </c>
      <c r="C342" t="s">
        <v>678</v>
      </c>
      <c r="D342" t="s">
        <v>85</v>
      </c>
      <c r="E342" t="s">
        <v>116</v>
      </c>
      <c r="F342" t="s">
        <v>131</v>
      </c>
      <c r="G342" t="s">
        <v>128</v>
      </c>
      <c r="H342" t="s">
        <v>285</v>
      </c>
      <c r="I342" t="s">
        <v>289</v>
      </c>
      <c r="J342" t="s">
        <v>286</v>
      </c>
      <c r="K342" t="s">
        <v>57</v>
      </c>
    </row>
    <row r="343" spans="1:11" x14ac:dyDescent="0.35">
      <c r="A343" t="s">
        <v>707</v>
      </c>
      <c r="B343">
        <v>2024</v>
      </c>
      <c r="C343" t="s">
        <v>678</v>
      </c>
      <c r="D343" t="s">
        <v>85</v>
      </c>
      <c r="E343" t="s">
        <v>116</v>
      </c>
      <c r="F343" t="s">
        <v>129</v>
      </c>
      <c r="G343" t="s">
        <v>130</v>
      </c>
      <c r="H343" t="s">
        <v>285</v>
      </c>
      <c r="I343" t="s">
        <v>86</v>
      </c>
      <c r="J343" t="s">
        <v>326</v>
      </c>
      <c r="K343" t="s">
        <v>57</v>
      </c>
    </row>
    <row r="344" spans="1:11" x14ac:dyDescent="0.35">
      <c r="A344" t="s">
        <v>708</v>
      </c>
      <c r="B344">
        <v>2024</v>
      </c>
      <c r="C344" t="s">
        <v>678</v>
      </c>
      <c r="D344" t="s">
        <v>85</v>
      </c>
      <c r="E344" t="s">
        <v>116</v>
      </c>
      <c r="F344" t="s">
        <v>131</v>
      </c>
      <c r="G344" t="s">
        <v>130</v>
      </c>
      <c r="H344" t="s">
        <v>285</v>
      </c>
      <c r="I344" t="s">
        <v>289</v>
      </c>
      <c r="J344" t="s">
        <v>295</v>
      </c>
      <c r="K344" t="s">
        <v>57</v>
      </c>
    </row>
    <row r="345" spans="1:11" x14ac:dyDescent="0.35">
      <c r="A345" t="s">
        <v>709</v>
      </c>
      <c r="B345">
        <v>2024</v>
      </c>
      <c r="C345" t="s">
        <v>678</v>
      </c>
      <c r="D345" t="s">
        <v>76</v>
      </c>
      <c r="E345" t="s">
        <v>107</v>
      </c>
      <c r="F345" t="s">
        <v>125</v>
      </c>
      <c r="G345" t="s">
        <v>128</v>
      </c>
      <c r="H345" t="s">
        <v>285</v>
      </c>
      <c r="I345" t="s">
        <v>77</v>
      </c>
      <c r="J345" t="s">
        <v>286</v>
      </c>
      <c r="K345" t="s">
        <v>57</v>
      </c>
    </row>
    <row r="346" spans="1:11" x14ac:dyDescent="0.35">
      <c r="A346" t="s">
        <v>710</v>
      </c>
      <c r="B346">
        <v>2024</v>
      </c>
      <c r="C346" t="s">
        <v>678</v>
      </c>
      <c r="D346" t="s">
        <v>85</v>
      </c>
      <c r="E346" t="s">
        <v>344</v>
      </c>
      <c r="F346" t="s">
        <v>125</v>
      </c>
      <c r="G346" t="s">
        <v>128</v>
      </c>
      <c r="H346" t="s">
        <v>285</v>
      </c>
      <c r="I346" t="s">
        <v>86</v>
      </c>
      <c r="J346" t="s">
        <v>326</v>
      </c>
      <c r="K346" t="s">
        <v>57</v>
      </c>
    </row>
    <row r="347" spans="1:11" x14ac:dyDescent="0.35">
      <c r="A347" t="s">
        <v>711</v>
      </c>
      <c r="B347">
        <v>2024</v>
      </c>
      <c r="C347" t="s">
        <v>678</v>
      </c>
      <c r="D347" t="s">
        <v>85</v>
      </c>
      <c r="E347" t="s">
        <v>344</v>
      </c>
      <c r="F347" t="s">
        <v>125</v>
      </c>
      <c r="G347" t="s">
        <v>130</v>
      </c>
      <c r="H347" t="s">
        <v>285</v>
      </c>
      <c r="I347" t="s">
        <v>86</v>
      </c>
      <c r="J347" t="s">
        <v>286</v>
      </c>
      <c r="K347" t="s">
        <v>57</v>
      </c>
    </row>
    <row r="348" spans="1:11" x14ac:dyDescent="0.35">
      <c r="A348" t="s">
        <v>712</v>
      </c>
      <c r="B348">
        <v>2024</v>
      </c>
      <c r="C348" t="s">
        <v>678</v>
      </c>
      <c r="D348" t="s">
        <v>85</v>
      </c>
      <c r="E348" t="s">
        <v>344</v>
      </c>
      <c r="F348" t="s">
        <v>125</v>
      </c>
      <c r="G348" t="s">
        <v>126</v>
      </c>
      <c r="H348" t="s">
        <v>285</v>
      </c>
      <c r="I348" t="s">
        <v>86</v>
      </c>
      <c r="J348" t="s">
        <v>286</v>
      </c>
      <c r="K348" t="s">
        <v>57</v>
      </c>
    </row>
    <row r="349" spans="1:11" x14ac:dyDescent="0.35">
      <c r="A349" t="s">
        <v>713</v>
      </c>
      <c r="B349">
        <v>2024</v>
      </c>
      <c r="C349" t="s">
        <v>678</v>
      </c>
      <c r="D349" t="s">
        <v>85</v>
      </c>
      <c r="E349" t="s">
        <v>344</v>
      </c>
      <c r="F349" t="s">
        <v>125</v>
      </c>
      <c r="G349" t="s">
        <v>126</v>
      </c>
      <c r="H349" t="s">
        <v>285</v>
      </c>
      <c r="I349" t="s">
        <v>86</v>
      </c>
      <c r="J349" t="s">
        <v>286</v>
      </c>
      <c r="K349" t="s">
        <v>57</v>
      </c>
    </row>
    <row r="350" spans="1:11" x14ac:dyDescent="0.35">
      <c r="A350" t="s">
        <v>714</v>
      </c>
      <c r="B350">
        <v>2024</v>
      </c>
      <c r="C350" t="s">
        <v>678</v>
      </c>
      <c r="D350" t="s">
        <v>85</v>
      </c>
      <c r="E350" t="s">
        <v>120</v>
      </c>
      <c r="F350" t="s">
        <v>288</v>
      </c>
      <c r="G350" t="s">
        <v>128</v>
      </c>
      <c r="H350" t="s">
        <v>285</v>
      </c>
      <c r="I350" t="s">
        <v>86</v>
      </c>
      <c r="J350" t="s">
        <v>288</v>
      </c>
      <c r="K350" t="s">
        <v>57</v>
      </c>
    </row>
    <row r="351" spans="1:11" x14ac:dyDescent="0.35">
      <c r="A351" t="s">
        <v>715</v>
      </c>
      <c r="B351">
        <v>2024</v>
      </c>
      <c r="C351" t="s">
        <v>678</v>
      </c>
      <c r="D351" t="s">
        <v>85</v>
      </c>
      <c r="E351" t="s">
        <v>120</v>
      </c>
      <c r="F351" t="s">
        <v>125</v>
      </c>
      <c r="G351" t="s">
        <v>126</v>
      </c>
      <c r="H351" t="s">
        <v>285</v>
      </c>
      <c r="I351" t="s">
        <v>86</v>
      </c>
      <c r="J351" t="s">
        <v>286</v>
      </c>
      <c r="K351" t="s">
        <v>57</v>
      </c>
    </row>
    <row r="352" spans="1:11" x14ac:dyDescent="0.35">
      <c r="A352" t="s">
        <v>716</v>
      </c>
      <c r="B352">
        <v>2024</v>
      </c>
      <c r="C352" t="s">
        <v>678</v>
      </c>
      <c r="D352" t="s">
        <v>76</v>
      </c>
      <c r="E352" t="s">
        <v>115</v>
      </c>
      <c r="F352" t="s">
        <v>127</v>
      </c>
      <c r="G352" t="s">
        <v>130</v>
      </c>
      <c r="H352" t="s">
        <v>357</v>
      </c>
      <c r="I352" t="s">
        <v>86</v>
      </c>
      <c r="J352" t="s">
        <v>405</v>
      </c>
      <c r="K352" t="s">
        <v>57</v>
      </c>
    </row>
    <row r="353" spans="1:11" x14ac:dyDescent="0.35">
      <c r="A353" t="s">
        <v>717</v>
      </c>
      <c r="B353">
        <v>2024</v>
      </c>
      <c r="C353" t="s">
        <v>678</v>
      </c>
      <c r="D353" t="s">
        <v>85</v>
      </c>
      <c r="E353" t="s">
        <v>116</v>
      </c>
      <c r="F353" t="s">
        <v>131</v>
      </c>
      <c r="G353" t="s">
        <v>130</v>
      </c>
      <c r="H353" t="s">
        <v>285</v>
      </c>
      <c r="I353" t="s">
        <v>289</v>
      </c>
      <c r="J353" t="s">
        <v>286</v>
      </c>
      <c r="K353" t="s">
        <v>57</v>
      </c>
    </row>
    <row r="354" spans="1:11" x14ac:dyDescent="0.35">
      <c r="A354" t="s">
        <v>718</v>
      </c>
      <c r="B354">
        <v>2024</v>
      </c>
      <c r="C354" t="s">
        <v>678</v>
      </c>
      <c r="D354" t="s">
        <v>85</v>
      </c>
      <c r="E354" t="s">
        <v>377</v>
      </c>
      <c r="F354" t="s">
        <v>129</v>
      </c>
      <c r="G354" t="s">
        <v>128</v>
      </c>
      <c r="H354" t="s">
        <v>285</v>
      </c>
      <c r="I354" t="s">
        <v>86</v>
      </c>
      <c r="J354" t="s">
        <v>347</v>
      </c>
      <c r="K354" t="s">
        <v>57</v>
      </c>
    </row>
    <row r="355" spans="1:11" x14ac:dyDescent="0.35">
      <c r="A355" t="s">
        <v>719</v>
      </c>
      <c r="B355">
        <v>2024</v>
      </c>
      <c r="C355" t="s">
        <v>678</v>
      </c>
      <c r="D355" t="s">
        <v>85</v>
      </c>
      <c r="E355" t="s">
        <v>120</v>
      </c>
      <c r="F355" t="s">
        <v>125</v>
      </c>
      <c r="G355" t="s">
        <v>128</v>
      </c>
      <c r="H355" t="s">
        <v>285</v>
      </c>
      <c r="I355" t="s">
        <v>86</v>
      </c>
      <c r="J355" t="s">
        <v>317</v>
      </c>
      <c r="K355" t="s">
        <v>57</v>
      </c>
    </row>
    <row r="356" spans="1:11" x14ac:dyDescent="0.35">
      <c r="A356" t="s">
        <v>720</v>
      </c>
      <c r="B356">
        <v>2024</v>
      </c>
      <c r="C356" t="s">
        <v>678</v>
      </c>
      <c r="D356" t="s">
        <v>85</v>
      </c>
      <c r="E356" t="s">
        <v>120</v>
      </c>
      <c r="F356" t="s">
        <v>125</v>
      </c>
      <c r="G356" t="s">
        <v>128</v>
      </c>
      <c r="H356" t="s">
        <v>285</v>
      </c>
      <c r="I356" t="s">
        <v>86</v>
      </c>
      <c r="J356" t="s">
        <v>295</v>
      </c>
      <c r="K356" t="s">
        <v>57</v>
      </c>
    </row>
    <row r="357" spans="1:11" x14ac:dyDescent="0.35">
      <c r="A357" t="s">
        <v>721</v>
      </c>
      <c r="B357">
        <v>2024</v>
      </c>
      <c r="C357" t="s">
        <v>678</v>
      </c>
      <c r="D357" t="s">
        <v>76</v>
      </c>
      <c r="E357" t="s">
        <v>115</v>
      </c>
      <c r="F357" t="s">
        <v>127</v>
      </c>
      <c r="G357" t="s">
        <v>132</v>
      </c>
      <c r="H357" t="s">
        <v>285</v>
      </c>
      <c r="I357" t="s">
        <v>86</v>
      </c>
      <c r="J357" t="s">
        <v>347</v>
      </c>
      <c r="K357" t="s">
        <v>57</v>
      </c>
    </row>
    <row r="358" spans="1:11" x14ac:dyDescent="0.35">
      <c r="A358" t="s">
        <v>722</v>
      </c>
      <c r="B358">
        <v>2024</v>
      </c>
      <c r="C358" t="s">
        <v>678</v>
      </c>
      <c r="D358" t="s">
        <v>76</v>
      </c>
      <c r="E358" t="s">
        <v>109</v>
      </c>
      <c r="F358" t="s">
        <v>127</v>
      </c>
      <c r="G358" t="s">
        <v>126</v>
      </c>
      <c r="H358" t="s">
        <v>285</v>
      </c>
      <c r="I358" t="s">
        <v>288</v>
      </c>
      <c r="J358" t="s">
        <v>286</v>
      </c>
      <c r="K358" t="s">
        <v>57</v>
      </c>
    </row>
    <row r="359" spans="1:11" x14ac:dyDescent="0.35">
      <c r="A359" t="s">
        <v>723</v>
      </c>
      <c r="B359">
        <v>2024</v>
      </c>
      <c r="C359" t="s">
        <v>678</v>
      </c>
      <c r="D359" t="s">
        <v>76</v>
      </c>
      <c r="E359" t="s">
        <v>107</v>
      </c>
      <c r="F359" t="s">
        <v>125</v>
      </c>
      <c r="G359" t="s">
        <v>128</v>
      </c>
      <c r="H359" t="s">
        <v>285</v>
      </c>
      <c r="I359" t="s">
        <v>86</v>
      </c>
      <c r="J359" t="s">
        <v>347</v>
      </c>
      <c r="K359" t="s">
        <v>57</v>
      </c>
    </row>
    <row r="360" spans="1:11" x14ac:dyDescent="0.35">
      <c r="A360" t="s">
        <v>724</v>
      </c>
      <c r="B360">
        <v>2024</v>
      </c>
      <c r="C360" t="s">
        <v>678</v>
      </c>
      <c r="D360" t="s">
        <v>76</v>
      </c>
      <c r="E360" t="s">
        <v>115</v>
      </c>
      <c r="F360" t="s">
        <v>127</v>
      </c>
      <c r="G360" t="s">
        <v>126</v>
      </c>
      <c r="H360" t="s">
        <v>285</v>
      </c>
      <c r="I360" t="s">
        <v>288</v>
      </c>
      <c r="J360" t="s">
        <v>286</v>
      </c>
      <c r="K360" t="s">
        <v>57</v>
      </c>
    </row>
    <row r="361" spans="1:11" x14ac:dyDescent="0.35">
      <c r="A361" t="s">
        <v>725</v>
      </c>
      <c r="B361">
        <v>2024</v>
      </c>
      <c r="C361" t="s">
        <v>678</v>
      </c>
      <c r="D361" t="s">
        <v>85</v>
      </c>
      <c r="E361" t="s">
        <v>117</v>
      </c>
      <c r="F361" t="s">
        <v>131</v>
      </c>
      <c r="G361" t="s">
        <v>130</v>
      </c>
      <c r="H361" t="s">
        <v>285</v>
      </c>
      <c r="I361" t="s">
        <v>77</v>
      </c>
      <c r="J361" t="s">
        <v>286</v>
      </c>
      <c r="K361" t="s">
        <v>57</v>
      </c>
    </row>
    <row r="362" spans="1:11" x14ac:dyDescent="0.35">
      <c r="A362" t="s">
        <v>726</v>
      </c>
      <c r="B362">
        <v>2024</v>
      </c>
      <c r="C362" t="s">
        <v>678</v>
      </c>
      <c r="D362" t="s">
        <v>85</v>
      </c>
      <c r="E362" t="s">
        <v>117</v>
      </c>
      <c r="F362" t="s">
        <v>288</v>
      </c>
      <c r="G362" t="s">
        <v>130</v>
      </c>
      <c r="H362" t="s">
        <v>305</v>
      </c>
      <c r="I362" t="s">
        <v>288</v>
      </c>
      <c r="J362" t="s">
        <v>288</v>
      </c>
      <c r="K362" t="s">
        <v>57</v>
      </c>
    </row>
    <row r="363" spans="1:11" x14ac:dyDescent="0.35">
      <c r="A363" t="s">
        <v>727</v>
      </c>
      <c r="B363">
        <v>2024</v>
      </c>
      <c r="C363" t="s">
        <v>678</v>
      </c>
      <c r="D363" t="s">
        <v>85</v>
      </c>
      <c r="E363" t="s">
        <v>120</v>
      </c>
      <c r="F363" t="s">
        <v>288</v>
      </c>
      <c r="G363" t="s">
        <v>128</v>
      </c>
      <c r="H363" t="s">
        <v>305</v>
      </c>
      <c r="I363" t="s">
        <v>289</v>
      </c>
      <c r="J363" t="s">
        <v>384</v>
      </c>
      <c r="K363" t="s">
        <v>57</v>
      </c>
    </row>
    <row r="364" spans="1:11" x14ac:dyDescent="0.35">
      <c r="A364" t="s">
        <v>728</v>
      </c>
      <c r="B364">
        <v>2024</v>
      </c>
      <c r="C364" t="s">
        <v>678</v>
      </c>
      <c r="D364" t="s">
        <v>85</v>
      </c>
      <c r="E364" t="s">
        <v>377</v>
      </c>
      <c r="F364" t="s">
        <v>131</v>
      </c>
      <c r="G364" t="s">
        <v>130</v>
      </c>
      <c r="H364" t="s">
        <v>305</v>
      </c>
      <c r="I364" t="s">
        <v>333</v>
      </c>
      <c r="J364" t="s">
        <v>409</v>
      </c>
      <c r="K364" t="s">
        <v>57</v>
      </c>
    </row>
    <row r="365" spans="1:11" x14ac:dyDescent="0.35">
      <c r="A365" t="s">
        <v>729</v>
      </c>
      <c r="B365">
        <v>2024</v>
      </c>
      <c r="C365" t="s">
        <v>678</v>
      </c>
      <c r="D365" t="s">
        <v>76</v>
      </c>
      <c r="E365" t="s">
        <v>119</v>
      </c>
      <c r="F365" t="s">
        <v>131</v>
      </c>
      <c r="G365" t="s">
        <v>132</v>
      </c>
      <c r="H365" t="s">
        <v>285</v>
      </c>
      <c r="I365" t="s">
        <v>86</v>
      </c>
      <c r="J365" t="s">
        <v>424</v>
      </c>
      <c r="K365" t="s">
        <v>42</v>
      </c>
    </row>
    <row r="366" spans="1:11" x14ac:dyDescent="0.35">
      <c r="A366" t="s">
        <v>730</v>
      </c>
      <c r="B366">
        <v>2024</v>
      </c>
      <c r="C366" t="s">
        <v>678</v>
      </c>
      <c r="D366" t="s">
        <v>76</v>
      </c>
      <c r="E366" t="s">
        <v>115</v>
      </c>
      <c r="F366" t="s">
        <v>133</v>
      </c>
      <c r="G366" t="s">
        <v>126</v>
      </c>
      <c r="H366" t="s">
        <v>285</v>
      </c>
      <c r="I366" t="s">
        <v>731</v>
      </c>
      <c r="J366" t="s">
        <v>732</v>
      </c>
      <c r="K366" t="s">
        <v>42</v>
      </c>
    </row>
    <row r="367" spans="1:11" x14ac:dyDescent="0.35">
      <c r="A367" t="s">
        <v>733</v>
      </c>
      <c r="B367">
        <v>2024</v>
      </c>
      <c r="C367" t="s">
        <v>678</v>
      </c>
      <c r="D367" t="s">
        <v>85</v>
      </c>
      <c r="E367" t="s">
        <v>116</v>
      </c>
      <c r="F367" t="s">
        <v>129</v>
      </c>
      <c r="G367" t="s">
        <v>128</v>
      </c>
      <c r="H367" t="s">
        <v>305</v>
      </c>
      <c r="I367" t="s">
        <v>77</v>
      </c>
      <c r="J367" t="s">
        <v>286</v>
      </c>
      <c r="K367" t="s">
        <v>57</v>
      </c>
    </row>
    <row r="368" spans="1:11" x14ac:dyDescent="0.35">
      <c r="A368" t="s">
        <v>734</v>
      </c>
      <c r="B368">
        <v>2024</v>
      </c>
      <c r="C368" t="s">
        <v>678</v>
      </c>
      <c r="D368" t="s">
        <v>85</v>
      </c>
      <c r="E368" t="s">
        <v>117</v>
      </c>
      <c r="F368" t="s">
        <v>125</v>
      </c>
      <c r="G368" t="s">
        <v>128</v>
      </c>
      <c r="H368" t="s">
        <v>305</v>
      </c>
      <c r="I368" t="s">
        <v>86</v>
      </c>
      <c r="J368" t="s">
        <v>347</v>
      </c>
      <c r="K368" t="s">
        <v>57</v>
      </c>
    </row>
    <row r="369" spans="1:11" x14ac:dyDescent="0.35">
      <c r="A369" t="s">
        <v>735</v>
      </c>
      <c r="B369">
        <v>2024</v>
      </c>
      <c r="C369" t="s">
        <v>678</v>
      </c>
      <c r="D369" t="s">
        <v>85</v>
      </c>
      <c r="E369" t="s">
        <v>117</v>
      </c>
      <c r="F369" t="s">
        <v>134</v>
      </c>
      <c r="G369" t="s">
        <v>128</v>
      </c>
      <c r="H369" t="s">
        <v>305</v>
      </c>
      <c r="I369" t="s">
        <v>337</v>
      </c>
      <c r="J369" t="s">
        <v>405</v>
      </c>
      <c r="K369" t="s">
        <v>57</v>
      </c>
    </row>
    <row r="370" spans="1:11" x14ac:dyDescent="0.35">
      <c r="A370" t="s">
        <v>736</v>
      </c>
      <c r="B370">
        <v>2024</v>
      </c>
      <c r="C370" t="s">
        <v>678</v>
      </c>
      <c r="D370" t="s">
        <v>76</v>
      </c>
      <c r="E370" t="s">
        <v>119</v>
      </c>
      <c r="F370" t="s">
        <v>125</v>
      </c>
      <c r="G370" t="s">
        <v>128</v>
      </c>
      <c r="H370" t="s">
        <v>305</v>
      </c>
      <c r="I370" t="s">
        <v>288</v>
      </c>
      <c r="J370" t="s">
        <v>737</v>
      </c>
      <c r="K370" t="s">
        <v>57</v>
      </c>
    </row>
    <row r="371" spans="1:11" x14ac:dyDescent="0.35">
      <c r="A371" t="s">
        <v>738</v>
      </c>
      <c r="B371">
        <v>2024</v>
      </c>
      <c r="C371" t="s">
        <v>678</v>
      </c>
      <c r="D371" t="s">
        <v>85</v>
      </c>
      <c r="E371" t="s">
        <v>116</v>
      </c>
      <c r="F371" t="s">
        <v>131</v>
      </c>
      <c r="G371" t="s">
        <v>128</v>
      </c>
      <c r="H371" t="s">
        <v>305</v>
      </c>
      <c r="I371" t="s">
        <v>289</v>
      </c>
      <c r="J371" t="s">
        <v>286</v>
      </c>
      <c r="K371" t="s">
        <v>57</v>
      </c>
    </row>
    <row r="372" spans="1:11" x14ac:dyDescent="0.35">
      <c r="A372" t="s">
        <v>739</v>
      </c>
      <c r="B372">
        <v>2024</v>
      </c>
      <c r="C372" t="s">
        <v>678</v>
      </c>
      <c r="D372" t="s">
        <v>76</v>
      </c>
      <c r="E372" t="s">
        <v>110</v>
      </c>
      <c r="F372" t="s">
        <v>125</v>
      </c>
      <c r="G372" t="s">
        <v>130</v>
      </c>
      <c r="H372" t="s">
        <v>285</v>
      </c>
      <c r="I372" t="s">
        <v>77</v>
      </c>
      <c r="J372" t="s">
        <v>286</v>
      </c>
      <c r="K372" t="s">
        <v>57</v>
      </c>
    </row>
    <row r="373" spans="1:11" x14ac:dyDescent="0.35">
      <c r="A373" t="s">
        <v>740</v>
      </c>
      <c r="B373">
        <v>2024</v>
      </c>
      <c r="C373" t="s">
        <v>678</v>
      </c>
      <c r="D373" t="s">
        <v>85</v>
      </c>
      <c r="E373" t="s">
        <v>117</v>
      </c>
      <c r="F373" t="s">
        <v>127</v>
      </c>
      <c r="G373" t="s">
        <v>128</v>
      </c>
      <c r="H373" t="s">
        <v>305</v>
      </c>
      <c r="I373" t="s">
        <v>86</v>
      </c>
      <c r="J373" t="s">
        <v>286</v>
      </c>
      <c r="K373" t="s">
        <v>57</v>
      </c>
    </row>
    <row r="374" spans="1:11" x14ac:dyDescent="0.35">
      <c r="A374" t="s">
        <v>741</v>
      </c>
      <c r="B374">
        <v>2024</v>
      </c>
      <c r="C374" t="s">
        <v>678</v>
      </c>
      <c r="D374" t="s">
        <v>85</v>
      </c>
      <c r="E374" t="s">
        <v>120</v>
      </c>
      <c r="F374" t="s">
        <v>129</v>
      </c>
      <c r="G374" t="s">
        <v>126</v>
      </c>
      <c r="H374" t="s">
        <v>305</v>
      </c>
      <c r="I374" t="s">
        <v>426</v>
      </c>
      <c r="J374" t="s">
        <v>742</v>
      </c>
      <c r="K374" t="s">
        <v>57</v>
      </c>
    </row>
    <row r="375" spans="1:11" x14ac:dyDescent="0.35">
      <c r="A375" t="s">
        <v>743</v>
      </c>
      <c r="B375">
        <v>2024</v>
      </c>
      <c r="C375" t="s">
        <v>678</v>
      </c>
      <c r="D375" t="s">
        <v>85</v>
      </c>
      <c r="E375" t="s">
        <v>117</v>
      </c>
      <c r="F375" t="s">
        <v>133</v>
      </c>
      <c r="G375" t="s">
        <v>130</v>
      </c>
      <c r="H375" t="s">
        <v>305</v>
      </c>
      <c r="I375" t="s">
        <v>426</v>
      </c>
      <c r="J375" t="s">
        <v>405</v>
      </c>
      <c r="K375" t="s">
        <v>57</v>
      </c>
    </row>
    <row r="376" spans="1:11" x14ac:dyDescent="0.35">
      <c r="A376" t="s">
        <v>744</v>
      </c>
      <c r="B376">
        <v>2024</v>
      </c>
      <c r="C376" t="s">
        <v>678</v>
      </c>
      <c r="D376" t="s">
        <v>85</v>
      </c>
      <c r="E376" t="s">
        <v>116</v>
      </c>
      <c r="F376" t="s">
        <v>133</v>
      </c>
      <c r="G376" t="s">
        <v>130</v>
      </c>
      <c r="H376" t="s">
        <v>285</v>
      </c>
      <c r="I376" t="s">
        <v>77</v>
      </c>
      <c r="J376" t="s">
        <v>286</v>
      </c>
      <c r="K376" t="s">
        <v>57</v>
      </c>
    </row>
    <row r="377" spans="1:11" x14ac:dyDescent="0.35">
      <c r="A377" t="s">
        <v>745</v>
      </c>
      <c r="B377">
        <v>2024</v>
      </c>
      <c r="C377" t="s">
        <v>678</v>
      </c>
      <c r="D377" t="s">
        <v>76</v>
      </c>
      <c r="E377" t="s">
        <v>107</v>
      </c>
      <c r="F377" t="s">
        <v>125</v>
      </c>
      <c r="G377" t="s">
        <v>126</v>
      </c>
      <c r="H377" t="s">
        <v>285</v>
      </c>
      <c r="I377" t="s">
        <v>86</v>
      </c>
      <c r="J377" t="s">
        <v>286</v>
      </c>
      <c r="K377" t="s">
        <v>57</v>
      </c>
    </row>
    <row r="378" spans="1:11" x14ac:dyDescent="0.35">
      <c r="A378" t="s">
        <v>746</v>
      </c>
      <c r="B378">
        <v>2024</v>
      </c>
      <c r="C378" t="s">
        <v>678</v>
      </c>
      <c r="D378" t="s">
        <v>85</v>
      </c>
      <c r="E378" t="s">
        <v>117</v>
      </c>
      <c r="F378" t="s">
        <v>288</v>
      </c>
      <c r="G378" t="s">
        <v>130</v>
      </c>
      <c r="H378" t="s">
        <v>305</v>
      </c>
      <c r="I378" t="s">
        <v>289</v>
      </c>
      <c r="J378" t="s">
        <v>317</v>
      </c>
      <c r="K378" t="s">
        <v>57</v>
      </c>
    </row>
    <row r="379" spans="1:11" x14ac:dyDescent="0.35">
      <c r="A379" t="s">
        <v>747</v>
      </c>
      <c r="B379">
        <v>2024</v>
      </c>
      <c r="C379" t="s">
        <v>678</v>
      </c>
      <c r="D379" t="s">
        <v>85</v>
      </c>
      <c r="E379" t="s">
        <v>117</v>
      </c>
      <c r="F379" t="s">
        <v>125</v>
      </c>
      <c r="G379" t="s">
        <v>132</v>
      </c>
      <c r="H379" t="s">
        <v>305</v>
      </c>
      <c r="I379" t="s">
        <v>288</v>
      </c>
      <c r="J379" t="s">
        <v>447</v>
      </c>
      <c r="K379" t="s">
        <v>57</v>
      </c>
    </row>
    <row r="380" spans="1:11" x14ac:dyDescent="0.35">
      <c r="A380" t="s">
        <v>748</v>
      </c>
      <c r="B380">
        <v>2024</v>
      </c>
      <c r="C380" t="s">
        <v>678</v>
      </c>
      <c r="D380" t="s">
        <v>85</v>
      </c>
      <c r="E380" t="s">
        <v>116</v>
      </c>
      <c r="F380" t="s">
        <v>129</v>
      </c>
      <c r="G380" t="s">
        <v>132</v>
      </c>
      <c r="H380" t="s">
        <v>305</v>
      </c>
      <c r="I380" t="s">
        <v>86</v>
      </c>
      <c r="J380" t="s">
        <v>347</v>
      </c>
      <c r="K380" t="s">
        <v>57</v>
      </c>
    </row>
    <row r="381" spans="1:11" x14ac:dyDescent="0.35">
      <c r="A381" t="s">
        <v>749</v>
      </c>
      <c r="B381">
        <v>2024</v>
      </c>
      <c r="C381" t="s">
        <v>678</v>
      </c>
      <c r="D381" t="s">
        <v>85</v>
      </c>
      <c r="E381" t="s">
        <v>116</v>
      </c>
      <c r="F381" t="s">
        <v>129</v>
      </c>
      <c r="G381" t="s">
        <v>132</v>
      </c>
      <c r="H381" t="s">
        <v>305</v>
      </c>
      <c r="I381" t="s">
        <v>86</v>
      </c>
      <c r="J381" t="s">
        <v>347</v>
      </c>
      <c r="K381" t="s">
        <v>57</v>
      </c>
    </row>
    <row r="382" spans="1:11" x14ac:dyDescent="0.35">
      <c r="A382" t="s">
        <v>750</v>
      </c>
      <c r="B382">
        <v>2024</v>
      </c>
      <c r="C382" t="s">
        <v>678</v>
      </c>
      <c r="D382" t="s">
        <v>85</v>
      </c>
      <c r="E382" t="s">
        <v>116</v>
      </c>
      <c r="F382" t="s">
        <v>129</v>
      </c>
      <c r="G382" t="s">
        <v>132</v>
      </c>
      <c r="H382" t="s">
        <v>305</v>
      </c>
      <c r="I382" t="s">
        <v>86</v>
      </c>
      <c r="J382" t="s">
        <v>347</v>
      </c>
      <c r="K382" t="s">
        <v>57</v>
      </c>
    </row>
    <row r="383" spans="1:11" x14ac:dyDescent="0.35">
      <c r="A383" t="s">
        <v>751</v>
      </c>
      <c r="B383">
        <v>2024</v>
      </c>
      <c r="C383" t="s">
        <v>678</v>
      </c>
      <c r="D383" t="s">
        <v>85</v>
      </c>
      <c r="E383" t="s">
        <v>117</v>
      </c>
      <c r="F383" t="s">
        <v>131</v>
      </c>
      <c r="G383" t="s">
        <v>128</v>
      </c>
      <c r="H383" t="s">
        <v>305</v>
      </c>
      <c r="I383" t="s">
        <v>337</v>
      </c>
      <c r="J383" t="s">
        <v>326</v>
      </c>
      <c r="K383" t="s">
        <v>57</v>
      </c>
    </row>
    <row r="384" spans="1:11" x14ac:dyDescent="0.35">
      <c r="A384" t="s">
        <v>752</v>
      </c>
      <c r="B384">
        <v>2024</v>
      </c>
      <c r="C384" t="s">
        <v>678</v>
      </c>
      <c r="D384" t="s">
        <v>85</v>
      </c>
      <c r="E384" t="s">
        <v>120</v>
      </c>
      <c r="F384" t="s">
        <v>288</v>
      </c>
      <c r="G384" t="s">
        <v>132</v>
      </c>
      <c r="H384" t="s">
        <v>305</v>
      </c>
      <c r="I384" t="s">
        <v>689</v>
      </c>
      <c r="J384" t="s">
        <v>753</v>
      </c>
      <c r="K384" t="s">
        <v>42</v>
      </c>
    </row>
    <row r="385" spans="1:11" x14ac:dyDescent="0.35">
      <c r="A385" t="s">
        <v>754</v>
      </c>
      <c r="B385">
        <v>2024</v>
      </c>
      <c r="C385" t="s">
        <v>678</v>
      </c>
      <c r="D385" t="s">
        <v>85</v>
      </c>
      <c r="E385" t="s">
        <v>116</v>
      </c>
      <c r="F385" t="s">
        <v>129</v>
      </c>
      <c r="G385" t="s">
        <v>128</v>
      </c>
      <c r="H385" t="s">
        <v>285</v>
      </c>
      <c r="I385" t="s">
        <v>337</v>
      </c>
      <c r="J385" t="s">
        <v>286</v>
      </c>
      <c r="K385" t="s">
        <v>57</v>
      </c>
    </row>
    <row r="386" spans="1:11" x14ac:dyDescent="0.35">
      <c r="A386" t="s">
        <v>755</v>
      </c>
      <c r="B386">
        <v>2024</v>
      </c>
      <c r="C386" t="s">
        <v>678</v>
      </c>
      <c r="D386" t="s">
        <v>85</v>
      </c>
      <c r="E386" t="s">
        <v>377</v>
      </c>
      <c r="F386" t="s">
        <v>129</v>
      </c>
      <c r="G386" t="s">
        <v>126</v>
      </c>
      <c r="H386" t="s">
        <v>305</v>
      </c>
      <c r="I386" t="s">
        <v>756</v>
      </c>
      <c r="J386" t="s">
        <v>295</v>
      </c>
      <c r="K386" t="s">
        <v>57</v>
      </c>
    </row>
    <row r="387" spans="1:11" x14ac:dyDescent="0.35">
      <c r="A387" t="s">
        <v>757</v>
      </c>
      <c r="B387">
        <v>2024</v>
      </c>
      <c r="C387" t="s">
        <v>678</v>
      </c>
      <c r="D387" t="s">
        <v>76</v>
      </c>
      <c r="E387" t="s">
        <v>115</v>
      </c>
      <c r="F387" t="s">
        <v>125</v>
      </c>
      <c r="G387" t="s">
        <v>130</v>
      </c>
      <c r="H387" t="s">
        <v>285</v>
      </c>
      <c r="I387" t="s">
        <v>77</v>
      </c>
      <c r="J387" t="s">
        <v>286</v>
      </c>
      <c r="K387" t="s">
        <v>57</v>
      </c>
    </row>
    <row r="388" spans="1:11" x14ac:dyDescent="0.35">
      <c r="A388" t="s">
        <v>758</v>
      </c>
      <c r="B388">
        <v>2024</v>
      </c>
      <c r="C388" t="s">
        <v>678</v>
      </c>
      <c r="D388" t="s">
        <v>76</v>
      </c>
      <c r="E388" t="s">
        <v>115</v>
      </c>
      <c r="F388" t="s">
        <v>131</v>
      </c>
      <c r="G388" t="s">
        <v>128</v>
      </c>
      <c r="H388" t="s">
        <v>759</v>
      </c>
      <c r="I388" t="s">
        <v>351</v>
      </c>
      <c r="J388" t="s">
        <v>760</v>
      </c>
      <c r="K388" t="s">
        <v>57</v>
      </c>
    </row>
    <row r="389" spans="1:11" x14ac:dyDescent="0.35">
      <c r="A389" t="s">
        <v>761</v>
      </c>
      <c r="B389">
        <v>2024</v>
      </c>
      <c r="C389" t="s">
        <v>678</v>
      </c>
      <c r="D389" t="s">
        <v>76</v>
      </c>
      <c r="E389" t="s">
        <v>107</v>
      </c>
      <c r="F389" t="s">
        <v>125</v>
      </c>
      <c r="G389" t="s">
        <v>130</v>
      </c>
      <c r="H389" t="s">
        <v>285</v>
      </c>
      <c r="I389" t="s">
        <v>288</v>
      </c>
      <c r="J389" t="s">
        <v>317</v>
      </c>
      <c r="K389" t="s">
        <v>57</v>
      </c>
    </row>
    <row r="390" spans="1:11" x14ac:dyDescent="0.35">
      <c r="A390" t="s">
        <v>762</v>
      </c>
      <c r="B390">
        <v>2024</v>
      </c>
      <c r="C390" t="s">
        <v>678</v>
      </c>
      <c r="D390" t="s">
        <v>85</v>
      </c>
      <c r="E390" t="s">
        <v>117</v>
      </c>
      <c r="F390" t="s">
        <v>131</v>
      </c>
      <c r="G390" t="s">
        <v>128</v>
      </c>
      <c r="H390" t="s">
        <v>305</v>
      </c>
      <c r="I390" t="s">
        <v>77</v>
      </c>
      <c r="J390" t="s">
        <v>286</v>
      </c>
      <c r="K390" t="s">
        <v>57</v>
      </c>
    </row>
    <row r="391" spans="1:11" x14ac:dyDescent="0.35">
      <c r="A391" t="s">
        <v>763</v>
      </c>
      <c r="B391">
        <v>2024</v>
      </c>
      <c r="C391" t="s">
        <v>678</v>
      </c>
      <c r="D391" t="s">
        <v>76</v>
      </c>
      <c r="E391" t="s">
        <v>110</v>
      </c>
      <c r="F391" t="s">
        <v>125</v>
      </c>
      <c r="G391" t="s">
        <v>128</v>
      </c>
      <c r="H391" t="s">
        <v>285</v>
      </c>
      <c r="I391" t="s">
        <v>86</v>
      </c>
      <c r="J391" t="s">
        <v>317</v>
      </c>
      <c r="K391" t="s">
        <v>57</v>
      </c>
    </row>
    <row r="392" spans="1:11" x14ac:dyDescent="0.35">
      <c r="A392" t="s">
        <v>764</v>
      </c>
      <c r="B392">
        <v>2024</v>
      </c>
      <c r="C392" t="s">
        <v>678</v>
      </c>
      <c r="D392" t="s">
        <v>76</v>
      </c>
      <c r="E392" t="s">
        <v>115</v>
      </c>
      <c r="F392" t="s">
        <v>127</v>
      </c>
      <c r="G392" t="s">
        <v>130</v>
      </c>
      <c r="H392" t="s">
        <v>285</v>
      </c>
      <c r="I392" t="s">
        <v>289</v>
      </c>
      <c r="J392" t="s">
        <v>686</v>
      </c>
      <c r="K392" t="s">
        <v>57</v>
      </c>
    </row>
    <row r="393" spans="1:11" x14ac:dyDescent="0.35">
      <c r="A393" t="s">
        <v>765</v>
      </c>
      <c r="B393">
        <v>2024</v>
      </c>
      <c r="C393" t="s">
        <v>678</v>
      </c>
      <c r="D393" t="s">
        <v>85</v>
      </c>
      <c r="E393" t="s">
        <v>120</v>
      </c>
      <c r="F393" t="s">
        <v>127</v>
      </c>
      <c r="G393" t="s">
        <v>128</v>
      </c>
      <c r="H393" t="s">
        <v>305</v>
      </c>
      <c r="I393" t="s">
        <v>86</v>
      </c>
      <c r="J393" t="s">
        <v>286</v>
      </c>
      <c r="K393" t="s">
        <v>57</v>
      </c>
    </row>
    <row r="394" spans="1:11" x14ac:dyDescent="0.35">
      <c r="A394" t="s">
        <v>766</v>
      </c>
      <c r="B394">
        <v>2024</v>
      </c>
      <c r="C394" t="s">
        <v>678</v>
      </c>
      <c r="D394" t="s">
        <v>76</v>
      </c>
      <c r="E394" t="s">
        <v>118</v>
      </c>
      <c r="F394" t="s">
        <v>127</v>
      </c>
      <c r="G394" t="s">
        <v>128</v>
      </c>
      <c r="H394" t="s">
        <v>285</v>
      </c>
      <c r="I394" t="s">
        <v>77</v>
      </c>
      <c r="J394" t="s">
        <v>286</v>
      </c>
      <c r="K394" t="s">
        <v>57</v>
      </c>
    </row>
    <row r="395" spans="1:11" x14ac:dyDescent="0.35">
      <c r="A395" t="s">
        <v>767</v>
      </c>
      <c r="B395">
        <v>2024</v>
      </c>
      <c r="C395" t="s">
        <v>678</v>
      </c>
      <c r="D395" t="s">
        <v>85</v>
      </c>
      <c r="E395" t="s">
        <v>120</v>
      </c>
      <c r="F395" t="s">
        <v>129</v>
      </c>
      <c r="G395" t="s">
        <v>128</v>
      </c>
      <c r="H395" t="s">
        <v>305</v>
      </c>
      <c r="I395" t="s">
        <v>289</v>
      </c>
      <c r="J395" t="s">
        <v>288</v>
      </c>
      <c r="K395" t="s">
        <v>57</v>
      </c>
    </row>
    <row r="396" spans="1:11" x14ac:dyDescent="0.35">
      <c r="A396" t="s">
        <v>768</v>
      </c>
      <c r="B396">
        <v>2024</v>
      </c>
      <c r="C396" t="s">
        <v>678</v>
      </c>
      <c r="D396" t="s">
        <v>85</v>
      </c>
      <c r="E396" t="s">
        <v>117</v>
      </c>
      <c r="F396" t="s">
        <v>127</v>
      </c>
      <c r="G396" t="s">
        <v>128</v>
      </c>
      <c r="H396" t="s">
        <v>305</v>
      </c>
      <c r="I396" t="s">
        <v>86</v>
      </c>
      <c r="J396" t="s">
        <v>405</v>
      </c>
      <c r="K396" t="s">
        <v>57</v>
      </c>
    </row>
    <row r="397" spans="1:11" x14ac:dyDescent="0.35">
      <c r="A397" t="s">
        <v>769</v>
      </c>
      <c r="B397">
        <v>2024</v>
      </c>
      <c r="C397" t="s">
        <v>678</v>
      </c>
      <c r="D397" t="s">
        <v>76</v>
      </c>
      <c r="E397" t="s">
        <v>599</v>
      </c>
      <c r="F397" t="s">
        <v>127</v>
      </c>
      <c r="G397" t="s">
        <v>128</v>
      </c>
      <c r="H397" t="s">
        <v>285</v>
      </c>
      <c r="I397" t="s">
        <v>86</v>
      </c>
      <c r="J397" t="s">
        <v>312</v>
      </c>
      <c r="K397" t="s">
        <v>42</v>
      </c>
    </row>
    <row r="398" spans="1:11" x14ac:dyDescent="0.35">
      <c r="A398" t="s">
        <v>770</v>
      </c>
      <c r="B398">
        <v>2024</v>
      </c>
      <c r="C398" t="s">
        <v>678</v>
      </c>
      <c r="D398" t="s">
        <v>85</v>
      </c>
      <c r="E398" t="s">
        <v>117</v>
      </c>
      <c r="F398" t="s">
        <v>288</v>
      </c>
      <c r="G398" t="s">
        <v>130</v>
      </c>
      <c r="H398" t="s">
        <v>285</v>
      </c>
      <c r="I398" t="s">
        <v>288</v>
      </c>
      <c r="J398" t="s">
        <v>288</v>
      </c>
      <c r="K398" t="s">
        <v>57</v>
      </c>
    </row>
    <row r="399" spans="1:11" x14ac:dyDescent="0.35">
      <c r="A399" t="s">
        <v>771</v>
      </c>
      <c r="B399">
        <v>2024</v>
      </c>
      <c r="C399" t="s">
        <v>678</v>
      </c>
      <c r="D399" t="s">
        <v>76</v>
      </c>
      <c r="E399" t="s">
        <v>360</v>
      </c>
      <c r="F399" t="s">
        <v>288</v>
      </c>
      <c r="G399" t="s">
        <v>126</v>
      </c>
      <c r="H399" t="s">
        <v>305</v>
      </c>
      <c r="I399" t="s">
        <v>288</v>
      </c>
      <c r="J399" t="s">
        <v>288</v>
      </c>
      <c r="K399" t="s">
        <v>57</v>
      </c>
    </row>
    <row r="400" spans="1:11" x14ac:dyDescent="0.35">
      <c r="A400" t="s">
        <v>772</v>
      </c>
      <c r="B400">
        <v>2024</v>
      </c>
      <c r="C400" t="s">
        <v>678</v>
      </c>
      <c r="D400" t="s">
        <v>76</v>
      </c>
      <c r="E400" t="s">
        <v>115</v>
      </c>
      <c r="F400" t="s">
        <v>127</v>
      </c>
      <c r="G400" t="s">
        <v>130</v>
      </c>
      <c r="H400" t="s">
        <v>357</v>
      </c>
      <c r="I400" t="s">
        <v>86</v>
      </c>
      <c r="J400" t="s">
        <v>286</v>
      </c>
      <c r="K400" t="s">
        <v>57</v>
      </c>
    </row>
    <row r="401" spans="1:11" x14ac:dyDescent="0.35">
      <c r="A401" t="s">
        <v>773</v>
      </c>
      <c r="B401">
        <v>2024</v>
      </c>
      <c r="C401" t="s">
        <v>678</v>
      </c>
      <c r="D401" t="s">
        <v>76</v>
      </c>
      <c r="E401" t="s">
        <v>109</v>
      </c>
      <c r="F401" t="s">
        <v>127</v>
      </c>
      <c r="G401" t="s">
        <v>126</v>
      </c>
      <c r="H401" t="s">
        <v>285</v>
      </c>
      <c r="I401" t="s">
        <v>77</v>
      </c>
      <c r="J401" t="s">
        <v>286</v>
      </c>
      <c r="K401" t="s">
        <v>57</v>
      </c>
    </row>
    <row r="402" spans="1:11" x14ac:dyDescent="0.35">
      <c r="A402" t="s">
        <v>774</v>
      </c>
      <c r="B402">
        <v>2024</v>
      </c>
      <c r="C402" t="s">
        <v>678</v>
      </c>
      <c r="D402" t="s">
        <v>76</v>
      </c>
      <c r="E402" t="s">
        <v>113</v>
      </c>
      <c r="F402" t="s">
        <v>127</v>
      </c>
      <c r="G402" t="s">
        <v>128</v>
      </c>
      <c r="H402" t="s">
        <v>285</v>
      </c>
      <c r="I402" t="s">
        <v>86</v>
      </c>
      <c r="J402" t="s">
        <v>775</v>
      </c>
      <c r="K402" t="s">
        <v>42</v>
      </c>
    </row>
    <row r="403" spans="1:11" x14ac:dyDescent="0.35">
      <c r="A403" t="s">
        <v>776</v>
      </c>
      <c r="B403">
        <v>2024</v>
      </c>
      <c r="C403" t="s">
        <v>678</v>
      </c>
      <c r="D403" t="s">
        <v>76</v>
      </c>
      <c r="E403" t="s">
        <v>119</v>
      </c>
      <c r="F403" t="s">
        <v>125</v>
      </c>
      <c r="G403" t="s">
        <v>132</v>
      </c>
      <c r="H403" t="s">
        <v>285</v>
      </c>
      <c r="I403" t="s">
        <v>86</v>
      </c>
      <c r="J403" t="s">
        <v>286</v>
      </c>
      <c r="K403" t="s">
        <v>57</v>
      </c>
    </row>
    <row r="404" spans="1:11" x14ac:dyDescent="0.35">
      <c r="A404" t="s">
        <v>777</v>
      </c>
      <c r="B404">
        <v>2024</v>
      </c>
      <c r="C404" t="s">
        <v>678</v>
      </c>
      <c r="D404" t="s">
        <v>76</v>
      </c>
      <c r="E404" t="s">
        <v>115</v>
      </c>
      <c r="F404" t="s">
        <v>125</v>
      </c>
      <c r="G404" t="s">
        <v>128</v>
      </c>
      <c r="H404" t="s">
        <v>357</v>
      </c>
      <c r="I404" t="s">
        <v>77</v>
      </c>
      <c r="J404" t="s">
        <v>286</v>
      </c>
      <c r="K404" t="s">
        <v>57</v>
      </c>
    </row>
    <row r="405" spans="1:11" x14ac:dyDescent="0.35">
      <c r="A405" t="s">
        <v>778</v>
      </c>
      <c r="B405">
        <v>2024</v>
      </c>
      <c r="C405" t="s">
        <v>678</v>
      </c>
      <c r="D405" t="s">
        <v>85</v>
      </c>
      <c r="E405" t="s">
        <v>116</v>
      </c>
      <c r="F405" t="s">
        <v>125</v>
      </c>
      <c r="G405" t="s">
        <v>132</v>
      </c>
      <c r="H405" t="s">
        <v>285</v>
      </c>
      <c r="I405" t="s">
        <v>86</v>
      </c>
      <c r="J405" t="s">
        <v>286</v>
      </c>
      <c r="K405" t="s">
        <v>57</v>
      </c>
    </row>
    <row r="406" spans="1:11" x14ac:dyDescent="0.35">
      <c r="A406" t="s">
        <v>779</v>
      </c>
      <c r="B406">
        <v>2024</v>
      </c>
      <c r="C406" t="s">
        <v>678</v>
      </c>
      <c r="D406" t="s">
        <v>76</v>
      </c>
      <c r="E406" t="s">
        <v>107</v>
      </c>
      <c r="F406" t="s">
        <v>129</v>
      </c>
      <c r="G406" t="s">
        <v>128</v>
      </c>
      <c r="H406" t="s">
        <v>285</v>
      </c>
      <c r="I406" t="s">
        <v>77</v>
      </c>
      <c r="J406" t="s">
        <v>286</v>
      </c>
      <c r="K406" t="s">
        <v>57</v>
      </c>
    </row>
    <row r="407" spans="1:11" x14ac:dyDescent="0.35">
      <c r="A407" t="s">
        <v>780</v>
      </c>
      <c r="B407">
        <v>2024</v>
      </c>
      <c r="C407" t="s">
        <v>678</v>
      </c>
      <c r="D407" t="s">
        <v>76</v>
      </c>
      <c r="E407" t="s">
        <v>113</v>
      </c>
      <c r="F407" t="s">
        <v>127</v>
      </c>
      <c r="G407" t="s">
        <v>130</v>
      </c>
      <c r="H407" t="s">
        <v>357</v>
      </c>
      <c r="I407" t="s">
        <v>86</v>
      </c>
      <c r="J407" t="s">
        <v>417</v>
      </c>
      <c r="K407" t="s">
        <v>42</v>
      </c>
    </row>
    <row r="408" spans="1:11" x14ac:dyDescent="0.35">
      <c r="A408" t="s">
        <v>781</v>
      </c>
      <c r="B408">
        <v>2024</v>
      </c>
      <c r="C408" t="s">
        <v>678</v>
      </c>
      <c r="D408" t="s">
        <v>76</v>
      </c>
      <c r="E408" t="s">
        <v>115</v>
      </c>
      <c r="F408" t="s">
        <v>288</v>
      </c>
      <c r="G408" t="s">
        <v>132</v>
      </c>
      <c r="H408" t="s">
        <v>285</v>
      </c>
      <c r="I408" t="s">
        <v>428</v>
      </c>
      <c r="J408" t="s">
        <v>286</v>
      </c>
      <c r="K408" t="s">
        <v>57</v>
      </c>
    </row>
    <row r="409" spans="1:11" x14ac:dyDescent="0.35">
      <c r="A409" t="s">
        <v>782</v>
      </c>
      <c r="B409">
        <v>2024</v>
      </c>
      <c r="C409" t="s">
        <v>678</v>
      </c>
      <c r="D409" t="s">
        <v>76</v>
      </c>
      <c r="E409" t="s">
        <v>110</v>
      </c>
      <c r="F409" t="s">
        <v>131</v>
      </c>
      <c r="G409" t="s">
        <v>128</v>
      </c>
      <c r="H409" t="s">
        <v>285</v>
      </c>
      <c r="I409" t="s">
        <v>86</v>
      </c>
      <c r="J409" t="s">
        <v>308</v>
      </c>
      <c r="K409" t="s">
        <v>42</v>
      </c>
    </row>
    <row r="410" spans="1:11" x14ac:dyDescent="0.35">
      <c r="A410" t="s">
        <v>783</v>
      </c>
      <c r="B410">
        <v>2024</v>
      </c>
      <c r="C410" t="s">
        <v>678</v>
      </c>
      <c r="D410" t="s">
        <v>76</v>
      </c>
      <c r="E410" t="s">
        <v>118</v>
      </c>
      <c r="F410" t="s">
        <v>131</v>
      </c>
      <c r="G410" t="s">
        <v>128</v>
      </c>
      <c r="H410" t="s">
        <v>357</v>
      </c>
      <c r="I410" t="s">
        <v>86</v>
      </c>
      <c r="J410" t="s">
        <v>286</v>
      </c>
      <c r="K410" t="s">
        <v>57</v>
      </c>
    </row>
    <row r="411" spans="1:11" x14ac:dyDescent="0.35">
      <c r="A411" t="s">
        <v>784</v>
      </c>
      <c r="B411">
        <v>2024</v>
      </c>
      <c r="C411" t="s">
        <v>678</v>
      </c>
      <c r="D411" t="s">
        <v>85</v>
      </c>
      <c r="E411" t="s">
        <v>116</v>
      </c>
      <c r="F411" t="s">
        <v>131</v>
      </c>
      <c r="G411" t="s">
        <v>128</v>
      </c>
      <c r="H411" t="s">
        <v>285</v>
      </c>
      <c r="I411" t="s">
        <v>289</v>
      </c>
      <c r="J411" t="s">
        <v>326</v>
      </c>
      <c r="K411" t="s">
        <v>57</v>
      </c>
    </row>
    <row r="412" spans="1:11" x14ac:dyDescent="0.35">
      <c r="A412" t="s">
        <v>785</v>
      </c>
      <c r="B412">
        <v>2024</v>
      </c>
      <c r="C412" t="s">
        <v>678</v>
      </c>
      <c r="D412" t="s">
        <v>85</v>
      </c>
      <c r="E412" t="s">
        <v>120</v>
      </c>
      <c r="F412" t="s">
        <v>125</v>
      </c>
      <c r="G412" t="s">
        <v>132</v>
      </c>
      <c r="H412" t="s">
        <v>305</v>
      </c>
      <c r="I412" t="s">
        <v>86</v>
      </c>
      <c r="J412" t="s">
        <v>295</v>
      </c>
      <c r="K412" t="s">
        <v>57</v>
      </c>
    </row>
    <row r="413" spans="1:11" x14ac:dyDescent="0.35">
      <c r="A413" t="s">
        <v>786</v>
      </c>
      <c r="B413">
        <v>2024</v>
      </c>
      <c r="C413" t="s">
        <v>678</v>
      </c>
      <c r="D413" t="s">
        <v>85</v>
      </c>
      <c r="E413" t="s">
        <v>116</v>
      </c>
      <c r="F413" t="s">
        <v>127</v>
      </c>
      <c r="G413" t="s">
        <v>128</v>
      </c>
      <c r="H413" t="s">
        <v>285</v>
      </c>
      <c r="I413" t="s">
        <v>289</v>
      </c>
      <c r="J413" t="s">
        <v>286</v>
      </c>
      <c r="K413" t="s">
        <v>57</v>
      </c>
    </row>
    <row r="414" spans="1:11" x14ac:dyDescent="0.35">
      <c r="A414" t="s">
        <v>787</v>
      </c>
      <c r="B414">
        <v>2024</v>
      </c>
      <c r="C414" t="s">
        <v>678</v>
      </c>
      <c r="D414" t="s">
        <v>85</v>
      </c>
      <c r="E414" t="s">
        <v>116</v>
      </c>
      <c r="F414" t="s">
        <v>129</v>
      </c>
      <c r="G414" t="s">
        <v>126</v>
      </c>
      <c r="H414" t="s">
        <v>285</v>
      </c>
      <c r="I414" t="s">
        <v>337</v>
      </c>
      <c r="J414" t="s">
        <v>347</v>
      </c>
      <c r="K414" t="s">
        <v>57</v>
      </c>
    </row>
    <row r="415" spans="1:11" x14ac:dyDescent="0.35">
      <c r="A415" t="s">
        <v>788</v>
      </c>
      <c r="B415">
        <v>2024</v>
      </c>
      <c r="C415" t="s">
        <v>678</v>
      </c>
      <c r="D415" t="s">
        <v>85</v>
      </c>
      <c r="E415" t="s">
        <v>116</v>
      </c>
      <c r="F415" t="s">
        <v>127</v>
      </c>
      <c r="G415" t="s">
        <v>132</v>
      </c>
      <c r="H415" t="s">
        <v>285</v>
      </c>
      <c r="I415" t="s">
        <v>86</v>
      </c>
      <c r="J415" t="s">
        <v>405</v>
      </c>
      <c r="K415" t="s">
        <v>57</v>
      </c>
    </row>
    <row r="416" spans="1:11" x14ac:dyDescent="0.35">
      <c r="A416" t="s">
        <v>789</v>
      </c>
      <c r="B416">
        <v>2024</v>
      </c>
      <c r="C416" t="s">
        <v>678</v>
      </c>
      <c r="D416" t="s">
        <v>76</v>
      </c>
      <c r="E416" t="s">
        <v>115</v>
      </c>
      <c r="F416" t="s">
        <v>125</v>
      </c>
      <c r="G416" t="s">
        <v>132</v>
      </c>
      <c r="H416" t="s">
        <v>285</v>
      </c>
      <c r="I416" t="s">
        <v>86</v>
      </c>
      <c r="J416" t="s">
        <v>790</v>
      </c>
      <c r="K416" t="s">
        <v>42</v>
      </c>
    </row>
    <row r="417" spans="1:11" x14ac:dyDescent="0.35">
      <c r="A417" t="s">
        <v>791</v>
      </c>
      <c r="B417">
        <v>2024</v>
      </c>
      <c r="C417" t="s">
        <v>678</v>
      </c>
      <c r="D417" t="s">
        <v>76</v>
      </c>
      <c r="E417" t="s">
        <v>107</v>
      </c>
      <c r="F417" t="s">
        <v>125</v>
      </c>
      <c r="G417" t="s">
        <v>128</v>
      </c>
      <c r="H417" t="s">
        <v>357</v>
      </c>
      <c r="I417" t="s">
        <v>77</v>
      </c>
      <c r="J417" t="s">
        <v>286</v>
      </c>
      <c r="K417" t="s">
        <v>57</v>
      </c>
    </row>
    <row r="418" spans="1:11" x14ac:dyDescent="0.35">
      <c r="A418" t="s">
        <v>792</v>
      </c>
      <c r="B418">
        <v>2024</v>
      </c>
      <c r="C418" t="s">
        <v>678</v>
      </c>
      <c r="D418" t="s">
        <v>76</v>
      </c>
      <c r="E418" t="s">
        <v>110</v>
      </c>
      <c r="F418" t="s">
        <v>125</v>
      </c>
      <c r="G418" t="s">
        <v>130</v>
      </c>
      <c r="H418" t="s">
        <v>285</v>
      </c>
      <c r="I418" t="s">
        <v>77</v>
      </c>
      <c r="J418" t="s">
        <v>295</v>
      </c>
      <c r="K418" t="s">
        <v>57</v>
      </c>
    </row>
    <row r="419" spans="1:11" x14ac:dyDescent="0.35">
      <c r="A419" t="s">
        <v>793</v>
      </c>
      <c r="B419">
        <v>2024</v>
      </c>
      <c r="C419" t="s">
        <v>678</v>
      </c>
      <c r="D419" t="s">
        <v>76</v>
      </c>
      <c r="E419" t="s">
        <v>115</v>
      </c>
      <c r="F419" t="s">
        <v>127</v>
      </c>
      <c r="G419" t="s">
        <v>130</v>
      </c>
      <c r="H419" t="s">
        <v>285</v>
      </c>
      <c r="I419" t="s">
        <v>86</v>
      </c>
      <c r="J419" t="s">
        <v>794</v>
      </c>
      <c r="K419" t="s">
        <v>42</v>
      </c>
    </row>
    <row r="420" spans="1:11" x14ac:dyDescent="0.35">
      <c r="A420" t="s">
        <v>795</v>
      </c>
      <c r="B420">
        <v>2024</v>
      </c>
      <c r="C420" t="s">
        <v>678</v>
      </c>
      <c r="D420" t="s">
        <v>85</v>
      </c>
      <c r="E420" t="s">
        <v>344</v>
      </c>
      <c r="F420" t="s">
        <v>125</v>
      </c>
      <c r="G420" t="s">
        <v>126</v>
      </c>
      <c r="H420" t="s">
        <v>285</v>
      </c>
      <c r="I420" t="s">
        <v>86</v>
      </c>
      <c r="J420" t="s">
        <v>286</v>
      </c>
      <c r="K420" t="s">
        <v>57</v>
      </c>
    </row>
    <row r="421" spans="1:11" x14ac:dyDescent="0.35">
      <c r="A421" t="s">
        <v>796</v>
      </c>
      <c r="B421">
        <v>2024</v>
      </c>
      <c r="C421" t="s">
        <v>678</v>
      </c>
      <c r="D421" t="s">
        <v>85</v>
      </c>
      <c r="E421" t="s">
        <v>116</v>
      </c>
      <c r="F421" t="s">
        <v>129</v>
      </c>
      <c r="G421" t="s">
        <v>128</v>
      </c>
      <c r="H421" t="s">
        <v>285</v>
      </c>
      <c r="I421" t="s">
        <v>77</v>
      </c>
      <c r="J421" t="s">
        <v>405</v>
      </c>
      <c r="K421" t="s">
        <v>57</v>
      </c>
    </row>
    <row r="422" spans="1:11" x14ac:dyDescent="0.35">
      <c r="A422" t="s">
        <v>797</v>
      </c>
      <c r="B422">
        <v>2024</v>
      </c>
      <c r="C422" t="s">
        <v>678</v>
      </c>
      <c r="D422" t="s">
        <v>76</v>
      </c>
      <c r="E422" t="s">
        <v>107</v>
      </c>
      <c r="F422" t="s">
        <v>127</v>
      </c>
      <c r="G422" t="s">
        <v>128</v>
      </c>
      <c r="H422" t="s">
        <v>285</v>
      </c>
      <c r="I422" t="s">
        <v>86</v>
      </c>
      <c r="J422" t="s">
        <v>286</v>
      </c>
      <c r="K422" t="s">
        <v>57</v>
      </c>
    </row>
    <row r="423" spans="1:11" x14ac:dyDescent="0.35">
      <c r="A423" t="s">
        <v>798</v>
      </c>
      <c r="B423">
        <v>2024</v>
      </c>
      <c r="C423" t="s">
        <v>678</v>
      </c>
      <c r="D423" t="s">
        <v>85</v>
      </c>
      <c r="E423" t="s">
        <v>120</v>
      </c>
      <c r="F423" t="s">
        <v>125</v>
      </c>
      <c r="G423" t="s">
        <v>126</v>
      </c>
      <c r="H423" t="s">
        <v>285</v>
      </c>
      <c r="I423" t="s">
        <v>86</v>
      </c>
      <c r="J423" t="s">
        <v>288</v>
      </c>
      <c r="K423" t="s">
        <v>57</v>
      </c>
    </row>
    <row r="424" spans="1:11" x14ac:dyDescent="0.35">
      <c r="A424" t="s">
        <v>799</v>
      </c>
      <c r="B424">
        <v>2024</v>
      </c>
      <c r="C424" t="s">
        <v>678</v>
      </c>
      <c r="D424" t="s">
        <v>76</v>
      </c>
      <c r="E424" t="s">
        <v>107</v>
      </c>
      <c r="F424" t="s">
        <v>125</v>
      </c>
      <c r="G424" t="s">
        <v>128</v>
      </c>
      <c r="H424" t="s">
        <v>285</v>
      </c>
      <c r="I424" t="s">
        <v>77</v>
      </c>
      <c r="J424" t="s">
        <v>286</v>
      </c>
      <c r="K424" t="s">
        <v>57</v>
      </c>
    </row>
    <row r="425" spans="1:11" x14ac:dyDescent="0.35">
      <c r="A425" t="s">
        <v>800</v>
      </c>
      <c r="B425">
        <v>2024</v>
      </c>
      <c r="C425" t="s">
        <v>678</v>
      </c>
      <c r="D425" t="s">
        <v>85</v>
      </c>
      <c r="E425" t="s">
        <v>116</v>
      </c>
      <c r="F425" t="s">
        <v>129</v>
      </c>
      <c r="G425" t="s">
        <v>128</v>
      </c>
      <c r="H425" t="s">
        <v>285</v>
      </c>
      <c r="I425" t="s">
        <v>86</v>
      </c>
      <c r="J425" t="s">
        <v>286</v>
      </c>
      <c r="K425" t="s">
        <v>57</v>
      </c>
    </row>
    <row r="426" spans="1:11" x14ac:dyDescent="0.35">
      <c r="A426" t="s">
        <v>801</v>
      </c>
      <c r="B426">
        <v>2024</v>
      </c>
      <c r="C426" t="s">
        <v>678</v>
      </c>
      <c r="D426" t="s">
        <v>85</v>
      </c>
      <c r="E426" t="s">
        <v>116</v>
      </c>
      <c r="F426" t="s">
        <v>125</v>
      </c>
      <c r="G426" t="s">
        <v>128</v>
      </c>
      <c r="H426" t="s">
        <v>285</v>
      </c>
      <c r="I426" t="s">
        <v>86</v>
      </c>
      <c r="J426" t="s">
        <v>317</v>
      </c>
      <c r="K426" t="s">
        <v>57</v>
      </c>
    </row>
    <row r="427" spans="1:11" x14ac:dyDescent="0.35">
      <c r="A427" t="s">
        <v>802</v>
      </c>
      <c r="B427">
        <v>2024</v>
      </c>
      <c r="C427" t="s">
        <v>678</v>
      </c>
      <c r="D427" t="s">
        <v>85</v>
      </c>
      <c r="E427" t="s">
        <v>116</v>
      </c>
      <c r="F427" t="s">
        <v>125</v>
      </c>
      <c r="G427" t="s">
        <v>128</v>
      </c>
      <c r="H427" t="s">
        <v>285</v>
      </c>
      <c r="I427" t="s">
        <v>86</v>
      </c>
      <c r="J427" t="s">
        <v>286</v>
      </c>
      <c r="K427" t="s">
        <v>57</v>
      </c>
    </row>
    <row r="428" spans="1:11" x14ac:dyDescent="0.35">
      <c r="A428" t="s">
        <v>803</v>
      </c>
      <c r="B428">
        <v>2024</v>
      </c>
      <c r="C428" t="s">
        <v>678</v>
      </c>
      <c r="D428" t="s">
        <v>85</v>
      </c>
      <c r="E428" t="s">
        <v>116</v>
      </c>
      <c r="F428" t="s">
        <v>125</v>
      </c>
      <c r="G428" t="s">
        <v>128</v>
      </c>
      <c r="H428" t="s">
        <v>285</v>
      </c>
      <c r="I428" t="s">
        <v>86</v>
      </c>
      <c r="J428" t="s">
        <v>317</v>
      </c>
      <c r="K428" t="s">
        <v>57</v>
      </c>
    </row>
    <row r="429" spans="1:11" x14ac:dyDescent="0.35">
      <c r="A429" t="s">
        <v>804</v>
      </c>
      <c r="B429">
        <v>2024</v>
      </c>
      <c r="C429" t="s">
        <v>678</v>
      </c>
      <c r="D429" t="s">
        <v>85</v>
      </c>
      <c r="E429" t="s">
        <v>344</v>
      </c>
      <c r="F429" t="s">
        <v>125</v>
      </c>
      <c r="G429" t="s">
        <v>128</v>
      </c>
      <c r="H429" t="s">
        <v>285</v>
      </c>
      <c r="I429" t="s">
        <v>86</v>
      </c>
      <c r="J429" t="s">
        <v>286</v>
      </c>
      <c r="K429" t="s">
        <v>57</v>
      </c>
    </row>
    <row r="430" spans="1:11" x14ac:dyDescent="0.35">
      <c r="A430" t="s">
        <v>805</v>
      </c>
      <c r="B430">
        <v>2024</v>
      </c>
      <c r="C430" t="s">
        <v>678</v>
      </c>
      <c r="D430" t="s">
        <v>85</v>
      </c>
      <c r="E430" t="s">
        <v>120</v>
      </c>
      <c r="F430" t="s">
        <v>133</v>
      </c>
      <c r="G430" t="s">
        <v>128</v>
      </c>
      <c r="H430" t="s">
        <v>305</v>
      </c>
      <c r="I430" t="s">
        <v>433</v>
      </c>
      <c r="J430" t="s">
        <v>286</v>
      </c>
      <c r="K430" t="s">
        <v>57</v>
      </c>
    </row>
    <row r="431" spans="1:11" x14ac:dyDescent="0.35">
      <c r="A431" t="s">
        <v>806</v>
      </c>
      <c r="B431">
        <v>2024</v>
      </c>
      <c r="C431" t="s">
        <v>678</v>
      </c>
      <c r="D431" t="s">
        <v>85</v>
      </c>
      <c r="E431" t="s">
        <v>116</v>
      </c>
      <c r="F431" t="s">
        <v>131</v>
      </c>
      <c r="G431" t="s">
        <v>128</v>
      </c>
      <c r="H431" t="s">
        <v>285</v>
      </c>
      <c r="I431" t="s">
        <v>86</v>
      </c>
      <c r="J431" t="s">
        <v>326</v>
      </c>
      <c r="K431" t="s">
        <v>57</v>
      </c>
    </row>
    <row r="432" spans="1:11" x14ac:dyDescent="0.35">
      <c r="A432" t="s">
        <v>807</v>
      </c>
      <c r="B432">
        <v>2024</v>
      </c>
      <c r="C432" t="s">
        <v>678</v>
      </c>
      <c r="D432" t="s">
        <v>85</v>
      </c>
      <c r="E432" t="s">
        <v>116</v>
      </c>
      <c r="F432" t="s">
        <v>125</v>
      </c>
      <c r="G432" t="s">
        <v>128</v>
      </c>
      <c r="H432" t="s">
        <v>285</v>
      </c>
      <c r="I432" t="s">
        <v>86</v>
      </c>
      <c r="J432" t="s">
        <v>286</v>
      </c>
      <c r="K432" t="s">
        <v>57</v>
      </c>
    </row>
    <row r="433" spans="1:11" x14ac:dyDescent="0.35">
      <c r="A433" t="s">
        <v>808</v>
      </c>
      <c r="B433">
        <v>2024</v>
      </c>
      <c r="C433" t="s">
        <v>678</v>
      </c>
      <c r="D433" t="s">
        <v>85</v>
      </c>
      <c r="E433" t="s">
        <v>344</v>
      </c>
      <c r="F433" t="s">
        <v>127</v>
      </c>
      <c r="G433" t="s">
        <v>130</v>
      </c>
      <c r="H433" t="s">
        <v>305</v>
      </c>
      <c r="I433" t="s">
        <v>86</v>
      </c>
      <c r="J433" t="s">
        <v>317</v>
      </c>
      <c r="K433" t="s">
        <v>57</v>
      </c>
    </row>
    <row r="434" spans="1:11" x14ac:dyDescent="0.35">
      <c r="A434" t="s">
        <v>250</v>
      </c>
      <c r="B434">
        <v>2024</v>
      </c>
      <c r="C434" t="s">
        <v>678</v>
      </c>
      <c r="D434" t="s">
        <v>85</v>
      </c>
      <c r="E434" t="s">
        <v>116</v>
      </c>
      <c r="F434" t="s">
        <v>131</v>
      </c>
      <c r="G434" t="s">
        <v>128</v>
      </c>
      <c r="H434" t="s">
        <v>305</v>
      </c>
      <c r="I434" t="s">
        <v>319</v>
      </c>
      <c r="J434" t="s">
        <v>331</v>
      </c>
      <c r="K434" t="s">
        <v>42</v>
      </c>
    </row>
    <row r="435" spans="1:11" x14ac:dyDescent="0.35">
      <c r="A435" t="s">
        <v>809</v>
      </c>
      <c r="B435">
        <v>2024</v>
      </c>
      <c r="C435" t="s">
        <v>678</v>
      </c>
      <c r="D435" t="s">
        <v>85</v>
      </c>
      <c r="E435" t="s">
        <v>344</v>
      </c>
      <c r="F435" t="s">
        <v>125</v>
      </c>
      <c r="G435" t="s">
        <v>128</v>
      </c>
      <c r="H435" t="s">
        <v>285</v>
      </c>
      <c r="I435" t="s">
        <v>86</v>
      </c>
      <c r="J435" t="s">
        <v>467</v>
      </c>
      <c r="K435" t="s">
        <v>57</v>
      </c>
    </row>
    <row r="436" spans="1:11" x14ac:dyDescent="0.35">
      <c r="A436" t="s">
        <v>810</v>
      </c>
      <c r="B436">
        <v>2024</v>
      </c>
      <c r="C436" t="s">
        <v>678</v>
      </c>
      <c r="D436" t="s">
        <v>76</v>
      </c>
      <c r="E436" t="s">
        <v>111</v>
      </c>
      <c r="F436" t="s">
        <v>125</v>
      </c>
      <c r="G436" t="s">
        <v>126</v>
      </c>
      <c r="H436" t="s">
        <v>285</v>
      </c>
      <c r="I436" t="s">
        <v>86</v>
      </c>
      <c r="J436" t="s">
        <v>308</v>
      </c>
      <c r="K436" t="s">
        <v>42</v>
      </c>
    </row>
    <row r="437" spans="1:11" x14ac:dyDescent="0.35">
      <c r="A437" t="s">
        <v>811</v>
      </c>
      <c r="B437">
        <v>2024</v>
      </c>
      <c r="C437" t="s">
        <v>678</v>
      </c>
      <c r="D437" t="s">
        <v>76</v>
      </c>
      <c r="E437" t="s">
        <v>115</v>
      </c>
      <c r="F437" t="s">
        <v>131</v>
      </c>
      <c r="G437" t="s">
        <v>128</v>
      </c>
      <c r="H437" t="s">
        <v>285</v>
      </c>
      <c r="I437" t="s">
        <v>77</v>
      </c>
      <c r="J437" t="s">
        <v>286</v>
      </c>
      <c r="K437" t="s">
        <v>57</v>
      </c>
    </row>
    <row r="438" spans="1:11" x14ac:dyDescent="0.35">
      <c r="A438" t="s">
        <v>812</v>
      </c>
      <c r="B438">
        <v>2024</v>
      </c>
      <c r="C438" t="s">
        <v>678</v>
      </c>
      <c r="D438" t="s">
        <v>76</v>
      </c>
      <c r="E438" t="s">
        <v>113</v>
      </c>
      <c r="F438" t="s">
        <v>125</v>
      </c>
      <c r="G438" t="s">
        <v>126</v>
      </c>
      <c r="H438" t="s">
        <v>285</v>
      </c>
      <c r="I438" t="s">
        <v>428</v>
      </c>
      <c r="J438" t="s">
        <v>286</v>
      </c>
      <c r="K438" t="s">
        <v>57</v>
      </c>
    </row>
    <row r="439" spans="1:11" x14ac:dyDescent="0.35">
      <c r="A439" t="s">
        <v>813</v>
      </c>
      <c r="B439">
        <v>2024</v>
      </c>
      <c r="C439" t="s">
        <v>678</v>
      </c>
      <c r="D439" t="s">
        <v>85</v>
      </c>
      <c r="E439" t="s">
        <v>116</v>
      </c>
      <c r="F439" t="s">
        <v>129</v>
      </c>
      <c r="G439" t="s">
        <v>128</v>
      </c>
      <c r="H439" t="s">
        <v>285</v>
      </c>
      <c r="I439" t="s">
        <v>289</v>
      </c>
      <c r="J439" t="s">
        <v>286</v>
      </c>
      <c r="K439" t="s">
        <v>57</v>
      </c>
    </row>
    <row r="440" spans="1:11" x14ac:dyDescent="0.35">
      <c r="A440" t="s">
        <v>814</v>
      </c>
      <c r="B440">
        <v>2024</v>
      </c>
      <c r="C440" t="s">
        <v>678</v>
      </c>
      <c r="D440" t="s">
        <v>85</v>
      </c>
      <c r="E440" t="s">
        <v>120</v>
      </c>
      <c r="F440" t="s">
        <v>125</v>
      </c>
      <c r="G440" t="s">
        <v>128</v>
      </c>
      <c r="H440" t="s">
        <v>285</v>
      </c>
      <c r="I440" t="s">
        <v>86</v>
      </c>
      <c r="J440" t="s">
        <v>286</v>
      </c>
      <c r="K440" t="s">
        <v>57</v>
      </c>
    </row>
    <row r="441" spans="1:11" x14ac:dyDescent="0.35">
      <c r="A441" t="s">
        <v>815</v>
      </c>
      <c r="B441">
        <v>2024</v>
      </c>
      <c r="C441" t="s">
        <v>678</v>
      </c>
      <c r="D441" t="s">
        <v>85</v>
      </c>
      <c r="E441" t="s">
        <v>120</v>
      </c>
      <c r="F441" t="s">
        <v>125</v>
      </c>
      <c r="G441" t="s">
        <v>128</v>
      </c>
      <c r="H441" t="s">
        <v>285</v>
      </c>
      <c r="I441" t="s">
        <v>86</v>
      </c>
      <c r="J441" t="s">
        <v>286</v>
      </c>
      <c r="K441" t="s">
        <v>57</v>
      </c>
    </row>
    <row r="442" spans="1:11" x14ac:dyDescent="0.35">
      <c r="A442" t="s">
        <v>816</v>
      </c>
      <c r="B442">
        <v>2024</v>
      </c>
      <c r="C442" t="s">
        <v>678</v>
      </c>
      <c r="D442" t="s">
        <v>85</v>
      </c>
      <c r="E442" t="s">
        <v>120</v>
      </c>
      <c r="F442" t="s">
        <v>125</v>
      </c>
      <c r="G442" t="s">
        <v>126</v>
      </c>
      <c r="H442" t="s">
        <v>285</v>
      </c>
      <c r="I442" t="s">
        <v>86</v>
      </c>
      <c r="J442" t="s">
        <v>317</v>
      </c>
      <c r="K442" t="s">
        <v>57</v>
      </c>
    </row>
    <row r="443" spans="1:11" x14ac:dyDescent="0.35">
      <c r="A443" t="s">
        <v>817</v>
      </c>
      <c r="B443">
        <v>2024</v>
      </c>
      <c r="C443" t="s">
        <v>678</v>
      </c>
      <c r="D443" t="s">
        <v>85</v>
      </c>
      <c r="E443" t="s">
        <v>120</v>
      </c>
      <c r="F443" t="s">
        <v>125</v>
      </c>
      <c r="G443" t="s">
        <v>128</v>
      </c>
      <c r="H443" t="s">
        <v>285</v>
      </c>
      <c r="I443" t="s">
        <v>288</v>
      </c>
      <c r="J443" t="s">
        <v>317</v>
      </c>
      <c r="K443" t="s">
        <v>57</v>
      </c>
    </row>
    <row r="444" spans="1:11" x14ac:dyDescent="0.35">
      <c r="A444" t="s">
        <v>818</v>
      </c>
      <c r="B444">
        <v>2024</v>
      </c>
      <c r="C444" t="s">
        <v>678</v>
      </c>
      <c r="D444" t="s">
        <v>85</v>
      </c>
      <c r="E444" t="s">
        <v>117</v>
      </c>
      <c r="F444" t="s">
        <v>288</v>
      </c>
      <c r="G444" t="s">
        <v>128</v>
      </c>
      <c r="H444" t="s">
        <v>285</v>
      </c>
      <c r="I444" t="s">
        <v>337</v>
      </c>
      <c r="J444" t="s">
        <v>286</v>
      </c>
      <c r="K444" t="s">
        <v>57</v>
      </c>
    </row>
    <row r="445" spans="1:11" x14ac:dyDescent="0.35">
      <c r="A445" t="s">
        <v>819</v>
      </c>
      <c r="B445">
        <v>2024</v>
      </c>
      <c r="C445" t="s">
        <v>678</v>
      </c>
      <c r="D445" t="s">
        <v>76</v>
      </c>
      <c r="E445" t="s">
        <v>119</v>
      </c>
      <c r="F445" t="s">
        <v>288</v>
      </c>
      <c r="G445" t="s">
        <v>126</v>
      </c>
      <c r="H445" t="s">
        <v>297</v>
      </c>
      <c r="I445" t="s">
        <v>86</v>
      </c>
      <c r="J445" t="s">
        <v>288</v>
      </c>
      <c r="K445" t="s">
        <v>57</v>
      </c>
    </row>
    <row r="446" spans="1:11" x14ac:dyDescent="0.35">
      <c r="A446" t="s">
        <v>820</v>
      </c>
      <c r="B446">
        <v>2024</v>
      </c>
      <c r="C446" t="s">
        <v>678</v>
      </c>
      <c r="D446" t="s">
        <v>85</v>
      </c>
      <c r="E446" t="s">
        <v>116</v>
      </c>
      <c r="F446" t="s">
        <v>129</v>
      </c>
      <c r="G446" t="s">
        <v>130</v>
      </c>
      <c r="H446" t="s">
        <v>285</v>
      </c>
      <c r="I446" t="s">
        <v>333</v>
      </c>
      <c r="J446" t="s">
        <v>286</v>
      </c>
      <c r="K446" t="s">
        <v>57</v>
      </c>
    </row>
    <row r="447" spans="1:11" x14ac:dyDescent="0.35">
      <c r="A447" t="s">
        <v>821</v>
      </c>
      <c r="B447">
        <v>2024</v>
      </c>
      <c r="C447" t="s">
        <v>678</v>
      </c>
      <c r="D447" t="s">
        <v>85</v>
      </c>
      <c r="E447" t="s">
        <v>120</v>
      </c>
      <c r="F447" t="s">
        <v>125</v>
      </c>
      <c r="G447" t="s">
        <v>126</v>
      </c>
      <c r="H447" t="s">
        <v>285</v>
      </c>
      <c r="I447" t="s">
        <v>86</v>
      </c>
      <c r="J447" t="s">
        <v>295</v>
      </c>
      <c r="K447" t="s">
        <v>57</v>
      </c>
    </row>
    <row r="448" spans="1:11" x14ac:dyDescent="0.35">
      <c r="A448" t="s">
        <v>822</v>
      </c>
      <c r="B448">
        <v>2024</v>
      </c>
      <c r="C448" t="s">
        <v>678</v>
      </c>
      <c r="D448" t="s">
        <v>76</v>
      </c>
      <c r="E448" t="s">
        <v>115</v>
      </c>
      <c r="F448" t="s">
        <v>127</v>
      </c>
      <c r="G448" t="s">
        <v>130</v>
      </c>
      <c r="H448" t="s">
        <v>285</v>
      </c>
      <c r="I448" t="s">
        <v>289</v>
      </c>
      <c r="J448" t="s">
        <v>286</v>
      </c>
      <c r="K448" t="s">
        <v>57</v>
      </c>
    </row>
    <row r="449" spans="1:11" x14ac:dyDescent="0.35">
      <c r="A449" t="s">
        <v>823</v>
      </c>
      <c r="B449">
        <v>2024</v>
      </c>
      <c r="C449" t="s">
        <v>678</v>
      </c>
      <c r="D449" t="s">
        <v>85</v>
      </c>
      <c r="E449" t="s">
        <v>120</v>
      </c>
      <c r="F449" t="s">
        <v>125</v>
      </c>
      <c r="G449" t="s">
        <v>126</v>
      </c>
      <c r="H449" t="s">
        <v>285</v>
      </c>
      <c r="I449" t="s">
        <v>86</v>
      </c>
      <c r="J449" t="s">
        <v>286</v>
      </c>
      <c r="K449" t="s">
        <v>57</v>
      </c>
    </row>
    <row r="450" spans="1:11" x14ac:dyDescent="0.35">
      <c r="A450" t="s">
        <v>824</v>
      </c>
      <c r="B450">
        <v>2024</v>
      </c>
      <c r="C450" t="s">
        <v>678</v>
      </c>
      <c r="D450" t="s">
        <v>85</v>
      </c>
      <c r="E450" t="s">
        <v>117</v>
      </c>
      <c r="F450" t="s">
        <v>129</v>
      </c>
      <c r="G450" t="s">
        <v>128</v>
      </c>
      <c r="H450" t="s">
        <v>285</v>
      </c>
      <c r="I450" t="s">
        <v>289</v>
      </c>
      <c r="J450" t="s">
        <v>326</v>
      </c>
      <c r="K450" t="s">
        <v>57</v>
      </c>
    </row>
    <row r="451" spans="1:11" x14ac:dyDescent="0.35">
      <c r="A451" t="s">
        <v>825</v>
      </c>
      <c r="B451">
        <v>2024</v>
      </c>
      <c r="C451" t="s">
        <v>678</v>
      </c>
      <c r="D451" t="s">
        <v>76</v>
      </c>
      <c r="E451" t="s">
        <v>107</v>
      </c>
      <c r="F451" t="s">
        <v>125</v>
      </c>
      <c r="G451" t="s">
        <v>128</v>
      </c>
      <c r="H451" t="s">
        <v>285</v>
      </c>
      <c r="I451" t="s">
        <v>86</v>
      </c>
      <c r="J451" t="s">
        <v>317</v>
      </c>
      <c r="K451" t="s">
        <v>57</v>
      </c>
    </row>
    <row r="452" spans="1:11" x14ac:dyDescent="0.35">
      <c r="A452" t="s">
        <v>826</v>
      </c>
      <c r="B452">
        <v>2024</v>
      </c>
      <c r="C452" t="s">
        <v>678</v>
      </c>
      <c r="D452" t="s">
        <v>85</v>
      </c>
      <c r="E452" t="s">
        <v>117</v>
      </c>
      <c r="F452" t="s">
        <v>288</v>
      </c>
      <c r="G452" t="s">
        <v>126</v>
      </c>
      <c r="H452" t="s">
        <v>285</v>
      </c>
      <c r="I452" t="s">
        <v>288</v>
      </c>
      <c r="J452" t="s">
        <v>288</v>
      </c>
      <c r="K452" t="s">
        <v>57</v>
      </c>
    </row>
    <row r="453" spans="1:11" x14ac:dyDescent="0.35">
      <c r="A453" t="s">
        <v>827</v>
      </c>
      <c r="B453">
        <v>2024</v>
      </c>
      <c r="C453" t="s">
        <v>678</v>
      </c>
      <c r="D453" t="s">
        <v>85</v>
      </c>
      <c r="E453" t="s">
        <v>117</v>
      </c>
      <c r="F453" t="s">
        <v>129</v>
      </c>
      <c r="G453" t="s">
        <v>128</v>
      </c>
      <c r="H453" t="s">
        <v>285</v>
      </c>
      <c r="I453" t="s">
        <v>288</v>
      </c>
      <c r="J453" t="s">
        <v>288</v>
      </c>
      <c r="K453" t="s">
        <v>57</v>
      </c>
    </row>
    <row r="454" spans="1:11" x14ac:dyDescent="0.35">
      <c r="A454" t="s">
        <v>828</v>
      </c>
      <c r="B454">
        <v>2024</v>
      </c>
      <c r="C454" t="s">
        <v>678</v>
      </c>
      <c r="D454" t="s">
        <v>76</v>
      </c>
      <c r="E454" t="s">
        <v>114</v>
      </c>
      <c r="F454" t="s">
        <v>127</v>
      </c>
      <c r="G454" t="s">
        <v>126</v>
      </c>
      <c r="H454" t="s">
        <v>285</v>
      </c>
      <c r="I454" t="s">
        <v>288</v>
      </c>
      <c r="J454" t="s">
        <v>775</v>
      </c>
      <c r="K454" t="s">
        <v>42</v>
      </c>
    </row>
    <row r="455" spans="1:11" x14ac:dyDescent="0.35">
      <c r="A455" t="s">
        <v>829</v>
      </c>
      <c r="B455">
        <v>2024</v>
      </c>
      <c r="C455" t="s">
        <v>678</v>
      </c>
      <c r="D455" t="s">
        <v>85</v>
      </c>
      <c r="E455" t="s">
        <v>120</v>
      </c>
      <c r="F455" t="s">
        <v>131</v>
      </c>
      <c r="G455" t="s">
        <v>128</v>
      </c>
      <c r="H455" t="s">
        <v>285</v>
      </c>
      <c r="I455" t="s">
        <v>433</v>
      </c>
      <c r="J455" t="s">
        <v>286</v>
      </c>
      <c r="K455" t="s">
        <v>57</v>
      </c>
    </row>
    <row r="456" spans="1:11" x14ac:dyDescent="0.35">
      <c r="A456" t="s">
        <v>830</v>
      </c>
      <c r="B456">
        <v>2024</v>
      </c>
      <c r="C456" t="s">
        <v>678</v>
      </c>
      <c r="D456" t="s">
        <v>76</v>
      </c>
      <c r="E456" t="s">
        <v>115</v>
      </c>
      <c r="F456" t="s">
        <v>127</v>
      </c>
      <c r="G456" t="s">
        <v>128</v>
      </c>
      <c r="H456" t="s">
        <v>285</v>
      </c>
      <c r="I456" t="s">
        <v>86</v>
      </c>
      <c r="J456" t="s">
        <v>317</v>
      </c>
      <c r="K456" t="s">
        <v>57</v>
      </c>
    </row>
    <row r="457" spans="1:11" x14ac:dyDescent="0.35">
      <c r="A457" t="s">
        <v>831</v>
      </c>
      <c r="B457">
        <v>2024</v>
      </c>
      <c r="C457" t="s">
        <v>678</v>
      </c>
      <c r="D457" t="s">
        <v>85</v>
      </c>
      <c r="E457" t="s">
        <v>116</v>
      </c>
      <c r="F457" t="s">
        <v>125</v>
      </c>
      <c r="G457" t="s">
        <v>130</v>
      </c>
      <c r="H457" t="s">
        <v>285</v>
      </c>
      <c r="I457" t="s">
        <v>86</v>
      </c>
      <c r="J457" t="s">
        <v>326</v>
      </c>
      <c r="K457" t="s">
        <v>57</v>
      </c>
    </row>
    <row r="458" spans="1:11" x14ac:dyDescent="0.35">
      <c r="A458" t="s">
        <v>832</v>
      </c>
      <c r="B458">
        <v>2024</v>
      </c>
      <c r="C458" t="s">
        <v>678</v>
      </c>
      <c r="D458" t="s">
        <v>85</v>
      </c>
      <c r="E458" t="s">
        <v>117</v>
      </c>
      <c r="F458" t="s">
        <v>133</v>
      </c>
      <c r="G458" t="s">
        <v>128</v>
      </c>
      <c r="H458" t="s">
        <v>285</v>
      </c>
      <c r="I458" t="s">
        <v>833</v>
      </c>
      <c r="J458" t="s">
        <v>347</v>
      </c>
      <c r="K458" t="s">
        <v>57</v>
      </c>
    </row>
    <row r="459" spans="1:11" x14ac:dyDescent="0.35">
      <c r="A459" t="s">
        <v>834</v>
      </c>
      <c r="B459">
        <v>2024</v>
      </c>
      <c r="C459" t="s">
        <v>678</v>
      </c>
      <c r="D459" t="s">
        <v>76</v>
      </c>
      <c r="E459" t="s">
        <v>118</v>
      </c>
      <c r="F459" t="s">
        <v>127</v>
      </c>
      <c r="G459" t="s">
        <v>130</v>
      </c>
      <c r="H459" t="s">
        <v>285</v>
      </c>
      <c r="I459" t="s">
        <v>86</v>
      </c>
      <c r="J459" t="s">
        <v>308</v>
      </c>
      <c r="K459" t="s">
        <v>42</v>
      </c>
    </row>
    <row r="460" spans="1:11" x14ac:dyDescent="0.35">
      <c r="A460" t="s">
        <v>835</v>
      </c>
      <c r="B460">
        <v>2024</v>
      </c>
      <c r="C460" t="s">
        <v>678</v>
      </c>
      <c r="D460" t="s">
        <v>85</v>
      </c>
      <c r="E460" t="s">
        <v>117</v>
      </c>
      <c r="F460" t="s">
        <v>288</v>
      </c>
      <c r="G460" t="s">
        <v>130</v>
      </c>
      <c r="H460" t="s">
        <v>285</v>
      </c>
      <c r="I460" t="s">
        <v>288</v>
      </c>
      <c r="J460" t="s">
        <v>288</v>
      </c>
      <c r="K460" t="s">
        <v>57</v>
      </c>
    </row>
    <row r="461" spans="1:11" x14ac:dyDescent="0.35">
      <c r="A461" t="s">
        <v>836</v>
      </c>
      <c r="B461">
        <v>2024</v>
      </c>
      <c r="C461" t="s">
        <v>678</v>
      </c>
      <c r="D461" t="s">
        <v>85</v>
      </c>
      <c r="E461" t="s">
        <v>116</v>
      </c>
      <c r="F461" t="s">
        <v>129</v>
      </c>
      <c r="G461" t="s">
        <v>128</v>
      </c>
      <c r="H461" t="s">
        <v>285</v>
      </c>
      <c r="I461" t="s">
        <v>337</v>
      </c>
      <c r="J461" t="s">
        <v>317</v>
      </c>
      <c r="K461" t="s">
        <v>57</v>
      </c>
    </row>
    <row r="462" spans="1:11" x14ac:dyDescent="0.35">
      <c r="A462" t="s">
        <v>837</v>
      </c>
      <c r="B462">
        <v>2024</v>
      </c>
      <c r="C462" t="s">
        <v>678</v>
      </c>
      <c r="D462" t="s">
        <v>85</v>
      </c>
      <c r="E462" t="s">
        <v>116</v>
      </c>
      <c r="F462" t="s">
        <v>125</v>
      </c>
      <c r="G462" t="s">
        <v>130</v>
      </c>
      <c r="H462" t="s">
        <v>285</v>
      </c>
      <c r="I462" t="s">
        <v>86</v>
      </c>
      <c r="J462" t="s">
        <v>317</v>
      </c>
      <c r="K462" t="s">
        <v>57</v>
      </c>
    </row>
    <row r="463" spans="1:11" x14ac:dyDescent="0.35">
      <c r="A463" t="s">
        <v>838</v>
      </c>
      <c r="B463">
        <v>2024</v>
      </c>
      <c r="C463" t="s">
        <v>678</v>
      </c>
      <c r="D463" t="s">
        <v>76</v>
      </c>
      <c r="E463" t="s">
        <v>115</v>
      </c>
      <c r="F463" t="s">
        <v>131</v>
      </c>
      <c r="G463" t="s">
        <v>126</v>
      </c>
      <c r="H463" t="s">
        <v>285</v>
      </c>
      <c r="I463" t="s">
        <v>756</v>
      </c>
      <c r="J463" t="s">
        <v>286</v>
      </c>
      <c r="K463" t="s">
        <v>57</v>
      </c>
    </row>
    <row r="464" spans="1:11" x14ac:dyDescent="0.35">
      <c r="A464" t="s">
        <v>839</v>
      </c>
      <c r="B464">
        <v>2024</v>
      </c>
      <c r="C464" t="s">
        <v>678</v>
      </c>
      <c r="D464" t="s">
        <v>85</v>
      </c>
      <c r="E464" t="s">
        <v>120</v>
      </c>
      <c r="F464" t="s">
        <v>125</v>
      </c>
      <c r="G464" t="s">
        <v>126</v>
      </c>
      <c r="H464" t="s">
        <v>285</v>
      </c>
      <c r="I464" t="s">
        <v>86</v>
      </c>
      <c r="J464" t="s">
        <v>286</v>
      </c>
      <c r="K464" t="s">
        <v>57</v>
      </c>
    </row>
    <row r="465" spans="1:11" x14ac:dyDescent="0.35">
      <c r="A465" t="s">
        <v>840</v>
      </c>
      <c r="B465">
        <v>2024</v>
      </c>
      <c r="C465" t="s">
        <v>678</v>
      </c>
      <c r="D465" t="s">
        <v>76</v>
      </c>
      <c r="E465" t="s">
        <v>113</v>
      </c>
      <c r="F465" t="s">
        <v>125</v>
      </c>
      <c r="G465" t="s">
        <v>132</v>
      </c>
      <c r="H465" t="s">
        <v>285</v>
      </c>
      <c r="I465" t="s">
        <v>86</v>
      </c>
      <c r="J465" t="s">
        <v>308</v>
      </c>
      <c r="K465" t="s">
        <v>42</v>
      </c>
    </row>
    <row r="466" spans="1:11" x14ac:dyDescent="0.35">
      <c r="A466" t="s">
        <v>841</v>
      </c>
      <c r="B466">
        <v>2024</v>
      </c>
      <c r="C466" t="s">
        <v>678</v>
      </c>
      <c r="D466" t="s">
        <v>85</v>
      </c>
      <c r="E466" t="s">
        <v>115</v>
      </c>
      <c r="F466" t="s">
        <v>127</v>
      </c>
      <c r="G466" t="s">
        <v>128</v>
      </c>
      <c r="H466" t="s">
        <v>305</v>
      </c>
      <c r="I466" t="s">
        <v>86</v>
      </c>
      <c r="J466" t="s">
        <v>447</v>
      </c>
      <c r="K466" t="s">
        <v>57</v>
      </c>
    </row>
    <row r="467" spans="1:11" x14ac:dyDescent="0.35">
      <c r="A467" t="s">
        <v>842</v>
      </c>
      <c r="B467">
        <v>2024</v>
      </c>
      <c r="C467" t="s">
        <v>678</v>
      </c>
      <c r="D467" t="s">
        <v>85</v>
      </c>
      <c r="E467" t="s">
        <v>117</v>
      </c>
      <c r="F467" t="s">
        <v>127</v>
      </c>
      <c r="G467" t="s">
        <v>130</v>
      </c>
      <c r="H467" t="s">
        <v>285</v>
      </c>
      <c r="I467" t="s">
        <v>86</v>
      </c>
      <c r="J467" t="s">
        <v>317</v>
      </c>
      <c r="K467" t="s">
        <v>57</v>
      </c>
    </row>
    <row r="468" spans="1:11" x14ac:dyDescent="0.35">
      <c r="A468" t="s">
        <v>843</v>
      </c>
      <c r="B468">
        <v>2024</v>
      </c>
      <c r="C468" t="s">
        <v>678</v>
      </c>
      <c r="D468" t="s">
        <v>85</v>
      </c>
      <c r="E468" t="s">
        <v>116</v>
      </c>
      <c r="F468" t="s">
        <v>125</v>
      </c>
      <c r="G468" t="s">
        <v>132</v>
      </c>
      <c r="H468" t="s">
        <v>285</v>
      </c>
      <c r="I468" t="s">
        <v>86</v>
      </c>
      <c r="J468" t="s">
        <v>286</v>
      </c>
      <c r="K468" t="s">
        <v>57</v>
      </c>
    </row>
    <row r="469" spans="1:11" x14ac:dyDescent="0.35">
      <c r="A469" t="s">
        <v>844</v>
      </c>
      <c r="B469">
        <v>2024</v>
      </c>
      <c r="C469" t="s">
        <v>678</v>
      </c>
      <c r="D469" t="s">
        <v>76</v>
      </c>
      <c r="E469" t="s">
        <v>115</v>
      </c>
      <c r="F469" t="s">
        <v>125</v>
      </c>
      <c r="G469" t="s">
        <v>132</v>
      </c>
      <c r="H469" t="s">
        <v>285</v>
      </c>
      <c r="I469" t="s">
        <v>351</v>
      </c>
      <c r="J469" t="s">
        <v>286</v>
      </c>
      <c r="K469" t="s">
        <v>57</v>
      </c>
    </row>
    <row r="470" spans="1:11" x14ac:dyDescent="0.35">
      <c r="A470" t="s">
        <v>845</v>
      </c>
      <c r="B470">
        <v>2024</v>
      </c>
      <c r="C470" t="s">
        <v>678</v>
      </c>
      <c r="D470" t="s">
        <v>76</v>
      </c>
      <c r="E470" t="s">
        <v>119</v>
      </c>
      <c r="F470" t="s">
        <v>288</v>
      </c>
      <c r="G470" t="s">
        <v>126</v>
      </c>
      <c r="H470" t="s">
        <v>285</v>
      </c>
      <c r="I470" t="s">
        <v>86</v>
      </c>
      <c r="J470" t="s">
        <v>288</v>
      </c>
      <c r="K470" t="s">
        <v>57</v>
      </c>
    </row>
    <row r="471" spans="1:11" x14ac:dyDescent="0.35">
      <c r="A471" t="s">
        <v>846</v>
      </c>
      <c r="B471">
        <v>2024</v>
      </c>
      <c r="C471" t="s">
        <v>678</v>
      </c>
      <c r="D471" t="s">
        <v>76</v>
      </c>
      <c r="E471" t="s">
        <v>115</v>
      </c>
      <c r="F471" t="s">
        <v>129</v>
      </c>
      <c r="G471" t="s">
        <v>132</v>
      </c>
      <c r="H471" t="s">
        <v>285</v>
      </c>
      <c r="I471" t="s">
        <v>535</v>
      </c>
      <c r="J471" t="s">
        <v>286</v>
      </c>
      <c r="K471" t="s">
        <v>57</v>
      </c>
    </row>
    <row r="472" spans="1:11" x14ac:dyDescent="0.35">
      <c r="A472" t="s">
        <v>847</v>
      </c>
      <c r="B472">
        <v>2024</v>
      </c>
      <c r="C472" t="s">
        <v>678</v>
      </c>
      <c r="D472" t="s">
        <v>85</v>
      </c>
      <c r="E472" t="s">
        <v>120</v>
      </c>
      <c r="F472" t="s">
        <v>125</v>
      </c>
      <c r="G472" t="s">
        <v>130</v>
      </c>
      <c r="H472" t="s">
        <v>285</v>
      </c>
      <c r="I472" t="s">
        <v>86</v>
      </c>
      <c r="J472" t="s">
        <v>326</v>
      </c>
      <c r="K472" t="s">
        <v>57</v>
      </c>
    </row>
    <row r="473" spans="1:11" x14ac:dyDescent="0.35">
      <c r="A473" t="s">
        <v>848</v>
      </c>
      <c r="B473">
        <v>2024</v>
      </c>
      <c r="C473" t="s">
        <v>678</v>
      </c>
      <c r="D473" t="s">
        <v>76</v>
      </c>
      <c r="E473" t="s">
        <v>107</v>
      </c>
      <c r="F473" t="s">
        <v>127</v>
      </c>
      <c r="G473" t="s">
        <v>128</v>
      </c>
      <c r="H473" t="s">
        <v>285</v>
      </c>
      <c r="I473" t="s">
        <v>632</v>
      </c>
      <c r="J473" t="s">
        <v>849</v>
      </c>
      <c r="K473" t="s">
        <v>42</v>
      </c>
    </row>
    <row r="474" spans="1:11" x14ac:dyDescent="0.35">
      <c r="A474" t="s">
        <v>850</v>
      </c>
      <c r="B474">
        <v>2024</v>
      </c>
      <c r="C474" t="s">
        <v>678</v>
      </c>
      <c r="D474" t="s">
        <v>85</v>
      </c>
      <c r="E474" t="s">
        <v>116</v>
      </c>
      <c r="F474" t="s">
        <v>133</v>
      </c>
      <c r="G474" t="s">
        <v>130</v>
      </c>
      <c r="H474" t="s">
        <v>285</v>
      </c>
      <c r="I474" t="s">
        <v>289</v>
      </c>
      <c r="J474" t="s">
        <v>566</v>
      </c>
      <c r="K474" t="s">
        <v>42</v>
      </c>
    </row>
    <row r="475" spans="1:11" x14ac:dyDescent="0.35">
      <c r="A475" t="s">
        <v>851</v>
      </c>
      <c r="B475">
        <v>2024</v>
      </c>
      <c r="C475" t="s">
        <v>678</v>
      </c>
      <c r="D475" t="s">
        <v>76</v>
      </c>
      <c r="E475" t="s">
        <v>112</v>
      </c>
      <c r="F475" t="s">
        <v>125</v>
      </c>
      <c r="G475" t="s">
        <v>128</v>
      </c>
      <c r="H475" t="s">
        <v>285</v>
      </c>
      <c r="I475" t="s">
        <v>289</v>
      </c>
      <c r="J475" t="s">
        <v>347</v>
      </c>
      <c r="K475" t="s">
        <v>57</v>
      </c>
    </row>
    <row r="476" spans="1:11" x14ac:dyDescent="0.35">
      <c r="A476" t="s">
        <v>852</v>
      </c>
      <c r="B476">
        <v>2024</v>
      </c>
      <c r="C476" t="s">
        <v>678</v>
      </c>
      <c r="D476" t="s">
        <v>85</v>
      </c>
      <c r="E476" t="s">
        <v>116</v>
      </c>
      <c r="F476" t="s">
        <v>125</v>
      </c>
      <c r="G476" t="s">
        <v>130</v>
      </c>
      <c r="H476" t="s">
        <v>285</v>
      </c>
      <c r="I476" t="s">
        <v>86</v>
      </c>
      <c r="J476" t="s">
        <v>326</v>
      </c>
      <c r="K476" t="s">
        <v>57</v>
      </c>
    </row>
    <row r="477" spans="1:11" x14ac:dyDescent="0.35">
      <c r="A477" t="s">
        <v>853</v>
      </c>
      <c r="B477">
        <v>2024</v>
      </c>
      <c r="C477" t="s">
        <v>678</v>
      </c>
      <c r="D477" t="s">
        <v>85</v>
      </c>
      <c r="E477" t="s">
        <v>117</v>
      </c>
      <c r="F477" t="s">
        <v>288</v>
      </c>
      <c r="G477" t="s">
        <v>130</v>
      </c>
      <c r="H477" t="s">
        <v>305</v>
      </c>
      <c r="I477" t="s">
        <v>426</v>
      </c>
      <c r="J477" t="s">
        <v>854</v>
      </c>
      <c r="K477" t="s">
        <v>57</v>
      </c>
    </row>
    <row r="478" spans="1:11" x14ac:dyDescent="0.35">
      <c r="A478" t="s">
        <v>855</v>
      </c>
      <c r="B478">
        <v>2024</v>
      </c>
      <c r="C478" t="s">
        <v>678</v>
      </c>
      <c r="D478" t="s">
        <v>76</v>
      </c>
      <c r="E478" t="s">
        <v>111</v>
      </c>
      <c r="F478" t="s">
        <v>125</v>
      </c>
      <c r="G478" t="s">
        <v>126</v>
      </c>
      <c r="H478" t="s">
        <v>285</v>
      </c>
      <c r="I478" t="s">
        <v>86</v>
      </c>
      <c r="J478" t="s">
        <v>312</v>
      </c>
      <c r="K478" t="s">
        <v>42</v>
      </c>
    </row>
    <row r="479" spans="1:11" x14ac:dyDescent="0.35">
      <c r="A479" t="s">
        <v>856</v>
      </c>
      <c r="B479">
        <v>2024</v>
      </c>
      <c r="C479" t="s">
        <v>678</v>
      </c>
      <c r="D479" t="s">
        <v>76</v>
      </c>
      <c r="E479" t="s">
        <v>119</v>
      </c>
      <c r="F479" t="s">
        <v>127</v>
      </c>
      <c r="G479" t="s">
        <v>128</v>
      </c>
      <c r="H479" t="s">
        <v>285</v>
      </c>
      <c r="I479" t="s">
        <v>86</v>
      </c>
      <c r="J479" t="s">
        <v>317</v>
      </c>
      <c r="K479" t="s">
        <v>57</v>
      </c>
    </row>
    <row r="480" spans="1:11" x14ac:dyDescent="0.35">
      <c r="A480" t="s">
        <v>857</v>
      </c>
      <c r="B480">
        <v>2024</v>
      </c>
      <c r="C480" t="s">
        <v>678</v>
      </c>
      <c r="D480" t="s">
        <v>85</v>
      </c>
      <c r="E480" t="s">
        <v>116</v>
      </c>
      <c r="F480" t="s">
        <v>127</v>
      </c>
      <c r="G480" t="s">
        <v>130</v>
      </c>
      <c r="H480" t="s">
        <v>285</v>
      </c>
      <c r="I480" t="s">
        <v>77</v>
      </c>
      <c r="J480" t="s">
        <v>447</v>
      </c>
      <c r="K480" t="s">
        <v>57</v>
      </c>
    </row>
    <row r="481" spans="1:11" x14ac:dyDescent="0.35">
      <c r="A481" t="s">
        <v>858</v>
      </c>
      <c r="B481">
        <v>2024</v>
      </c>
      <c r="C481" t="s">
        <v>678</v>
      </c>
      <c r="D481" t="s">
        <v>85</v>
      </c>
      <c r="E481" t="s">
        <v>117</v>
      </c>
      <c r="F481" t="s">
        <v>127</v>
      </c>
      <c r="G481" t="s">
        <v>128</v>
      </c>
      <c r="H481" t="s">
        <v>285</v>
      </c>
      <c r="I481" t="s">
        <v>288</v>
      </c>
      <c r="J481" t="s">
        <v>288</v>
      </c>
      <c r="K481" t="s">
        <v>57</v>
      </c>
    </row>
    <row r="482" spans="1:11" x14ac:dyDescent="0.35">
      <c r="A482" t="s">
        <v>859</v>
      </c>
      <c r="B482">
        <v>2024</v>
      </c>
      <c r="C482" t="s">
        <v>678</v>
      </c>
      <c r="D482" t="s">
        <v>85</v>
      </c>
      <c r="E482" t="s">
        <v>120</v>
      </c>
      <c r="F482" t="s">
        <v>131</v>
      </c>
      <c r="G482" t="s">
        <v>130</v>
      </c>
      <c r="H482" t="s">
        <v>285</v>
      </c>
      <c r="I482" t="s">
        <v>77</v>
      </c>
      <c r="J482" t="s">
        <v>326</v>
      </c>
      <c r="K482" t="s">
        <v>57</v>
      </c>
    </row>
    <row r="483" spans="1:11" x14ac:dyDescent="0.35">
      <c r="A483" t="s">
        <v>860</v>
      </c>
      <c r="B483">
        <v>2024</v>
      </c>
      <c r="C483" t="s">
        <v>678</v>
      </c>
      <c r="D483" t="s">
        <v>85</v>
      </c>
      <c r="E483" t="s">
        <v>117</v>
      </c>
      <c r="F483" t="s">
        <v>131</v>
      </c>
      <c r="G483" t="s">
        <v>128</v>
      </c>
      <c r="H483" t="s">
        <v>285</v>
      </c>
      <c r="I483" t="s">
        <v>289</v>
      </c>
      <c r="J483" t="s">
        <v>861</v>
      </c>
      <c r="K483" t="s">
        <v>42</v>
      </c>
    </row>
    <row r="484" spans="1:11" x14ac:dyDescent="0.35">
      <c r="A484" t="s">
        <v>862</v>
      </c>
      <c r="B484">
        <v>2024</v>
      </c>
      <c r="C484" t="s">
        <v>678</v>
      </c>
      <c r="D484" t="s">
        <v>85</v>
      </c>
      <c r="E484" t="s">
        <v>120</v>
      </c>
      <c r="F484" t="s">
        <v>125</v>
      </c>
      <c r="G484" t="s">
        <v>132</v>
      </c>
      <c r="H484" t="s">
        <v>285</v>
      </c>
      <c r="I484" t="s">
        <v>426</v>
      </c>
      <c r="J484" t="s">
        <v>286</v>
      </c>
      <c r="K484" t="s">
        <v>57</v>
      </c>
    </row>
    <row r="485" spans="1:11" x14ac:dyDescent="0.35">
      <c r="A485" t="s">
        <v>863</v>
      </c>
      <c r="B485">
        <v>2024</v>
      </c>
      <c r="C485" t="s">
        <v>678</v>
      </c>
      <c r="D485" t="s">
        <v>76</v>
      </c>
      <c r="E485" t="s">
        <v>118</v>
      </c>
      <c r="F485" t="s">
        <v>125</v>
      </c>
      <c r="G485" t="s">
        <v>128</v>
      </c>
      <c r="H485" t="s">
        <v>285</v>
      </c>
      <c r="I485" t="s">
        <v>288</v>
      </c>
      <c r="J485" t="s">
        <v>286</v>
      </c>
      <c r="K485" t="s">
        <v>57</v>
      </c>
    </row>
    <row r="486" spans="1:11" x14ac:dyDescent="0.35">
      <c r="A486" t="s">
        <v>864</v>
      </c>
      <c r="B486">
        <v>2024</v>
      </c>
      <c r="C486" t="s">
        <v>678</v>
      </c>
      <c r="D486" t="s">
        <v>76</v>
      </c>
      <c r="E486" t="s">
        <v>110</v>
      </c>
      <c r="F486" t="s">
        <v>127</v>
      </c>
      <c r="G486" t="s">
        <v>128</v>
      </c>
      <c r="H486" t="s">
        <v>357</v>
      </c>
      <c r="I486" t="s">
        <v>288</v>
      </c>
      <c r="J486" t="s">
        <v>865</v>
      </c>
      <c r="K486" t="s">
        <v>42</v>
      </c>
    </row>
    <row r="487" spans="1:11" x14ac:dyDescent="0.35">
      <c r="A487" t="s">
        <v>866</v>
      </c>
      <c r="B487">
        <v>2024</v>
      </c>
      <c r="C487" t="s">
        <v>678</v>
      </c>
      <c r="D487" t="s">
        <v>76</v>
      </c>
      <c r="E487" t="s">
        <v>115</v>
      </c>
      <c r="F487" t="s">
        <v>127</v>
      </c>
      <c r="G487" t="s">
        <v>128</v>
      </c>
      <c r="H487" t="s">
        <v>285</v>
      </c>
      <c r="I487" t="s">
        <v>86</v>
      </c>
      <c r="J487" t="s">
        <v>612</v>
      </c>
      <c r="K487" t="s">
        <v>42</v>
      </c>
    </row>
    <row r="488" spans="1:11" x14ac:dyDescent="0.35">
      <c r="A488" t="s">
        <v>867</v>
      </c>
      <c r="B488">
        <v>2024</v>
      </c>
      <c r="C488" t="s">
        <v>678</v>
      </c>
      <c r="D488" t="s">
        <v>76</v>
      </c>
      <c r="E488" t="s">
        <v>118</v>
      </c>
      <c r="F488" t="s">
        <v>288</v>
      </c>
      <c r="G488" t="s">
        <v>128</v>
      </c>
      <c r="H488" t="s">
        <v>357</v>
      </c>
      <c r="I488" t="s">
        <v>333</v>
      </c>
      <c r="J488" t="s">
        <v>288</v>
      </c>
      <c r="K488" t="s">
        <v>57</v>
      </c>
    </row>
    <row r="489" spans="1:11" x14ac:dyDescent="0.35">
      <c r="A489" t="s">
        <v>868</v>
      </c>
      <c r="B489">
        <v>2024</v>
      </c>
      <c r="C489" t="s">
        <v>678</v>
      </c>
      <c r="D489" t="s">
        <v>85</v>
      </c>
      <c r="E489" t="s">
        <v>117</v>
      </c>
      <c r="F489" t="s">
        <v>129</v>
      </c>
      <c r="G489" t="s">
        <v>130</v>
      </c>
      <c r="H489" t="s">
        <v>285</v>
      </c>
      <c r="I489" t="s">
        <v>289</v>
      </c>
      <c r="J489" t="s">
        <v>347</v>
      </c>
      <c r="K489" t="s">
        <v>57</v>
      </c>
    </row>
    <row r="490" spans="1:11" x14ac:dyDescent="0.35">
      <c r="A490" t="s">
        <v>869</v>
      </c>
      <c r="B490">
        <v>2024</v>
      </c>
      <c r="C490" t="s">
        <v>678</v>
      </c>
      <c r="D490" t="s">
        <v>76</v>
      </c>
      <c r="E490" t="s">
        <v>119</v>
      </c>
      <c r="F490" t="s">
        <v>125</v>
      </c>
      <c r="G490" t="s">
        <v>126</v>
      </c>
      <c r="H490" t="s">
        <v>285</v>
      </c>
      <c r="I490" t="s">
        <v>333</v>
      </c>
      <c r="J490" t="s">
        <v>288</v>
      </c>
      <c r="K490" t="s">
        <v>57</v>
      </c>
    </row>
    <row r="491" spans="1:11" x14ac:dyDescent="0.35">
      <c r="A491" t="s">
        <v>870</v>
      </c>
      <c r="B491">
        <v>2024</v>
      </c>
      <c r="C491" t="s">
        <v>678</v>
      </c>
      <c r="D491" t="s">
        <v>76</v>
      </c>
      <c r="E491" t="s">
        <v>119</v>
      </c>
      <c r="F491" t="s">
        <v>131</v>
      </c>
      <c r="G491" t="s">
        <v>132</v>
      </c>
      <c r="H491" t="s">
        <v>285</v>
      </c>
      <c r="I491" t="s">
        <v>77</v>
      </c>
      <c r="J491" t="s">
        <v>286</v>
      </c>
      <c r="K491" t="s">
        <v>57</v>
      </c>
    </row>
    <row r="492" spans="1:11" x14ac:dyDescent="0.35">
      <c r="A492" t="s">
        <v>871</v>
      </c>
      <c r="B492">
        <v>2024</v>
      </c>
      <c r="C492" t="s">
        <v>678</v>
      </c>
      <c r="D492" t="s">
        <v>85</v>
      </c>
      <c r="E492" t="s">
        <v>116</v>
      </c>
      <c r="F492" t="s">
        <v>125</v>
      </c>
      <c r="G492" t="s">
        <v>126</v>
      </c>
      <c r="H492" t="s">
        <v>285</v>
      </c>
      <c r="I492" t="s">
        <v>86</v>
      </c>
      <c r="J492" t="s">
        <v>288</v>
      </c>
      <c r="K492" t="s">
        <v>57</v>
      </c>
    </row>
    <row r="493" spans="1:11" x14ac:dyDescent="0.35">
      <c r="A493" t="s">
        <v>872</v>
      </c>
      <c r="B493">
        <v>2024</v>
      </c>
      <c r="C493" t="s">
        <v>678</v>
      </c>
      <c r="D493" t="s">
        <v>85</v>
      </c>
      <c r="E493" t="s">
        <v>117</v>
      </c>
      <c r="F493" t="s">
        <v>127</v>
      </c>
      <c r="G493" t="s">
        <v>132</v>
      </c>
      <c r="H493" t="s">
        <v>285</v>
      </c>
      <c r="I493" t="s">
        <v>86</v>
      </c>
      <c r="J493" t="s">
        <v>331</v>
      </c>
      <c r="K493" t="s">
        <v>42</v>
      </c>
    </row>
    <row r="494" spans="1:11" x14ac:dyDescent="0.35">
      <c r="A494" t="s">
        <v>873</v>
      </c>
      <c r="B494">
        <v>2024</v>
      </c>
      <c r="C494" t="s">
        <v>678</v>
      </c>
      <c r="D494" t="s">
        <v>76</v>
      </c>
      <c r="E494" t="s">
        <v>115</v>
      </c>
      <c r="F494" t="s">
        <v>125</v>
      </c>
      <c r="G494" t="s">
        <v>130</v>
      </c>
      <c r="H494" t="s">
        <v>285</v>
      </c>
      <c r="I494" t="s">
        <v>428</v>
      </c>
      <c r="J494" t="s">
        <v>308</v>
      </c>
      <c r="K494" t="s">
        <v>42</v>
      </c>
    </row>
    <row r="495" spans="1:11" x14ac:dyDescent="0.35">
      <c r="A495" t="s">
        <v>874</v>
      </c>
      <c r="B495">
        <v>2024</v>
      </c>
      <c r="C495" t="s">
        <v>678</v>
      </c>
      <c r="D495" t="s">
        <v>85</v>
      </c>
      <c r="E495" t="s">
        <v>116</v>
      </c>
      <c r="F495" t="s">
        <v>125</v>
      </c>
      <c r="G495" t="s">
        <v>126</v>
      </c>
      <c r="H495" t="s">
        <v>285</v>
      </c>
      <c r="I495" t="s">
        <v>86</v>
      </c>
      <c r="J495" t="s">
        <v>326</v>
      </c>
      <c r="K495" t="s">
        <v>57</v>
      </c>
    </row>
    <row r="496" spans="1:11" x14ac:dyDescent="0.35">
      <c r="A496" t="s">
        <v>875</v>
      </c>
      <c r="B496">
        <v>2024</v>
      </c>
      <c r="C496" t="s">
        <v>678</v>
      </c>
      <c r="D496" t="s">
        <v>76</v>
      </c>
      <c r="E496" t="s">
        <v>107</v>
      </c>
      <c r="F496" t="s">
        <v>125</v>
      </c>
      <c r="G496" t="s">
        <v>128</v>
      </c>
      <c r="H496" t="s">
        <v>285</v>
      </c>
      <c r="I496" t="s">
        <v>288</v>
      </c>
      <c r="J496" t="s">
        <v>286</v>
      </c>
      <c r="K496" t="s">
        <v>57</v>
      </c>
    </row>
    <row r="497" spans="1:11" x14ac:dyDescent="0.35">
      <c r="A497" t="s">
        <v>876</v>
      </c>
      <c r="B497">
        <v>2024</v>
      </c>
      <c r="C497" t="s">
        <v>678</v>
      </c>
      <c r="D497" t="s">
        <v>85</v>
      </c>
      <c r="E497" t="s">
        <v>116</v>
      </c>
      <c r="F497" t="s">
        <v>129</v>
      </c>
      <c r="G497" t="s">
        <v>128</v>
      </c>
      <c r="H497" t="s">
        <v>285</v>
      </c>
      <c r="I497" t="s">
        <v>877</v>
      </c>
      <c r="J497" t="s">
        <v>878</v>
      </c>
      <c r="K497" t="s">
        <v>42</v>
      </c>
    </row>
    <row r="498" spans="1:11" x14ac:dyDescent="0.35">
      <c r="A498" t="s">
        <v>879</v>
      </c>
      <c r="B498">
        <v>2024</v>
      </c>
      <c r="C498" t="s">
        <v>678</v>
      </c>
      <c r="D498" t="s">
        <v>85</v>
      </c>
      <c r="E498" t="s">
        <v>377</v>
      </c>
      <c r="F498" t="s">
        <v>131</v>
      </c>
      <c r="G498" t="s">
        <v>128</v>
      </c>
      <c r="H498" t="s">
        <v>305</v>
      </c>
      <c r="I498" t="s">
        <v>86</v>
      </c>
      <c r="J498" t="s">
        <v>880</v>
      </c>
      <c r="K498" t="s">
        <v>42</v>
      </c>
    </row>
    <row r="499" spans="1:11" x14ac:dyDescent="0.35">
      <c r="A499" t="s">
        <v>881</v>
      </c>
      <c r="B499">
        <v>2024</v>
      </c>
      <c r="C499" t="s">
        <v>678</v>
      </c>
      <c r="D499" t="s">
        <v>85</v>
      </c>
      <c r="E499" t="s">
        <v>377</v>
      </c>
      <c r="F499" t="s">
        <v>131</v>
      </c>
      <c r="G499" t="s">
        <v>128</v>
      </c>
      <c r="H499" t="s">
        <v>305</v>
      </c>
      <c r="I499" t="s">
        <v>86</v>
      </c>
      <c r="J499" t="s">
        <v>880</v>
      </c>
      <c r="K499" t="s">
        <v>42</v>
      </c>
    </row>
    <row r="500" spans="1:11" x14ac:dyDescent="0.35">
      <c r="A500" t="s">
        <v>882</v>
      </c>
      <c r="B500">
        <v>2024</v>
      </c>
      <c r="C500" t="s">
        <v>678</v>
      </c>
      <c r="D500" t="s">
        <v>85</v>
      </c>
      <c r="E500" t="s">
        <v>377</v>
      </c>
      <c r="F500" t="s">
        <v>131</v>
      </c>
      <c r="G500" t="s">
        <v>128</v>
      </c>
      <c r="H500" t="s">
        <v>305</v>
      </c>
      <c r="I500" t="s">
        <v>86</v>
      </c>
      <c r="J500" t="s">
        <v>880</v>
      </c>
      <c r="K500" t="s">
        <v>42</v>
      </c>
    </row>
    <row r="501" spans="1:11" x14ac:dyDescent="0.35">
      <c r="A501" t="s">
        <v>883</v>
      </c>
      <c r="B501">
        <v>2024</v>
      </c>
      <c r="C501" t="s">
        <v>678</v>
      </c>
      <c r="D501" t="s">
        <v>85</v>
      </c>
      <c r="E501" t="s">
        <v>377</v>
      </c>
      <c r="F501" t="s">
        <v>131</v>
      </c>
      <c r="G501" t="s">
        <v>128</v>
      </c>
      <c r="H501" t="s">
        <v>305</v>
      </c>
      <c r="I501" t="s">
        <v>86</v>
      </c>
      <c r="J501" t="s">
        <v>880</v>
      </c>
      <c r="K501" t="s">
        <v>42</v>
      </c>
    </row>
    <row r="502" spans="1:11" x14ac:dyDescent="0.35">
      <c r="A502" t="s">
        <v>884</v>
      </c>
      <c r="B502">
        <v>2024</v>
      </c>
      <c r="C502" t="s">
        <v>678</v>
      </c>
      <c r="D502" t="s">
        <v>85</v>
      </c>
      <c r="E502" t="s">
        <v>377</v>
      </c>
      <c r="F502" t="s">
        <v>131</v>
      </c>
      <c r="G502" t="s">
        <v>128</v>
      </c>
      <c r="H502" t="s">
        <v>305</v>
      </c>
      <c r="I502" t="s">
        <v>86</v>
      </c>
      <c r="J502" t="s">
        <v>880</v>
      </c>
      <c r="K502" t="s">
        <v>42</v>
      </c>
    </row>
    <row r="503" spans="1:11" x14ac:dyDescent="0.35">
      <c r="A503" t="s">
        <v>885</v>
      </c>
      <c r="B503">
        <v>2024</v>
      </c>
      <c r="C503" t="s">
        <v>678</v>
      </c>
      <c r="D503" t="s">
        <v>85</v>
      </c>
      <c r="E503" t="s">
        <v>120</v>
      </c>
      <c r="F503" t="s">
        <v>131</v>
      </c>
      <c r="G503" t="s">
        <v>130</v>
      </c>
      <c r="H503" t="s">
        <v>305</v>
      </c>
      <c r="I503" t="s">
        <v>289</v>
      </c>
      <c r="J503" t="s">
        <v>326</v>
      </c>
      <c r="K503" t="s">
        <v>57</v>
      </c>
    </row>
    <row r="504" spans="1:11" x14ac:dyDescent="0.35">
      <c r="A504" t="s">
        <v>886</v>
      </c>
      <c r="B504">
        <v>2024</v>
      </c>
      <c r="C504" t="s">
        <v>678</v>
      </c>
      <c r="D504" t="s">
        <v>85</v>
      </c>
      <c r="E504" t="s">
        <v>116</v>
      </c>
      <c r="F504" t="s">
        <v>125</v>
      </c>
      <c r="G504" t="s">
        <v>128</v>
      </c>
      <c r="H504" t="s">
        <v>285</v>
      </c>
      <c r="I504" t="s">
        <v>288</v>
      </c>
      <c r="J504" t="s">
        <v>409</v>
      </c>
      <c r="K504" t="s">
        <v>57</v>
      </c>
    </row>
    <row r="505" spans="1:11" x14ac:dyDescent="0.35">
      <c r="A505" t="s">
        <v>887</v>
      </c>
      <c r="B505">
        <v>2024</v>
      </c>
      <c r="C505" t="s">
        <v>678</v>
      </c>
      <c r="D505" t="s">
        <v>85</v>
      </c>
      <c r="E505" t="s">
        <v>116</v>
      </c>
      <c r="F505" t="s">
        <v>131</v>
      </c>
      <c r="G505" t="s">
        <v>126</v>
      </c>
      <c r="H505" t="s">
        <v>305</v>
      </c>
      <c r="I505" t="s">
        <v>731</v>
      </c>
      <c r="J505" t="s">
        <v>286</v>
      </c>
      <c r="K505" t="s">
        <v>57</v>
      </c>
    </row>
    <row r="506" spans="1:11" x14ac:dyDescent="0.35">
      <c r="A506" t="s">
        <v>888</v>
      </c>
      <c r="B506">
        <v>2024</v>
      </c>
      <c r="C506" t="s">
        <v>678</v>
      </c>
      <c r="D506" t="s">
        <v>85</v>
      </c>
      <c r="E506" t="s">
        <v>116</v>
      </c>
      <c r="F506" t="s">
        <v>127</v>
      </c>
      <c r="G506" t="s">
        <v>128</v>
      </c>
      <c r="H506" t="s">
        <v>305</v>
      </c>
      <c r="I506" t="s">
        <v>289</v>
      </c>
      <c r="J506" t="s">
        <v>889</v>
      </c>
      <c r="K506" t="s">
        <v>42</v>
      </c>
    </row>
    <row r="507" spans="1:11" x14ac:dyDescent="0.35">
      <c r="A507" t="s">
        <v>890</v>
      </c>
      <c r="B507">
        <v>2024</v>
      </c>
      <c r="C507" t="s">
        <v>678</v>
      </c>
      <c r="D507" t="s">
        <v>85</v>
      </c>
      <c r="E507" t="s">
        <v>116</v>
      </c>
      <c r="F507" t="s">
        <v>127</v>
      </c>
      <c r="G507" t="s">
        <v>126</v>
      </c>
      <c r="H507" t="s">
        <v>285</v>
      </c>
      <c r="I507" t="s">
        <v>891</v>
      </c>
      <c r="J507" t="s">
        <v>892</v>
      </c>
      <c r="K507" t="s">
        <v>42</v>
      </c>
    </row>
    <row r="508" spans="1:11" x14ac:dyDescent="0.35">
      <c r="A508" t="s">
        <v>893</v>
      </c>
      <c r="B508">
        <v>2024</v>
      </c>
      <c r="C508" t="s">
        <v>678</v>
      </c>
      <c r="D508" t="s">
        <v>85</v>
      </c>
      <c r="E508" t="s">
        <v>116</v>
      </c>
      <c r="F508" t="s">
        <v>129</v>
      </c>
      <c r="G508" t="s">
        <v>128</v>
      </c>
      <c r="H508" t="s">
        <v>285</v>
      </c>
      <c r="I508" t="s">
        <v>289</v>
      </c>
      <c r="J508" t="s">
        <v>326</v>
      </c>
      <c r="K508" t="s">
        <v>57</v>
      </c>
    </row>
    <row r="509" spans="1:11" x14ac:dyDescent="0.35">
      <c r="A509" t="s">
        <v>894</v>
      </c>
      <c r="B509">
        <v>2024</v>
      </c>
      <c r="C509" t="s">
        <v>678</v>
      </c>
      <c r="D509" t="s">
        <v>85</v>
      </c>
      <c r="E509" t="s">
        <v>117</v>
      </c>
      <c r="F509" t="s">
        <v>129</v>
      </c>
      <c r="G509" t="s">
        <v>128</v>
      </c>
      <c r="H509" t="s">
        <v>285</v>
      </c>
      <c r="I509" t="s">
        <v>86</v>
      </c>
      <c r="J509" t="s">
        <v>895</v>
      </c>
      <c r="K509" t="s">
        <v>42</v>
      </c>
    </row>
    <row r="510" spans="1:11" x14ac:dyDescent="0.35">
      <c r="A510" t="s">
        <v>896</v>
      </c>
      <c r="B510">
        <v>2024</v>
      </c>
      <c r="C510" t="s">
        <v>678</v>
      </c>
      <c r="D510" t="s">
        <v>85</v>
      </c>
      <c r="E510" t="s">
        <v>117</v>
      </c>
      <c r="F510" t="s">
        <v>129</v>
      </c>
      <c r="G510" t="s">
        <v>132</v>
      </c>
      <c r="H510" t="s">
        <v>285</v>
      </c>
      <c r="I510" t="s">
        <v>86</v>
      </c>
      <c r="J510" t="s">
        <v>286</v>
      </c>
      <c r="K510" t="s">
        <v>57</v>
      </c>
    </row>
    <row r="511" spans="1:11" x14ac:dyDescent="0.35">
      <c r="A511" t="s">
        <v>897</v>
      </c>
      <c r="B511">
        <v>2024</v>
      </c>
      <c r="C511" t="s">
        <v>678</v>
      </c>
      <c r="D511" t="s">
        <v>85</v>
      </c>
      <c r="E511" t="s">
        <v>120</v>
      </c>
      <c r="F511" t="s">
        <v>129</v>
      </c>
      <c r="G511" t="s">
        <v>128</v>
      </c>
      <c r="H511" t="s">
        <v>285</v>
      </c>
      <c r="I511" t="s">
        <v>86</v>
      </c>
      <c r="J511" t="s">
        <v>898</v>
      </c>
      <c r="K511" t="s">
        <v>42</v>
      </c>
    </row>
    <row r="512" spans="1:11" x14ac:dyDescent="0.35">
      <c r="A512" t="s">
        <v>899</v>
      </c>
      <c r="B512">
        <v>2024</v>
      </c>
      <c r="C512" t="s">
        <v>678</v>
      </c>
      <c r="D512" t="s">
        <v>85</v>
      </c>
      <c r="E512" t="s">
        <v>116</v>
      </c>
      <c r="F512" t="s">
        <v>131</v>
      </c>
      <c r="G512" t="s">
        <v>132</v>
      </c>
      <c r="H512" t="s">
        <v>285</v>
      </c>
      <c r="I512" t="s">
        <v>289</v>
      </c>
      <c r="J512" t="s">
        <v>403</v>
      </c>
      <c r="K512" t="s">
        <v>57</v>
      </c>
    </row>
    <row r="513" spans="1:11" x14ac:dyDescent="0.35">
      <c r="A513" t="s">
        <v>900</v>
      </c>
      <c r="B513">
        <v>2024</v>
      </c>
      <c r="C513" t="s">
        <v>678</v>
      </c>
      <c r="D513" t="s">
        <v>85</v>
      </c>
      <c r="E513" t="s">
        <v>116</v>
      </c>
      <c r="F513" t="s">
        <v>129</v>
      </c>
      <c r="G513" t="s">
        <v>128</v>
      </c>
      <c r="H513" t="s">
        <v>305</v>
      </c>
      <c r="I513" t="s">
        <v>289</v>
      </c>
      <c r="J513" t="s">
        <v>317</v>
      </c>
      <c r="K513" t="s">
        <v>57</v>
      </c>
    </row>
    <row r="514" spans="1:11" x14ac:dyDescent="0.35">
      <c r="A514" t="s">
        <v>901</v>
      </c>
      <c r="B514">
        <v>2024</v>
      </c>
      <c r="C514" t="s">
        <v>678</v>
      </c>
      <c r="D514" t="s">
        <v>85</v>
      </c>
      <c r="E514" t="s">
        <v>116</v>
      </c>
      <c r="F514" t="s">
        <v>125</v>
      </c>
      <c r="G514" t="s">
        <v>132</v>
      </c>
      <c r="H514" t="s">
        <v>285</v>
      </c>
      <c r="I514" t="s">
        <v>289</v>
      </c>
      <c r="J514" t="s">
        <v>317</v>
      </c>
      <c r="K514" t="s">
        <v>57</v>
      </c>
    </row>
    <row r="515" spans="1:11" x14ac:dyDescent="0.35">
      <c r="A515" t="s">
        <v>902</v>
      </c>
      <c r="B515">
        <v>2024</v>
      </c>
      <c r="C515" t="s">
        <v>678</v>
      </c>
      <c r="D515" t="s">
        <v>76</v>
      </c>
      <c r="E515" t="s">
        <v>115</v>
      </c>
      <c r="F515" t="s">
        <v>288</v>
      </c>
      <c r="G515" t="s">
        <v>130</v>
      </c>
      <c r="H515" t="s">
        <v>285</v>
      </c>
      <c r="I515" t="s">
        <v>77</v>
      </c>
      <c r="J515" t="s">
        <v>286</v>
      </c>
      <c r="K515" t="s">
        <v>57</v>
      </c>
    </row>
    <row r="516" spans="1:11" x14ac:dyDescent="0.35">
      <c r="A516" t="s">
        <v>903</v>
      </c>
      <c r="B516">
        <v>2024</v>
      </c>
      <c r="C516" t="s">
        <v>678</v>
      </c>
      <c r="D516" t="s">
        <v>76</v>
      </c>
      <c r="E516" t="s">
        <v>108</v>
      </c>
      <c r="F516" t="s">
        <v>125</v>
      </c>
      <c r="G516" t="s">
        <v>128</v>
      </c>
      <c r="H516" t="s">
        <v>285</v>
      </c>
      <c r="I516" t="s">
        <v>86</v>
      </c>
      <c r="J516" t="s">
        <v>286</v>
      </c>
      <c r="K516" t="s">
        <v>57</v>
      </c>
    </row>
    <row r="517" spans="1:11" x14ac:dyDescent="0.35">
      <c r="A517" t="s">
        <v>904</v>
      </c>
      <c r="B517">
        <v>2024</v>
      </c>
      <c r="C517" t="s">
        <v>678</v>
      </c>
      <c r="D517" t="s">
        <v>85</v>
      </c>
      <c r="E517" t="s">
        <v>116</v>
      </c>
      <c r="F517" t="s">
        <v>131</v>
      </c>
      <c r="G517" t="s">
        <v>128</v>
      </c>
      <c r="H517" t="s">
        <v>285</v>
      </c>
      <c r="I517" t="s">
        <v>77</v>
      </c>
      <c r="J517" t="s">
        <v>317</v>
      </c>
      <c r="K517" t="s">
        <v>57</v>
      </c>
    </row>
    <row r="518" spans="1:11" x14ac:dyDescent="0.35">
      <c r="A518" t="s">
        <v>905</v>
      </c>
      <c r="B518">
        <v>2024</v>
      </c>
      <c r="C518" t="s">
        <v>678</v>
      </c>
      <c r="D518" t="s">
        <v>76</v>
      </c>
      <c r="E518" t="s">
        <v>108</v>
      </c>
      <c r="F518" t="s">
        <v>125</v>
      </c>
      <c r="G518" t="s">
        <v>128</v>
      </c>
      <c r="H518" t="s">
        <v>285</v>
      </c>
      <c r="I518" t="s">
        <v>906</v>
      </c>
      <c r="J518" t="s">
        <v>308</v>
      </c>
      <c r="K518" t="s">
        <v>42</v>
      </c>
    </row>
    <row r="519" spans="1:11" x14ac:dyDescent="0.35">
      <c r="A519" t="s">
        <v>907</v>
      </c>
      <c r="B519">
        <v>2024</v>
      </c>
      <c r="C519" t="s">
        <v>678</v>
      </c>
      <c r="D519" t="s">
        <v>85</v>
      </c>
      <c r="E519" t="s">
        <v>117</v>
      </c>
      <c r="F519" t="s">
        <v>127</v>
      </c>
      <c r="G519" t="s">
        <v>132</v>
      </c>
      <c r="H519" t="s">
        <v>285</v>
      </c>
      <c r="I519" t="s">
        <v>288</v>
      </c>
      <c r="J519" t="s">
        <v>403</v>
      </c>
      <c r="K519" t="s">
        <v>57</v>
      </c>
    </row>
    <row r="520" spans="1:11" x14ac:dyDescent="0.35">
      <c r="A520" t="s">
        <v>908</v>
      </c>
      <c r="B520">
        <v>2024</v>
      </c>
      <c r="C520" t="s">
        <v>678</v>
      </c>
      <c r="D520" t="s">
        <v>85</v>
      </c>
      <c r="E520" t="s">
        <v>116</v>
      </c>
      <c r="F520" t="s">
        <v>288</v>
      </c>
      <c r="G520" t="s">
        <v>130</v>
      </c>
      <c r="H520" t="s">
        <v>305</v>
      </c>
      <c r="I520" t="s">
        <v>289</v>
      </c>
      <c r="J520" t="s">
        <v>295</v>
      </c>
      <c r="K520" t="s">
        <v>57</v>
      </c>
    </row>
    <row r="521" spans="1:11" x14ac:dyDescent="0.35">
      <c r="A521" t="s">
        <v>909</v>
      </c>
      <c r="B521">
        <v>2024</v>
      </c>
      <c r="C521" t="s">
        <v>678</v>
      </c>
      <c r="D521" t="s">
        <v>76</v>
      </c>
      <c r="E521" t="s">
        <v>107</v>
      </c>
      <c r="F521" t="s">
        <v>125</v>
      </c>
      <c r="G521" t="s">
        <v>130</v>
      </c>
      <c r="H521" t="s">
        <v>285</v>
      </c>
      <c r="I521" t="s">
        <v>289</v>
      </c>
      <c r="J521" t="s">
        <v>447</v>
      </c>
      <c r="K521" t="s">
        <v>57</v>
      </c>
    </row>
    <row r="522" spans="1:11" x14ac:dyDescent="0.35">
      <c r="A522" t="s">
        <v>910</v>
      </c>
      <c r="B522">
        <v>2024</v>
      </c>
      <c r="C522" t="s">
        <v>678</v>
      </c>
      <c r="D522" t="s">
        <v>76</v>
      </c>
      <c r="E522" t="s">
        <v>107</v>
      </c>
      <c r="F522" t="s">
        <v>125</v>
      </c>
      <c r="G522" t="s">
        <v>128</v>
      </c>
      <c r="H522" t="s">
        <v>285</v>
      </c>
      <c r="I522" t="s">
        <v>77</v>
      </c>
      <c r="J522" t="s">
        <v>286</v>
      </c>
      <c r="K522" t="s">
        <v>57</v>
      </c>
    </row>
    <row r="523" spans="1:11" x14ac:dyDescent="0.35">
      <c r="A523" t="s">
        <v>911</v>
      </c>
      <c r="B523">
        <v>2024</v>
      </c>
      <c r="C523" t="s">
        <v>678</v>
      </c>
      <c r="D523" t="s">
        <v>76</v>
      </c>
      <c r="E523" t="s">
        <v>107</v>
      </c>
      <c r="F523" t="s">
        <v>125</v>
      </c>
      <c r="G523" t="s">
        <v>126</v>
      </c>
      <c r="H523" t="s">
        <v>285</v>
      </c>
      <c r="I523" t="s">
        <v>86</v>
      </c>
      <c r="J523" t="s">
        <v>286</v>
      </c>
      <c r="K523" t="s">
        <v>57</v>
      </c>
    </row>
    <row r="524" spans="1:11" x14ac:dyDescent="0.35">
      <c r="A524" t="s">
        <v>912</v>
      </c>
      <c r="B524">
        <v>2024</v>
      </c>
      <c r="C524" t="s">
        <v>678</v>
      </c>
      <c r="D524" t="s">
        <v>76</v>
      </c>
      <c r="E524" t="s">
        <v>114</v>
      </c>
      <c r="F524" t="s">
        <v>125</v>
      </c>
      <c r="G524" t="s">
        <v>128</v>
      </c>
      <c r="H524" t="s">
        <v>285</v>
      </c>
      <c r="I524" t="s">
        <v>86</v>
      </c>
      <c r="J524" t="s">
        <v>286</v>
      </c>
      <c r="K524" t="s">
        <v>57</v>
      </c>
    </row>
    <row r="525" spans="1:11" x14ac:dyDescent="0.35">
      <c r="A525" t="s">
        <v>913</v>
      </c>
      <c r="B525">
        <v>2024</v>
      </c>
      <c r="C525" t="s">
        <v>678</v>
      </c>
      <c r="D525" t="s">
        <v>85</v>
      </c>
      <c r="E525" t="s">
        <v>116</v>
      </c>
      <c r="F525" t="s">
        <v>131</v>
      </c>
      <c r="G525" t="s">
        <v>128</v>
      </c>
      <c r="H525" t="s">
        <v>285</v>
      </c>
      <c r="I525" t="s">
        <v>289</v>
      </c>
      <c r="J525" t="s">
        <v>288</v>
      </c>
      <c r="K525" t="s">
        <v>57</v>
      </c>
    </row>
    <row r="526" spans="1:11" x14ac:dyDescent="0.35">
      <c r="A526" t="s">
        <v>914</v>
      </c>
      <c r="B526">
        <v>2024</v>
      </c>
      <c r="C526" t="s">
        <v>678</v>
      </c>
      <c r="D526" t="s">
        <v>76</v>
      </c>
      <c r="E526" t="s">
        <v>109</v>
      </c>
      <c r="F526" t="s">
        <v>129</v>
      </c>
      <c r="G526" t="s">
        <v>126</v>
      </c>
      <c r="H526" t="s">
        <v>285</v>
      </c>
      <c r="I526" t="s">
        <v>433</v>
      </c>
      <c r="J526" t="s">
        <v>286</v>
      </c>
      <c r="K526" t="s">
        <v>57</v>
      </c>
    </row>
    <row r="527" spans="1:11" x14ac:dyDescent="0.35">
      <c r="A527" t="s">
        <v>915</v>
      </c>
      <c r="B527">
        <v>2024</v>
      </c>
      <c r="C527" t="s">
        <v>678</v>
      </c>
      <c r="D527" t="s">
        <v>85</v>
      </c>
      <c r="E527" t="s">
        <v>117</v>
      </c>
      <c r="F527" t="s">
        <v>129</v>
      </c>
      <c r="G527" t="s">
        <v>130</v>
      </c>
      <c r="H527" t="s">
        <v>305</v>
      </c>
      <c r="I527" t="s">
        <v>289</v>
      </c>
      <c r="J527" t="s">
        <v>347</v>
      </c>
      <c r="K527" t="s">
        <v>57</v>
      </c>
    </row>
    <row r="528" spans="1:11" x14ac:dyDescent="0.35">
      <c r="A528" t="s">
        <v>916</v>
      </c>
      <c r="B528">
        <v>2024</v>
      </c>
      <c r="C528" t="s">
        <v>678</v>
      </c>
      <c r="D528" t="s">
        <v>76</v>
      </c>
      <c r="E528" t="s">
        <v>108</v>
      </c>
      <c r="F528" t="s">
        <v>125</v>
      </c>
      <c r="G528" t="s">
        <v>132</v>
      </c>
      <c r="H528" t="s">
        <v>285</v>
      </c>
      <c r="I528" t="s">
        <v>86</v>
      </c>
      <c r="J528" t="s">
        <v>286</v>
      </c>
      <c r="K528" t="s">
        <v>57</v>
      </c>
    </row>
    <row r="529" spans="1:11" x14ac:dyDescent="0.35">
      <c r="A529" t="s">
        <v>917</v>
      </c>
      <c r="B529">
        <v>2024</v>
      </c>
      <c r="C529" t="s">
        <v>678</v>
      </c>
      <c r="D529" t="s">
        <v>85</v>
      </c>
      <c r="E529" t="s">
        <v>120</v>
      </c>
      <c r="F529" t="s">
        <v>127</v>
      </c>
      <c r="G529" t="s">
        <v>132</v>
      </c>
      <c r="H529" t="s">
        <v>305</v>
      </c>
      <c r="I529" t="s">
        <v>86</v>
      </c>
      <c r="J529" t="s">
        <v>447</v>
      </c>
      <c r="K529" t="s">
        <v>57</v>
      </c>
    </row>
    <row r="530" spans="1:11" x14ac:dyDescent="0.35">
      <c r="A530" t="s">
        <v>918</v>
      </c>
      <c r="B530">
        <v>2024</v>
      </c>
      <c r="C530" t="s">
        <v>678</v>
      </c>
      <c r="D530" t="s">
        <v>76</v>
      </c>
      <c r="E530" t="s">
        <v>115</v>
      </c>
      <c r="F530" t="s">
        <v>288</v>
      </c>
      <c r="G530" t="s">
        <v>132</v>
      </c>
      <c r="H530" t="s">
        <v>357</v>
      </c>
      <c r="I530" t="s">
        <v>86</v>
      </c>
      <c r="J530" t="s">
        <v>288</v>
      </c>
      <c r="K530" t="s">
        <v>57</v>
      </c>
    </row>
    <row r="531" spans="1:11" x14ac:dyDescent="0.35">
      <c r="A531" t="s">
        <v>919</v>
      </c>
      <c r="B531">
        <v>2024</v>
      </c>
      <c r="C531" t="s">
        <v>678</v>
      </c>
      <c r="D531" t="s">
        <v>85</v>
      </c>
      <c r="E531" t="s">
        <v>116</v>
      </c>
      <c r="F531" t="s">
        <v>127</v>
      </c>
      <c r="G531" t="s">
        <v>130</v>
      </c>
      <c r="H531" t="s">
        <v>285</v>
      </c>
      <c r="I531" t="s">
        <v>289</v>
      </c>
      <c r="J531" t="s">
        <v>317</v>
      </c>
      <c r="K531" t="s">
        <v>57</v>
      </c>
    </row>
    <row r="532" spans="1:11" x14ac:dyDescent="0.35">
      <c r="A532" t="s">
        <v>920</v>
      </c>
      <c r="B532">
        <v>2024</v>
      </c>
      <c r="C532" t="s">
        <v>678</v>
      </c>
      <c r="D532" t="s">
        <v>76</v>
      </c>
      <c r="E532" t="s">
        <v>111</v>
      </c>
      <c r="F532" t="s">
        <v>125</v>
      </c>
      <c r="G532" t="s">
        <v>132</v>
      </c>
      <c r="H532" t="s">
        <v>285</v>
      </c>
      <c r="I532" t="s">
        <v>86</v>
      </c>
      <c r="J532" t="s">
        <v>288</v>
      </c>
      <c r="K532" t="s">
        <v>57</v>
      </c>
    </row>
    <row r="533" spans="1:11" x14ac:dyDescent="0.35">
      <c r="A533" t="s">
        <v>921</v>
      </c>
      <c r="B533">
        <v>2024</v>
      </c>
      <c r="C533" t="s">
        <v>678</v>
      </c>
      <c r="D533" t="s">
        <v>76</v>
      </c>
      <c r="E533" t="s">
        <v>112</v>
      </c>
      <c r="F533" t="s">
        <v>127</v>
      </c>
      <c r="G533" t="s">
        <v>130</v>
      </c>
      <c r="H533" t="s">
        <v>285</v>
      </c>
      <c r="I533" t="s">
        <v>77</v>
      </c>
      <c r="J533" t="s">
        <v>288</v>
      </c>
      <c r="K533" t="s">
        <v>57</v>
      </c>
    </row>
    <row r="534" spans="1:11" x14ac:dyDescent="0.35">
      <c r="A534" t="s">
        <v>922</v>
      </c>
      <c r="B534">
        <v>2024</v>
      </c>
      <c r="C534" t="s">
        <v>678</v>
      </c>
      <c r="D534" t="s">
        <v>76</v>
      </c>
      <c r="E534" t="s">
        <v>115</v>
      </c>
      <c r="F534" t="s">
        <v>127</v>
      </c>
      <c r="G534" t="s">
        <v>132</v>
      </c>
      <c r="H534" t="s">
        <v>285</v>
      </c>
      <c r="I534" t="s">
        <v>337</v>
      </c>
      <c r="J534" t="s">
        <v>286</v>
      </c>
      <c r="K534" t="s">
        <v>57</v>
      </c>
    </row>
    <row r="535" spans="1:11" x14ac:dyDescent="0.35">
      <c r="A535" t="s">
        <v>923</v>
      </c>
      <c r="B535">
        <v>2024</v>
      </c>
      <c r="C535" t="s">
        <v>678</v>
      </c>
      <c r="D535" t="s">
        <v>85</v>
      </c>
      <c r="E535" t="s">
        <v>116</v>
      </c>
      <c r="F535" t="s">
        <v>288</v>
      </c>
      <c r="G535" t="s">
        <v>130</v>
      </c>
      <c r="H535" t="s">
        <v>285</v>
      </c>
      <c r="I535" t="s">
        <v>77</v>
      </c>
      <c r="J535" t="s">
        <v>286</v>
      </c>
      <c r="K535" t="s">
        <v>57</v>
      </c>
    </row>
    <row r="536" spans="1:11" x14ac:dyDescent="0.35">
      <c r="A536" t="s">
        <v>924</v>
      </c>
      <c r="B536">
        <v>2024</v>
      </c>
      <c r="C536" t="s">
        <v>678</v>
      </c>
      <c r="D536" t="s">
        <v>76</v>
      </c>
      <c r="E536" t="s">
        <v>108</v>
      </c>
      <c r="F536" t="s">
        <v>125</v>
      </c>
      <c r="G536" t="s">
        <v>130</v>
      </c>
      <c r="H536" t="s">
        <v>285</v>
      </c>
      <c r="I536" t="s">
        <v>77</v>
      </c>
      <c r="J536" t="s">
        <v>286</v>
      </c>
      <c r="K536" t="s">
        <v>57</v>
      </c>
    </row>
    <row r="537" spans="1:11" x14ac:dyDescent="0.35">
      <c r="A537" t="s">
        <v>925</v>
      </c>
      <c r="B537">
        <v>2024</v>
      </c>
      <c r="C537" t="s">
        <v>678</v>
      </c>
      <c r="D537" t="s">
        <v>85</v>
      </c>
      <c r="E537" t="s">
        <v>377</v>
      </c>
      <c r="F537" t="s">
        <v>127</v>
      </c>
      <c r="G537" t="s">
        <v>132</v>
      </c>
      <c r="H537" t="s">
        <v>305</v>
      </c>
      <c r="I537" t="s">
        <v>559</v>
      </c>
      <c r="J537" t="s">
        <v>317</v>
      </c>
      <c r="K537" t="s">
        <v>57</v>
      </c>
    </row>
    <row r="538" spans="1:11" x14ac:dyDescent="0.35">
      <c r="A538" t="s">
        <v>926</v>
      </c>
      <c r="B538">
        <v>2024</v>
      </c>
      <c r="C538" t="s">
        <v>678</v>
      </c>
      <c r="D538" t="s">
        <v>85</v>
      </c>
      <c r="E538" t="s">
        <v>116</v>
      </c>
      <c r="F538" t="s">
        <v>131</v>
      </c>
      <c r="G538" t="s">
        <v>126</v>
      </c>
      <c r="H538" t="s">
        <v>285</v>
      </c>
      <c r="I538" t="s">
        <v>77</v>
      </c>
      <c r="J538" t="s">
        <v>286</v>
      </c>
      <c r="K538" t="s">
        <v>57</v>
      </c>
    </row>
    <row r="539" spans="1:11" x14ac:dyDescent="0.35">
      <c r="A539" t="s">
        <v>927</v>
      </c>
      <c r="B539">
        <v>2024</v>
      </c>
      <c r="C539" t="s">
        <v>678</v>
      </c>
      <c r="D539" t="s">
        <v>76</v>
      </c>
      <c r="E539" t="s">
        <v>115</v>
      </c>
      <c r="F539" t="s">
        <v>127</v>
      </c>
      <c r="G539" t="s">
        <v>130</v>
      </c>
      <c r="H539" t="s">
        <v>285</v>
      </c>
      <c r="I539" t="s">
        <v>289</v>
      </c>
      <c r="J539" t="s">
        <v>286</v>
      </c>
      <c r="K539" t="s">
        <v>57</v>
      </c>
    </row>
    <row r="540" spans="1:11" x14ac:dyDescent="0.35">
      <c r="A540" t="s">
        <v>928</v>
      </c>
      <c r="B540">
        <v>2024</v>
      </c>
      <c r="C540" t="s">
        <v>678</v>
      </c>
      <c r="D540" t="s">
        <v>85</v>
      </c>
      <c r="E540" t="s">
        <v>116</v>
      </c>
      <c r="F540" t="s">
        <v>127</v>
      </c>
      <c r="G540" t="s">
        <v>132</v>
      </c>
      <c r="H540" t="s">
        <v>285</v>
      </c>
      <c r="I540" t="s">
        <v>288</v>
      </c>
      <c r="J540" t="s">
        <v>286</v>
      </c>
      <c r="K540" t="s">
        <v>57</v>
      </c>
    </row>
    <row r="541" spans="1:11" x14ac:dyDescent="0.35">
      <c r="A541" t="s">
        <v>929</v>
      </c>
      <c r="B541">
        <v>2024</v>
      </c>
      <c r="C541" t="s">
        <v>678</v>
      </c>
      <c r="D541" t="s">
        <v>85</v>
      </c>
      <c r="E541" t="s">
        <v>120</v>
      </c>
      <c r="F541" t="s">
        <v>129</v>
      </c>
      <c r="G541" t="s">
        <v>130</v>
      </c>
      <c r="H541" t="s">
        <v>305</v>
      </c>
      <c r="I541" t="s">
        <v>333</v>
      </c>
      <c r="J541" t="s">
        <v>286</v>
      </c>
      <c r="K541" t="s">
        <v>57</v>
      </c>
    </row>
    <row r="542" spans="1:11" x14ac:dyDescent="0.35">
      <c r="A542" t="s">
        <v>930</v>
      </c>
      <c r="B542">
        <v>2024</v>
      </c>
      <c r="C542" t="s">
        <v>678</v>
      </c>
      <c r="D542" t="s">
        <v>85</v>
      </c>
      <c r="E542" t="s">
        <v>117</v>
      </c>
      <c r="F542" t="s">
        <v>129</v>
      </c>
      <c r="G542" t="s">
        <v>128</v>
      </c>
      <c r="H542" t="s">
        <v>305</v>
      </c>
      <c r="I542" t="s">
        <v>86</v>
      </c>
      <c r="J542" t="s">
        <v>566</v>
      </c>
      <c r="K542" t="s">
        <v>42</v>
      </c>
    </row>
    <row r="543" spans="1:11" x14ac:dyDescent="0.35">
      <c r="A543" t="s">
        <v>931</v>
      </c>
      <c r="B543">
        <v>2024</v>
      </c>
      <c r="C543" t="s">
        <v>678</v>
      </c>
      <c r="D543" t="s">
        <v>76</v>
      </c>
      <c r="E543" t="s">
        <v>118</v>
      </c>
      <c r="F543" t="s">
        <v>127</v>
      </c>
      <c r="G543" t="s">
        <v>128</v>
      </c>
      <c r="H543" t="s">
        <v>285</v>
      </c>
      <c r="I543" t="s">
        <v>333</v>
      </c>
      <c r="J543" t="s">
        <v>286</v>
      </c>
      <c r="K543" t="s">
        <v>57</v>
      </c>
    </row>
    <row r="544" spans="1:11" x14ac:dyDescent="0.35">
      <c r="A544" t="s">
        <v>932</v>
      </c>
      <c r="B544">
        <v>2024</v>
      </c>
      <c r="C544" t="s">
        <v>678</v>
      </c>
      <c r="D544" t="s">
        <v>76</v>
      </c>
      <c r="E544" t="s">
        <v>107</v>
      </c>
      <c r="F544" t="s">
        <v>127</v>
      </c>
      <c r="G544" t="s">
        <v>126</v>
      </c>
      <c r="H544" t="s">
        <v>285</v>
      </c>
      <c r="I544" t="s">
        <v>638</v>
      </c>
      <c r="J544" t="s">
        <v>286</v>
      </c>
      <c r="K544" t="s">
        <v>57</v>
      </c>
    </row>
    <row r="545" spans="1:11" x14ac:dyDescent="0.35">
      <c r="A545" t="s">
        <v>933</v>
      </c>
      <c r="B545">
        <v>2024</v>
      </c>
      <c r="C545" t="s">
        <v>678</v>
      </c>
      <c r="D545" t="s">
        <v>85</v>
      </c>
      <c r="E545" t="s">
        <v>116</v>
      </c>
      <c r="F545" t="s">
        <v>129</v>
      </c>
      <c r="G545" t="s">
        <v>132</v>
      </c>
      <c r="H545" t="s">
        <v>285</v>
      </c>
      <c r="I545" t="s">
        <v>289</v>
      </c>
      <c r="J545" t="s">
        <v>286</v>
      </c>
      <c r="K545" t="s">
        <v>57</v>
      </c>
    </row>
    <row r="546" spans="1:11" x14ac:dyDescent="0.35">
      <c r="A546" t="s">
        <v>934</v>
      </c>
      <c r="B546">
        <v>2024</v>
      </c>
      <c r="C546" t="s">
        <v>678</v>
      </c>
      <c r="D546" t="s">
        <v>85</v>
      </c>
      <c r="E546" t="s">
        <v>116</v>
      </c>
      <c r="F546" t="s">
        <v>288</v>
      </c>
      <c r="G546" t="s">
        <v>130</v>
      </c>
      <c r="H546" t="s">
        <v>285</v>
      </c>
      <c r="I546" t="s">
        <v>289</v>
      </c>
      <c r="J546" t="s">
        <v>326</v>
      </c>
      <c r="K546" t="s">
        <v>57</v>
      </c>
    </row>
    <row r="547" spans="1:11" x14ac:dyDescent="0.35">
      <c r="A547" t="s">
        <v>935</v>
      </c>
      <c r="B547">
        <v>2024</v>
      </c>
      <c r="C547" t="s">
        <v>678</v>
      </c>
      <c r="D547" t="s">
        <v>76</v>
      </c>
      <c r="E547" t="s">
        <v>109</v>
      </c>
      <c r="F547" t="s">
        <v>129</v>
      </c>
      <c r="G547" t="s">
        <v>128</v>
      </c>
      <c r="H547" t="s">
        <v>285</v>
      </c>
      <c r="I547" t="s">
        <v>86</v>
      </c>
      <c r="J547" t="s">
        <v>286</v>
      </c>
      <c r="K547" t="s">
        <v>57</v>
      </c>
    </row>
    <row r="548" spans="1:11" x14ac:dyDescent="0.35">
      <c r="A548" t="s">
        <v>936</v>
      </c>
      <c r="B548">
        <v>2024</v>
      </c>
      <c r="C548" t="s">
        <v>678</v>
      </c>
      <c r="D548" t="s">
        <v>76</v>
      </c>
      <c r="E548" t="s">
        <v>119</v>
      </c>
      <c r="F548" t="s">
        <v>125</v>
      </c>
      <c r="G548" t="s">
        <v>132</v>
      </c>
      <c r="H548" t="s">
        <v>285</v>
      </c>
      <c r="I548" t="s">
        <v>288</v>
      </c>
      <c r="J548" t="s">
        <v>286</v>
      </c>
      <c r="K548" t="s">
        <v>57</v>
      </c>
    </row>
    <row r="549" spans="1:11" x14ac:dyDescent="0.35">
      <c r="A549" t="s">
        <v>937</v>
      </c>
      <c r="B549">
        <v>2024</v>
      </c>
      <c r="C549" t="s">
        <v>678</v>
      </c>
      <c r="D549" t="s">
        <v>76</v>
      </c>
      <c r="E549" t="s">
        <v>108</v>
      </c>
      <c r="F549" t="s">
        <v>125</v>
      </c>
      <c r="G549" t="s">
        <v>128</v>
      </c>
      <c r="H549" t="s">
        <v>285</v>
      </c>
      <c r="I549" t="s">
        <v>77</v>
      </c>
      <c r="J549" t="s">
        <v>286</v>
      </c>
      <c r="K549" t="s">
        <v>57</v>
      </c>
    </row>
    <row r="550" spans="1:11" x14ac:dyDescent="0.35">
      <c r="A550" t="s">
        <v>938</v>
      </c>
      <c r="B550">
        <v>2024</v>
      </c>
      <c r="C550" t="s">
        <v>678</v>
      </c>
      <c r="D550" t="s">
        <v>85</v>
      </c>
      <c r="E550" t="s">
        <v>116</v>
      </c>
      <c r="F550" t="s">
        <v>127</v>
      </c>
      <c r="G550" t="s">
        <v>126</v>
      </c>
      <c r="H550" t="s">
        <v>285</v>
      </c>
      <c r="I550" t="s">
        <v>289</v>
      </c>
      <c r="J550" t="s">
        <v>286</v>
      </c>
      <c r="K550" t="s">
        <v>57</v>
      </c>
    </row>
    <row r="551" spans="1:11" x14ac:dyDescent="0.35">
      <c r="A551" t="s">
        <v>939</v>
      </c>
      <c r="B551">
        <v>2024</v>
      </c>
      <c r="C551" t="s">
        <v>678</v>
      </c>
      <c r="D551" t="s">
        <v>85</v>
      </c>
      <c r="E551" t="s">
        <v>117</v>
      </c>
      <c r="F551" t="s">
        <v>133</v>
      </c>
      <c r="G551" t="s">
        <v>126</v>
      </c>
      <c r="H551" t="s">
        <v>285</v>
      </c>
      <c r="I551" t="s">
        <v>337</v>
      </c>
      <c r="J551" t="s">
        <v>326</v>
      </c>
      <c r="K551" t="s">
        <v>57</v>
      </c>
    </row>
    <row r="552" spans="1:11" x14ac:dyDescent="0.35">
      <c r="A552" t="s">
        <v>940</v>
      </c>
      <c r="B552">
        <v>2024</v>
      </c>
      <c r="C552" t="s">
        <v>678</v>
      </c>
      <c r="D552" t="s">
        <v>85</v>
      </c>
      <c r="E552" t="s">
        <v>120</v>
      </c>
      <c r="F552" t="s">
        <v>129</v>
      </c>
      <c r="G552" t="s">
        <v>128</v>
      </c>
      <c r="H552" t="s">
        <v>285</v>
      </c>
      <c r="I552" t="s">
        <v>333</v>
      </c>
      <c r="J552" t="s">
        <v>361</v>
      </c>
      <c r="K552" t="s">
        <v>57</v>
      </c>
    </row>
    <row r="553" spans="1:11" x14ac:dyDescent="0.35">
      <c r="A553" t="s">
        <v>941</v>
      </c>
      <c r="B553">
        <v>2024</v>
      </c>
      <c r="C553" t="s">
        <v>678</v>
      </c>
      <c r="D553" t="s">
        <v>76</v>
      </c>
      <c r="E553" t="s">
        <v>110</v>
      </c>
      <c r="F553" t="s">
        <v>125</v>
      </c>
      <c r="G553" t="s">
        <v>126</v>
      </c>
      <c r="H553" t="s">
        <v>285</v>
      </c>
      <c r="I553" t="s">
        <v>77</v>
      </c>
      <c r="J553" t="s">
        <v>286</v>
      </c>
      <c r="K553" t="s">
        <v>57</v>
      </c>
    </row>
    <row r="554" spans="1:11" x14ac:dyDescent="0.35">
      <c r="A554" t="s">
        <v>942</v>
      </c>
      <c r="B554">
        <v>2024</v>
      </c>
      <c r="C554" t="s">
        <v>678</v>
      </c>
      <c r="D554" t="s">
        <v>76</v>
      </c>
      <c r="E554" t="s">
        <v>119</v>
      </c>
      <c r="F554" t="s">
        <v>133</v>
      </c>
      <c r="G554" t="s">
        <v>126</v>
      </c>
      <c r="H554" t="s">
        <v>285</v>
      </c>
      <c r="I554" t="s">
        <v>288</v>
      </c>
      <c r="J554" t="s">
        <v>288</v>
      </c>
      <c r="K554" t="s">
        <v>57</v>
      </c>
    </row>
    <row r="555" spans="1:11" x14ac:dyDescent="0.35">
      <c r="A555" t="s">
        <v>943</v>
      </c>
      <c r="B555">
        <v>2024</v>
      </c>
      <c r="C555" t="s">
        <v>678</v>
      </c>
      <c r="D555" t="s">
        <v>76</v>
      </c>
      <c r="E555" t="s">
        <v>107</v>
      </c>
      <c r="F555" t="s">
        <v>125</v>
      </c>
      <c r="G555" t="s">
        <v>132</v>
      </c>
      <c r="H555" t="s">
        <v>285</v>
      </c>
      <c r="I555" t="s">
        <v>77</v>
      </c>
      <c r="J555" t="s">
        <v>286</v>
      </c>
      <c r="K555" t="s">
        <v>57</v>
      </c>
    </row>
    <row r="556" spans="1:11" x14ac:dyDescent="0.35">
      <c r="A556" t="s">
        <v>944</v>
      </c>
      <c r="B556">
        <v>2024</v>
      </c>
      <c r="C556" t="s">
        <v>678</v>
      </c>
      <c r="D556" t="s">
        <v>85</v>
      </c>
      <c r="E556" t="s">
        <v>117</v>
      </c>
      <c r="F556" t="s">
        <v>288</v>
      </c>
      <c r="G556" t="s">
        <v>132</v>
      </c>
      <c r="H556" t="s">
        <v>285</v>
      </c>
      <c r="I556" t="s">
        <v>289</v>
      </c>
      <c r="J556" t="s">
        <v>288</v>
      </c>
      <c r="K556" t="s">
        <v>57</v>
      </c>
    </row>
    <row r="557" spans="1:11" x14ac:dyDescent="0.35">
      <c r="A557" t="s">
        <v>945</v>
      </c>
      <c r="B557">
        <v>2024</v>
      </c>
      <c r="C557" t="s">
        <v>678</v>
      </c>
      <c r="D557" t="s">
        <v>85</v>
      </c>
      <c r="E557" t="s">
        <v>120</v>
      </c>
      <c r="F557" t="s">
        <v>129</v>
      </c>
      <c r="G557" t="s">
        <v>130</v>
      </c>
      <c r="H557" t="s">
        <v>285</v>
      </c>
      <c r="I557" t="s">
        <v>333</v>
      </c>
      <c r="J557" t="s">
        <v>361</v>
      </c>
      <c r="K557" t="s">
        <v>57</v>
      </c>
    </row>
    <row r="558" spans="1:11" x14ac:dyDescent="0.35">
      <c r="A558" t="s">
        <v>946</v>
      </c>
      <c r="B558">
        <v>2024</v>
      </c>
      <c r="C558" t="s">
        <v>678</v>
      </c>
      <c r="D558" t="s">
        <v>85</v>
      </c>
      <c r="E558" t="s">
        <v>116</v>
      </c>
      <c r="F558" t="s">
        <v>125</v>
      </c>
      <c r="G558" t="s">
        <v>126</v>
      </c>
      <c r="H558" t="s">
        <v>285</v>
      </c>
      <c r="I558" t="s">
        <v>86</v>
      </c>
      <c r="J558" t="s">
        <v>947</v>
      </c>
      <c r="K558" t="s">
        <v>57</v>
      </c>
    </row>
    <row r="559" spans="1:11" x14ac:dyDescent="0.35">
      <c r="A559" t="s">
        <v>948</v>
      </c>
      <c r="B559">
        <v>2024</v>
      </c>
      <c r="C559" t="s">
        <v>678</v>
      </c>
      <c r="D559" t="s">
        <v>76</v>
      </c>
      <c r="E559" t="s">
        <v>360</v>
      </c>
      <c r="F559" t="s">
        <v>129</v>
      </c>
      <c r="G559" t="s">
        <v>132</v>
      </c>
      <c r="H559" t="s">
        <v>285</v>
      </c>
      <c r="I559" t="s">
        <v>77</v>
      </c>
      <c r="J559" t="s">
        <v>403</v>
      </c>
      <c r="K559" t="s">
        <v>57</v>
      </c>
    </row>
    <row r="560" spans="1:11" x14ac:dyDescent="0.35">
      <c r="A560" t="s">
        <v>949</v>
      </c>
      <c r="B560">
        <v>2024</v>
      </c>
      <c r="C560" t="s">
        <v>678</v>
      </c>
      <c r="D560" t="s">
        <v>85</v>
      </c>
      <c r="E560" t="s">
        <v>120</v>
      </c>
      <c r="F560" t="s">
        <v>125</v>
      </c>
      <c r="G560" t="s">
        <v>128</v>
      </c>
      <c r="H560" t="s">
        <v>285</v>
      </c>
      <c r="I560" t="s">
        <v>86</v>
      </c>
      <c r="J560" t="s">
        <v>286</v>
      </c>
      <c r="K560" t="s">
        <v>57</v>
      </c>
    </row>
    <row r="561" spans="1:11" x14ac:dyDescent="0.35">
      <c r="A561" t="s">
        <v>950</v>
      </c>
      <c r="B561">
        <v>2024</v>
      </c>
      <c r="C561" t="s">
        <v>678</v>
      </c>
      <c r="D561" t="s">
        <v>76</v>
      </c>
      <c r="E561" t="s">
        <v>107</v>
      </c>
      <c r="F561" t="s">
        <v>125</v>
      </c>
      <c r="G561" t="s">
        <v>128</v>
      </c>
      <c r="H561" t="s">
        <v>285</v>
      </c>
      <c r="I561" t="s">
        <v>86</v>
      </c>
      <c r="J561" t="s">
        <v>288</v>
      </c>
      <c r="K561" t="s">
        <v>57</v>
      </c>
    </row>
    <row r="562" spans="1:11" x14ac:dyDescent="0.35">
      <c r="A562" t="s">
        <v>951</v>
      </c>
      <c r="B562">
        <v>2024</v>
      </c>
      <c r="C562" t="s">
        <v>678</v>
      </c>
      <c r="D562" t="s">
        <v>85</v>
      </c>
      <c r="E562" t="s">
        <v>377</v>
      </c>
      <c r="F562" t="s">
        <v>127</v>
      </c>
      <c r="G562" t="s">
        <v>126</v>
      </c>
      <c r="H562" t="s">
        <v>305</v>
      </c>
      <c r="I562" t="s">
        <v>288</v>
      </c>
      <c r="J562" t="s">
        <v>347</v>
      </c>
      <c r="K562" t="s">
        <v>57</v>
      </c>
    </row>
    <row r="563" spans="1:11" x14ac:dyDescent="0.35">
      <c r="A563" t="s">
        <v>952</v>
      </c>
      <c r="B563">
        <v>2024</v>
      </c>
      <c r="C563" t="s">
        <v>678</v>
      </c>
      <c r="D563" t="s">
        <v>85</v>
      </c>
      <c r="E563" t="s">
        <v>377</v>
      </c>
      <c r="F563" t="s">
        <v>125</v>
      </c>
      <c r="G563" t="s">
        <v>126</v>
      </c>
      <c r="H563" t="s">
        <v>305</v>
      </c>
      <c r="I563" t="s">
        <v>288</v>
      </c>
      <c r="J563" t="s">
        <v>347</v>
      </c>
      <c r="K563" t="s">
        <v>57</v>
      </c>
    </row>
    <row r="564" spans="1:11" x14ac:dyDescent="0.35">
      <c r="A564" t="s">
        <v>953</v>
      </c>
      <c r="B564">
        <v>2024</v>
      </c>
      <c r="C564" t="s">
        <v>678</v>
      </c>
      <c r="D564" t="s">
        <v>76</v>
      </c>
      <c r="E564" t="s">
        <v>119</v>
      </c>
      <c r="F564" t="s">
        <v>125</v>
      </c>
      <c r="G564" t="s">
        <v>130</v>
      </c>
      <c r="H564" t="s">
        <v>285</v>
      </c>
      <c r="I564" t="s">
        <v>86</v>
      </c>
      <c r="J564" t="s">
        <v>286</v>
      </c>
      <c r="K564" t="s">
        <v>57</v>
      </c>
    </row>
    <row r="565" spans="1:11" x14ac:dyDescent="0.35">
      <c r="A565" t="s">
        <v>954</v>
      </c>
      <c r="B565">
        <v>2024</v>
      </c>
      <c r="C565" t="s">
        <v>678</v>
      </c>
      <c r="D565" t="s">
        <v>85</v>
      </c>
      <c r="E565" t="s">
        <v>117</v>
      </c>
      <c r="F565" t="s">
        <v>288</v>
      </c>
      <c r="G565" t="s">
        <v>132</v>
      </c>
      <c r="H565" t="s">
        <v>285</v>
      </c>
      <c r="I565" t="s">
        <v>86</v>
      </c>
      <c r="J565" t="s">
        <v>895</v>
      </c>
      <c r="K565" t="s">
        <v>42</v>
      </c>
    </row>
    <row r="566" spans="1:11" x14ac:dyDescent="0.35">
      <c r="A566" t="s">
        <v>955</v>
      </c>
      <c r="B566">
        <v>2024</v>
      </c>
      <c r="C566" t="s">
        <v>678</v>
      </c>
      <c r="D566" t="s">
        <v>85</v>
      </c>
      <c r="E566" t="s">
        <v>120</v>
      </c>
      <c r="F566" t="s">
        <v>288</v>
      </c>
      <c r="G566" t="s">
        <v>128</v>
      </c>
      <c r="H566" t="s">
        <v>305</v>
      </c>
      <c r="I566" t="s">
        <v>288</v>
      </c>
      <c r="J566" t="s">
        <v>288</v>
      </c>
      <c r="K566" t="s">
        <v>57</v>
      </c>
    </row>
    <row r="567" spans="1:11" x14ac:dyDescent="0.35">
      <c r="A567" t="s">
        <v>956</v>
      </c>
      <c r="B567">
        <v>2024</v>
      </c>
      <c r="C567" t="s">
        <v>678</v>
      </c>
      <c r="D567" t="s">
        <v>76</v>
      </c>
      <c r="E567" t="s">
        <v>119</v>
      </c>
      <c r="F567" t="s">
        <v>288</v>
      </c>
      <c r="G567" t="s">
        <v>126</v>
      </c>
      <c r="H567" t="s">
        <v>357</v>
      </c>
      <c r="I567" t="s">
        <v>289</v>
      </c>
      <c r="J567" t="s">
        <v>288</v>
      </c>
      <c r="K567" t="s">
        <v>57</v>
      </c>
    </row>
    <row r="568" spans="1:11" x14ac:dyDescent="0.35">
      <c r="A568" t="s">
        <v>957</v>
      </c>
      <c r="B568">
        <v>2024</v>
      </c>
      <c r="C568" t="s">
        <v>678</v>
      </c>
      <c r="D568" t="s">
        <v>76</v>
      </c>
      <c r="E568" t="s">
        <v>107</v>
      </c>
      <c r="F568" t="s">
        <v>125</v>
      </c>
      <c r="G568" t="s">
        <v>126</v>
      </c>
      <c r="H568" t="s">
        <v>285</v>
      </c>
      <c r="I568" t="s">
        <v>288</v>
      </c>
      <c r="J568" t="s">
        <v>286</v>
      </c>
      <c r="K568" t="s">
        <v>57</v>
      </c>
    </row>
    <row r="569" spans="1:11" x14ac:dyDescent="0.35">
      <c r="A569" t="s">
        <v>958</v>
      </c>
      <c r="B569">
        <v>2024</v>
      </c>
      <c r="C569" t="s">
        <v>678</v>
      </c>
      <c r="D569" t="s">
        <v>85</v>
      </c>
      <c r="E569" t="s">
        <v>120</v>
      </c>
      <c r="F569" t="s">
        <v>125</v>
      </c>
      <c r="G569" t="s">
        <v>132</v>
      </c>
      <c r="H569" t="s">
        <v>285</v>
      </c>
      <c r="I569" t="s">
        <v>289</v>
      </c>
      <c r="J569" t="s">
        <v>515</v>
      </c>
      <c r="K569" t="s">
        <v>57</v>
      </c>
    </row>
    <row r="570" spans="1:11" x14ac:dyDescent="0.35">
      <c r="A570" t="s">
        <v>959</v>
      </c>
      <c r="B570">
        <v>2024</v>
      </c>
      <c r="C570" t="s">
        <v>678</v>
      </c>
      <c r="D570" t="s">
        <v>76</v>
      </c>
      <c r="E570" t="s">
        <v>107</v>
      </c>
      <c r="F570" t="s">
        <v>125</v>
      </c>
      <c r="G570" t="s">
        <v>126</v>
      </c>
      <c r="H570" t="s">
        <v>285</v>
      </c>
      <c r="I570" t="s">
        <v>86</v>
      </c>
      <c r="J570" t="s">
        <v>286</v>
      </c>
      <c r="K570" t="s">
        <v>57</v>
      </c>
    </row>
    <row r="571" spans="1:11" x14ac:dyDescent="0.35">
      <c r="A571" t="s">
        <v>960</v>
      </c>
      <c r="B571">
        <v>2024</v>
      </c>
      <c r="C571" t="s">
        <v>678</v>
      </c>
      <c r="D571" t="s">
        <v>85</v>
      </c>
      <c r="E571" t="s">
        <v>116</v>
      </c>
      <c r="F571" t="s">
        <v>131</v>
      </c>
      <c r="G571" t="s">
        <v>126</v>
      </c>
      <c r="H571" t="s">
        <v>285</v>
      </c>
      <c r="I571" t="s">
        <v>77</v>
      </c>
      <c r="J571" t="s">
        <v>286</v>
      </c>
      <c r="K571" t="s">
        <v>57</v>
      </c>
    </row>
    <row r="572" spans="1:11" x14ac:dyDescent="0.35">
      <c r="A572" t="s">
        <v>961</v>
      </c>
      <c r="B572">
        <v>2024</v>
      </c>
      <c r="C572" t="s">
        <v>678</v>
      </c>
      <c r="D572" t="s">
        <v>76</v>
      </c>
      <c r="E572" t="s">
        <v>115</v>
      </c>
      <c r="F572" t="s">
        <v>127</v>
      </c>
      <c r="G572" t="s">
        <v>128</v>
      </c>
      <c r="H572" t="s">
        <v>297</v>
      </c>
      <c r="I572" t="s">
        <v>86</v>
      </c>
      <c r="J572" t="s">
        <v>962</v>
      </c>
      <c r="K572" t="s">
        <v>42</v>
      </c>
    </row>
    <row r="573" spans="1:11" x14ac:dyDescent="0.35">
      <c r="A573" t="s">
        <v>963</v>
      </c>
      <c r="B573">
        <v>2024</v>
      </c>
      <c r="C573" t="s">
        <v>678</v>
      </c>
      <c r="D573" t="s">
        <v>85</v>
      </c>
      <c r="E573" t="s">
        <v>116</v>
      </c>
      <c r="F573" t="s">
        <v>288</v>
      </c>
      <c r="G573" t="s">
        <v>130</v>
      </c>
      <c r="H573" t="s">
        <v>357</v>
      </c>
      <c r="I573" t="s">
        <v>288</v>
      </c>
      <c r="J573" t="s">
        <v>286</v>
      </c>
      <c r="K573" t="s">
        <v>57</v>
      </c>
    </row>
    <row r="574" spans="1:11" x14ac:dyDescent="0.35">
      <c r="A574" t="s">
        <v>964</v>
      </c>
      <c r="B574">
        <v>2024</v>
      </c>
      <c r="C574" t="s">
        <v>678</v>
      </c>
      <c r="D574" t="s">
        <v>85</v>
      </c>
      <c r="E574" t="s">
        <v>116</v>
      </c>
      <c r="F574" t="s">
        <v>125</v>
      </c>
      <c r="G574" t="s">
        <v>130</v>
      </c>
      <c r="H574" t="s">
        <v>285</v>
      </c>
      <c r="I574" t="s">
        <v>86</v>
      </c>
      <c r="J574" t="s">
        <v>317</v>
      </c>
      <c r="K574" t="s">
        <v>57</v>
      </c>
    </row>
    <row r="575" spans="1:11" x14ac:dyDescent="0.35">
      <c r="A575" t="s">
        <v>965</v>
      </c>
      <c r="B575">
        <v>2024</v>
      </c>
      <c r="C575" t="s">
        <v>678</v>
      </c>
      <c r="D575" t="s">
        <v>85</v>
      </c>
      <c r="E575" t="s">
        <v>120</v>
      </c>
      <c r="F575" t="s">
        <v>134</v>
      </c>
      <c r="G575" t="s">
        <v>132</v>
      </c>
      <c r="H575" t="s">
        <v>285</v>
      </c>
      <c r="I575" t="s">
        <v>77</v>
      </c>
      <c r="J575" t="s">
        <v>286</v>
      </c>
      <c r="K575" t="s">
        <v>57</v>
      </c>
    </row>
    <row r="576" spans="1:11" x14ac:dyDescent="0.35">
      <c r="A576" t="s">
        <v>966</v>
      </c>
      <c r="B576">
        <v>2024</v>
      </c>
      <c r="C576" t="s">
        <v>678</v>
      </c>
      <c r="D576" t="s">
        <v>76</v>
      </c>
      <c r="E576" t="s">
        <v>109</v>
      </c>
      <c r="F576" t="s">
        <v>288</v>
      </c>
      <c r="G576" t="s">
        <v>126</v>
      </c>
      <c r="H576" t="s">
        <v>285</v>
      </c>
      <c r="I576" t="s">
        <v>288</v>
      </c>
      <c r="J576" t="s">
        <v>286</v>
      </c>
      <c r="K576" t="s">
        <v>57</v>
      </c>
    </row>
    <row r="577" spans="1:11" x14ac:dyDescent="0.35">
      <c r="A577" t="s">
        <v>967</v>
      </c>
      <c r="B577">
        <v>2024</v>
      </c>
      <c r="C577" t="s">
        <v>678</v>
      </c>
      <c r="D577" t="s">
        <v>85</v>
      </c>
      <c r="E577" t="s">
        <v>117</v>
      </c>
      <c r="F577" t="s">
        <v>127</v>
      </c>
      <c r="G577" t="s">
        <v>130</v>
      </c>
      <c r="H577" t="s">
        <v>285</v>
      </c>
      <c r="I577" t="s">
        <v>77</v>
      </c>
      <c r="J577" t="s">
        <v>286</v>
      </c>
      <c r="K577" t="s">
        <v>57</v>
      </c>
    </row>
    <row r="578" spans="1:11" x14ac:dyDescent="0.35">
      <c r="A578" t="s">
        <v>968</v>
      </c>
      <c r="B578">
        <v>2024</v>
      </c>
      <c r="C578" t="s">
        <v>678</v>
      </c>
      <c r="D578" t="s">
        <v>85</v>
      </c>
      <c r="E578" t="s">
        <v>120</v>
      </c>
      <c r="F578" t="s">
        <v>127</v>
      </c>
      <c r="G578" t="s">
        <v>128</v>
      </c>
      <c r="H578" t="s">
        <v>285</v>
      </c>
      <c r="I578" t="s">
        <v>333</v>
      </c>
      <c r="J578" t="s">
        <v>286</v>
      </c>
      <c r="K578" t="s">
        <v>57</v>
      </c>
    </row>
    <row r="579" spans="1:11" x14ac:dyDescent="0.35">
      <c r="A579" t="s">
        <v>969</v>
      </c>
      <c r="B579">
        <v>2024</v>
      </c>
      <c r="C579" t="s">
        <v>678</v>
      </c>
      <c r="D579" t="s">
        <v>76</v>
      </c>
      <c r="E579" t="s">
        <v>119</v>
      </c>
      <c r="F579" t="s">
        <v>125</v>
      </c>
      <c r="G579" t="s">
        <v>128</v>
      </c>
      <c r="H579" t="s">
        <v>285</v>
      </c>
      <c r="I579" t="s">
        <v>86</v>
      </c>
      <c r="J579" t="s">
        <v>286</v>
      </c>
      <c r="K579" t="s">
        <v>57</v>
      </c>
    </row>
    <row r="580" spans="1:11" x14ac:dyDescent="0.35">
      <c r="A580" t="s">
        <v>970</v>
      </c>
      <c r="B580">
        <v>2024</v>
      </c>
      <c r="C580" t="s">
        <v>678</v>
      </c>
      <c r="D580" t="s">
        <v>85</v>
      </c>
      <c r="E580" t="s">
        <v>117</v>
      </c>
      <c r="F580" t="s">
        <v>125</v>
      </c>
      <c r="G580" t="s">
        <v>128</v>
      </c>
      <c r="H580" t="s">
        <v>285</v>
      </c>
      <c r="I580" t="s">
        <v>86</v>
      </c>
      <c r="J580" t="s">
        <v>384</v>
      </c>
      <c r="K580" t="s">
        <v>57</v>
      </c>
    </row>
    <row r="581" spans="1:11" x14ac:dyDescent="0.35">
      <c r="A581" t="s">
        <v>971</v>
      </c>
      <c r="B581">
        <v>2024</v>
      </c>
      <c r="C581" t="s">
        <v>678</v>
      </c>
      <c r="D581" t="s">
        <v>85</v>
      </c>
      <c r="E581" t="s">
        <v>116</v>
      </c>
      <c r="F581" t="s">
        <v>131</v>
      </c>
      <c r="G581" t="s">
        <v>130</v>
      </c>
      <c r="H581" t="s">
        <v>285</v>
      </c>
      <c r="I581" t="s">
        <v>77</v>
      </c>
      <c r="J581" t="s">
        <v>288</v>
      </c>
      <c r="K581" t="s">
        <v>57</v>
      </c>
    </row>
    <row r="582" spans="1:11" x14ac:dyDescent="0.35">
      <c r="A582" t="s">
        <v>972</v>
      </c>
      <c r="B582">
        <v>2024</v>
      </c>
      <c r="C582" t="s">
        <v>678</v>
      </c>
      <c r="D582" t="s">
        <v>76</v>
      </c>
      <c r="E582" t="s">
        <v>115</v>
      </c>
      <c r="F582" t="s">
        <v>131</v>
      </c>
      <c r="G582" t="s">
        <v>132</v>
      </c>
      <c r="H582" t="s">
        <v>285</v>
      </c>
      <c r="I582" t="s">
        <v>289</v>
      </c>
      <c r="J582" t="s">
        <v>286</v>
      </c>
      <c r="K582" t="s">
        <v>57</v>
      </c>
    </row>
    <row r="583" spans="1:11" x14ac:dyDescent="0.35">
      <c r="A583" t="s">
        <v>973</v>
      </c>
      <c r="B583">
        <v>2024</v>
      </c>
      <c r="C583" t="s">
        <v>678</v>
      </c>
      <c r="D583" t="s">
        <v>76</v>
      </c>
      <c r="E583" t="s">
        <v>107</v>
      </c>
      <c r="F583" t="s">
        <v>129</v>
      </c>
      <c r="G583" t="s">
        <v>130</v>
      </c>
      <c r="H583" t="s">
        <v>285</v>
      </c>
      <c r="I583" t="s">
        <v>77</v>
      </c>
      <c r="J583" t="s">
        <v>286</v>
      </c>
      <c r="K583" t="s">
        <v>57</v>
      </c>
    </row>
    <row r="584" spans="1:11" x14ac:dyDescent="0.35">
      <c r="A584" t="s">
        <v>974</v>
      </c>
      <c r="B584">
        <v>2024</v>
      </c>
      <c r="C584" t="s">
        <v>678</v>
      </c>
      <c r="D584" t="s">
        <v>85</v>
      </c>
      <c r="E584" t="s">
        <v>117</v>
      </c>
      <c r="F584" t="s">
        <v>125</v>
      </c>
      <c r="G584" t="s">
        <v>132</v>
      </c>
      <c r="H584" t="s">
        <v>285</v>
      </c>
      <c r="I584" t="s">
        <v>86</v>
      </c>
      <c r="J584" t="s">
        <v>347</v>
      </c>
      <c r="K584" t="s">
        <v>57</v>
      </c>
    </row>
    <row r="585" spans="1:11" x14ac:dyDescent="0.35">
      <c r="A585" t="s">
        <v>975</v>
      </c>
      <c r="B585">
        <v>2024</v>
      </c>
      <c r="C585" t="s">
        <v>678</v>
      </c>
      <c r="D585" t="s">
        <v>85</v>
      </c>
      <c r="E585" t="s">
        <v>117</v>
      </c>
      <c r="F585" t="s">
        <v>129</v>
      </c>
      <c r="G585" t="s">
        <v>128</v>
      </c>
      <c r="H585" t="s">
        <v>285</v>
      </c>
      <c r="I585" t="s">
        <v>86</v>
      </c>
      <c r="J585" t="s">
        <v>286</v>
      </c>
      <c r="K585" t="s">
        <v>57</v>
      </c>
    </row>
    <row r="586" spans="1:11" x14ac:dyDescent="0.35">
      <c r="A586" t="s">
        <v>976</v>
      </c>
      <c r="B586">
        <v>2024</v>
      </c>
      <c r="C586" t="s">
        <v>678</v>
      </c>
      <c r="D586" t="s">
        <v>76</v>
      </c>
      <c r="E586" t="s">
        <v>118</v>
      </c>
      <c r="F586" t="s">
        <v>127</v>
      </c>
      <c r="G586" t="s">
        <v>130</v>
      </c>
      <c r="H586" t="s">
        <v>285</v>
      </c>
      <c r="I586" t="s">
        <v>86</v>
      </c>
      <c r="J586" t="s">
        <v>317</v>
      </c>
      <c r="K586" t="s">
        <v>57</v>
      </c>
    </row>
    <row r="587" spans="1:11" x14ac:dyDescent="0.35">
      <c r="A587" t="s">
        <v>977</v>
      </c>
      <c r="B587">
        <v>2024</v>
      </c>
      <c r="C587" t="s">
        <v>678</v>
      </c>
      <c r="D587" t="s">
        <v>85</v>
      </c>
      <c r="E587" t="s">
        <v>117</v>
      </c>
      <c r="F587" t="s">
        <v>129</v>
      </c>
      <c r="G587" t="s">
        <v>126</v>
      </c>
      <c r="H587" t="s">
        <v>285</v>
      </c>
      <c r="I587" t="s">
        <v>86</v>
      </c>
      <c r="J587" t="s">
        <v>295</v>
      </c>
      <c r="K587" t="s">
        <v>57</v>
      </c>
    </row>
    <row r="588" spans="1:11" x14ac:dyDescent="0.35">
      <c r="A588" t="s">
        <v>978</v>
      </c>
      <c r="B588">
        <v>2024</v>
      </c>
      <c r="C588" t="s">
        <v>678</v>
      </c>
      <c r="D588" t="s">
        <v>85</v>
      </c>
      <c r="E588" t="s">
        <v>116</v>
      </c>
      <c r="F588" t="s">
        <v>288</v>
      </c>
      <c r="G588" t="s">
        <v>126</v>
      </c>
      <c r="H588" t="s">
        <v>285</v>
      </c>
      <c r="I588" t="s">
        <v>333</v>
      </c>
      <c r="J588" t="s">
        <v>409</v>
      </c>
      <c r="K588" t="s">
        <v>57</v>
      </c>
    </row>
    <row r="589" spans="1:11" x14ac:dyDescent="0.35">
      <c r="A589" t="s">
        <v>979</v>
      </c>
      <c r="B589">
        <v>2024</v>
      </c>
      <c r="C589" t="s">
        <v>678</v>
      </c>
      <c r="D589" t="s">
        <v>76</v>
      </c>
      <c r="E589" t="s">
        <v>119</v>
      </c>
      <c r="F589" t="s">
        <v>125</v>
      </c>
      <c r="G589" t="s">
        <v>126</v>
      </c>
      <c r="H589" t="s">
        <v>285</v>
      </c>
      <c r="I589" t="s">
        <v>288</v>
      </c>
      <c r="J589" t="s">
        <v>737</v>
      </c>
      <c r="K589" t="s">
        <v>57</v>
      </c>
    </row>
    <row r="590" spans="1:11" x14ac:dyDescent="0.35">
      <c r="A590" t="s">
        <v>980</v>
      </c>
      <c r="B590">
        <v>2024</v>
      </c>
      <c r="C590" t="s">
        <v>678</v>
      </c>
      <c r="D590" t="s">
        <v>85</v>
      </c>
      <c r="E590" t="s">
        <v>117</v>
      </c>
      <c r="F590" t="s">
        <v>131</v>
      </c>
      <c r="G590" t="s">
        <v>128</v>
      </c>
      <c r="H590" t="s">
        <v>285</v>
      </c>
      <c r="I590" t="s">
        <v>77</v>
      </c>
      <c r="J590" t="s">
        <v>981</v>
      </c>
      <c r="K590" t="s">
        <v>42</v>
      </c>
    </row>
    <row r="591" spans="1:11" x14ac:dyDescent="0.35">
      <c r="A591" t="s">
        <v>982</v>
      </c>
      <c r="B591">
        <v>2024</v>
      </c>
      <c r="C591" t="s">
        <v>678</v>
      </c>
      <c r="D591" t="s">
        <v>76</v>
      </c>
      <c r="E591" t="s">
        <v>119</v>
      </c>
      <c r="F591" t="s">
        <v>125</v>
      </c>
      <c r="G591" t="s">
        <v>126</v>
      </c>
      <c r="H591" t="s">
        <v>285</v>
      </c>
      <c r="I591" t="s">
        <v>86</v>
      </c>
      <c r="J591" t="s">
        <v>312</v>
      </c>
      <c r="K591" t="s">
        <v>42</v>
      </c>
    </row>
    <row r="592" spans="1:11" x14ac:dyDescent="0.35">
      <c r="A592" t="s">
        <v>983</v>
      </c>
      <c r="B592">
        <v>2024</v>
      </c>
      <c r="C592" t="s">
        <v>678</v>
      </c>
      <c r="D592" t="s">
        <v>85</v>
      </c>
      <c r="E592" t="s">
        <v>117</v>
      </c>
      <c r="F592" t="s">
        <v>125</v>
      </c>
      <c r="G592" t="s">
        <v>126</v>
      </c>
      <c r="H592" t="s">
        <v>285</v>
      </c>
      <c r="I592" t="s">
        <v>288</v>
      </c>
      <c r="J592" t="s">
        <v>288</v>
      </c>
      <c r="K592" t="s">
        <v>57</v>
      </c>
    </row>
    <row r="593" spans="1:11" x14ac:dyDescent="0.35">
      <c r="A593" t="s">
        <v>984</v>
      </c>
      <c r="B593">
        <v>2024</v>
      </c>
      <c r="C593" t="s">
        <v>678</v>
      </c>
      <c r="D593" t="s">
        <v>85</v>
      </c>
      <c r="E593" t="s">
        <v>120</v>
      </c>
      <c r="F593" t="s">
        <v>127</v>
      </c>
      <c r="G593" t="s">
        <v>126</v>
      </c>
      <c r="H593" t="s">
        <v>285</v>
      </c>
      <c r="I593" t="s">
        <v>77</v>
      </c>
      <c r="J593" t="s">
        <v>286</v>
      </c>
      <c r="K593" t="s">
        <v>57</v>
      </c>
    </row>
    <row r="594" spans="1:11" x14ac:dyDescent="0.35">
      <c r="A594" t="s">
        <v>985</v>
      </c>
      <c r="B594">
        <v>2024</v>
      </c>
      <c r="C594" t="s">
        <v>678</v>
      </c>
      <c r="D594" t="s">
        <v>85</v>
      </c>
      <c r="E594" t="s">
        <v>116</v>
      </c>
      <c r="F594" t="s">
        <v>129</v>
      </c>
      <c r="G594" t="s">
        <v>128</v>
      </c>
      <c r="H594" t="s">
        <v>285</v>
      </c>
      <c r="I594" t="s">
        <v>337</v>
      </c>
      <c r="J594" t="s">
        <v>286</v>
      </c>
      <c r="K594" t="s">
        <v>57</v>
      </c>
    </row>
    <row r="595" spans="1:11" x14ac:dyDescent="0.35">
      <c r="A595" t="s">
        <v>986</v>
      </c>
      <c r="B595">
        <v>2024</v>
      </c>
      <c r="C595" t="s">
        <v>678</v>
      </c>
      <c r="D595" t="s">
        <v>85</v>
      </c>
      <c r="E595" t="s">
        <v>116</v>
      </c>
      <c r="F595" t="s">
        <v>127</v>
      </c>
      <c r="G595" t="s">
        <v>128</v>
      </c>
      <c r="H595" t="s">
        <v>285</v>
      </c>
      <c r="I595" t="s">
        <v>289</v>
      </c>
      <c r="J595" t="s">
        <v>317</v>
      </c>
      <c r="K595" t="s">
        <v>57</v>
      </c>
    </row>
    <row r="596" spans="1:11" x14ac:dyDescent="0.35">
      <c r="A596" t="s">
        <v>987</v>
      </c>
      <c r="B596">
        <v>2024</v>
      </c>
      <c r="C596" t="s">
        <v>678</v>
      </c>
      <c r="D596" t="s">
        <v>76</v>
      </c>
      <c r="E596" t="s">
        <v>108</v>
      </c>
      <c r="F596" t="s">
        <v>131</v>
      </c>
      <c r="G596" t="s">
        <v>126</v>
      </c>
      <c r="H596" t="s">
        <v>285</v>
      </c>
      <c r="I596" t="s">
        <v>77</v>
      </c>
      <c r="J596" t="s">
        <v>286</v>
      </c>
      <c r="K596" t="s">
        <v>57</v>
      </c>
    </row>
    <row r="597" spans="1:11" x14ac:dyDescent="0.35">
      <c r="A597" t="s">
        <v>988</v>
      </c>
      <c r="B597">
        <v>2024</v>
      </c>
      <c r="C597" t="s">
        <v>678</v>
      </c>
      <c r="D597" t="s">
        <v>76</v>
      </c>
      <c r="E597" t="s">
        <v>360</v>
      </c>
      <c r="F597" t="s">
        <v>288</v>
      </c>
      <c r="G597" t="s">
        <v>128</v>
      </c>
      <c r="H597" t="s">
        <v>285</v>
      </c>
      <c r="I597" t="s">
        <v>86</v>
      </c>
      <c r="J597" t="s">
        <v>288</v>
      </c>
      <c r="K597" t="s">
        <v>57</v>
      </c>
    </row>
    <row r="598" spans="1:11" x14ac:dyDescent="0.35">
      <c r="A598" t="s">
        <v>989</v>
      </c>
      <c r="B598">
        <v>2024</v>
      </c>
      <c r="C598" t="s">
        <v>678</v>
      </c>
      <c r="D598" t="s">
        <v>85</v>
      </c>
      <c r="E598" t="s">
        <v>116</v>
      </c>
      <c r="F598" t="s">
        <v>127</v>
      </c>
      <c r="G598" t="s">
        <v>126</v>
      </c>
      <c r="H598" t="s">
        <v>285</v>
      </c>
      <c r="I598" t="s">
        <v>289</v>
      </c>
      <c r="J598" t="s">
        <v>326</v>
      </c>
      <c r="K598" t="s">
        <v>57</v>
      </c>
    </row>
    <row r="599" spans="1:11" x14ac:dyDescent="0.35">
      <c r="A599" t="s">
        <v>990</v>
      </c>
      <c r="B599">
        <v>2024</v>
      </c>
      <c r="C599" t="s">
        <v>678</v>
      </c>
      <c r="D599" t="s">
        <v>76</v>
      </c>
      <c r="E599" t="s">
        <v>360</v>
      </c>
      <c r="F599" t="s">
        <v>129</v>
      </c>
      <c r="G599" t="s">
        <v>132</v>
      </c>
      <c r="H599" t="s">
        <v>305</v>
      </c>
      <c r="I599" t="s">
        <v>288</v>
      </c>
      <c r="J599" t="s">
        <v>317</v>
      </c>
      <c r="K599" t="s">
        <v>57</v>
      </c>
    </row>
    <row r="600" spans="1:11" x14ac:dyDescent="0.35">
      <c r="A600" t="s">
        <v>991</v>
      </c>
      <c r="B600">
        <v>2024</v>
      </c>
      <c r="C600" t="s">
        <v>678</v>
      </c>
      <c r="D600" t="s">
        <v>85</v>
      </c>
      <c r="E600" t="s">
        <v>117</v>
      </c>
      <c r="F600" t="s">
        <v>134</v>
      </c>
      <c r="G600" t="s">
        <v>132</v>
      </c>
      <c r="H600" t="s">
        <v>305</v>
      </c>
      <c r="I600" t="s">
        <v>77</v>
      </c>
      <c r="J600" t="s">
        <v>288</v>
      </c>
      <c r="K600" t="s">
        <v>57</v>
      </c>
    </row>
    <row r="601" spans="1:11" x14ac:dyDescent="0.35">
      <c r="A601" t="s">
        <v>992</v>
      </c>
      <c r="B601">
        <v>2024</v>
      </c>
      <c r="C601" t="s">
        <v>678</v>
      </c>
      <c r="D601" t="s">
        <v>76</v>
      </c>
      <c r="E601" t="s">
        <v>109</v>
      </c>
      <c r="F601" t="s">
        <v>129</v>
      </c>
      <c r="G601" t="s">
        <v>126</v>
      </c>
      <c r="H601" t="s">
        <v>285</v>
      </c>
      <c r="I601" t="s">
        <v>77</v>
      </c>
      <c r="J601" t="s">
        <v>286</v>
      </c>
      <c r="K601" t="s">
        <v>57</v>
      </c>
    </row>
    <row r="602" spans="1:11" x14ac:dyDescent="0.35">
      <c r="A602" t="s">
        <v>993</v>
      </c>
      <c r="B602">
        <v>2024</v>
      </c>
      <c r="C602" t="s">
        <v>678</v>
      </c>
      <c r="D602" t="s">
        <v>85</v>
      </c>
      <c r="E602" t="s">
        <v>116</v>
      </c>
      <c r="F602" t="s">
        <v>127</v>
      </c>
      <c r="G602" t="s">
        <v>128</v>
      </c>
      <c r="H602" t="s">
        <v>285</v>
      </c>
      <c r="I602" t="s">
        <v>288</v>
      </c>
      <c r="J602" t="s">
        <v>286</v>
      </c>
      <c r="K602" t="s">
        <v>57</v>
      </c>
    </row>
    <row r="603" spans="1:11" x14ac:dyDescent="0.35">
      <c r="A603" t="s">
        <v>994</v>
      </c>
      <c r="B603">
        <v>2024</v>
      </c>
      <c r="C603" t="s">
        <v>678</v>
      </c>
      <c r="D603" t="s">
        <v>76</v>
      </c>
      <c r="E603" t="s">
        <v>111</v>
      </c>
      <c r="F603" t="s">
        <v>125</v>
      </c>
      <c r="G603" t="s">
        <v>128</v>
      </c>
      <c r="H603" t="s">
        <v>285</v>
      </c>
      <c r="I603" t="s">
        <v>77</v>
      </c>
      <c r="J603" t="s">
        <v>286</v>
      </c>
      <c r="K603" t="s">
        <v>57</v>
      </c>
    </row>
    <row r="604" spans="1:11" x14ac:dyDescent="0.35">
      <c r="A604" t="s">
        <v>995</v>
      </c>
      <c r="B604">
        <v>2024</v>
      </c>
      <c r="C604" t="s">
        <v>678</v>
      </c>
      <c r="D604" t="s">
        <v>85</v>
      </c>
      <c r="E604" t="s">
        <v>344</v>
      </c>
      <c r="F604" t="s">
        <v>131</v>
      </c>
      <c r="G604" t="s">
        <v>130</v>
      </c>
      <c r="H604" t="s">
        <v>305</v>
      </c>
      <c r="I604" t="s">
        <v>86</v>
      </c>
      <c r="J604" t="s">
        <v>295</v>
      </c>
      <c r="K604" t="s">
        <v>57</v>
      </c>
    </row>
    <row r="605" spans="1:11" x14ac:dyDescent="0.35">
      <c r="A605" t="s">
        <v>996</v>
      </c>
      <c r="B605">
        <v>2024</v>
      </c>
      <c r="C605" t="s">
        <v>678</v>
      </c>
      <c r="D605" t="s">
        <v>76</v>
      </c>
      <c r="E605" t="s">
        <v>115</v>
      </c>
      <c r="F605" t="s">
        <v>127</v>
      </c>
      <c r="G605" t="s">
        <v>128</v>
      </c>
      <c r="H605" t="s">
        <v>285</v>
      </c>
      <c r="I605" t="s">
        <v>86</v>
      </c>
      <c r="J605" t="s">
        <v>317</v>
      </c>
      <c r="K605" t="s">
        <v>57</v>
      </c>
    </row>
    <row r="606" spans="1:11" x14ac:dyDescent="0.35">
      <c r="A606" t="s">
        <v>997</v>
      </c>
      <c r="B606">
        <v>2024</v>
      </c>
      <c r="C606" t="s">
        <v>678</v>
      </c>
      <c r="D606" t="s">
        <v>76</v>
      </c>
      <c r="E606" t="s">
        <v>107</v>
      </c>
      <c r="F606" t="s">
        <v>129</v>
      </c>
      <c r="G606" t="s">
        <v>128</v>
      </c>
      <c r="H606" t="s">
        <v>285</v>
      </c>
      <c r="I606" t="s">
        <v>77</v>
      </c>
      <c r="J606" t="s">
        <v>286</v>
      </c>
      <c r="K606" t="s">
        <v>57</v>
      </c>
    </row>
    <row r="607" spans="1:11" x14ac:dyDescent="0.35">
      <c r="A607" t="s">
        <v>998</v>
      </c>
      <c r="B607">
        <v>2024</v>
      </c>
      <c r="C607" t="s">
        <v>678</v>
      </c>
      <c r="D607" t="s">
        <v>76</v>
      </c>
      <c r="E607" t="s">
        <v>109</v>
      </c>
      <c r="F607" t="s">
        <v>129</v>
      </c>
      <c r="G607" t="s">
        <v>126</v>
      </c>
      <c r="H607" t="s">
        <v>285</v>
      </c>
      <c r="I607" t="s">
        <v>77</v>
      </c>
      <c r="J607" t="s">
        <v>286</v>
      </c>
      <c r="K607" t="s">
        <v>57</v>
      </c>
    </row>
    <row r="608" spans="1:11" x14ac:dyDescent="0.35">
      <c r="A608" t="s">
        <v>999</v>
      </c>
      <c r="B608">
        <v>2024</v>
      </c>
      <c r="C608" t="s">
        <v>678</v>
      </c>
      <c r="D608" t="s">
        <v>85</v>
      </c>
      <c r="E608" t="s">
        <v>116</v>
      </c>
      <c r="F608" t="s">
        <v>129</v>
      </c>
      <c r="G608" t="s">
        <v>130</v>
      </c>
      <c r="H608" t="s">
        <v>285</v>
      </c>
      <c r="I608" t="s">
        <v>77</v>
      </c>
      <c r="J608" t="s">
        <v>286</v>
      </c>
      <c r="K608" t="s">
        <v>57</v>
      </c>
    </row>
    <row r="609" spans="1:11" x14ac:dyDescent="0.35">
      <c r="A609" t="s">
        <v>1000</v>
      </c>
      <c r="B609">
        <v>2024</v>
      </c>
      <c r="C609" t="s">
        <v>678</v>
      </c>
      <c r="D609" t="s">
        <v>85</v>
      </c>
      <c r="E609" t="s">
        <v>116</v>
      </c>
      <c r="F609" t="s">
        <v>134</v>
      </c>
      <c r="G609" t="s">
        <v>128</v>
      </c>
      <c r="H609" t="s">
        <v>305</v>
      </c>
      <c r="I609" t="s">
        <v>86</v>
      </c>
      <c r="J609" t="s">
        <v>326</v>
      </c>
      <c r="K609" t="s">
        <v>57</v>
      </c>
    </row>
    <row r="610" spans="1:11" x14ac:dyDescent="0.35">
      <c r="A610" t="s">
        <v>1001</v>
      </c>
      <c r="B610">
        <v>2024</v>
      </c>
      <c r="C610" t="s">
        <v>678</v>
      </c>
      <c r="D610" t="s">
        <v>76</v>
      </c>
      <c r="E610" t="s">
        <v>115</v>
      </c>
      <c r="F610" t="s">
        <v>127</v>
      </c>
      <c r="G610" t="s">
        <v>126</v>
      </c>
      <c r="H610" t="s">
        <v>285</v>
      </c>
      <c r="I610" t="s">
        <v>288</v>
      </c>
      <c r="J610" t="s">
        <v>286</v>
      </c>
      <c r="K610" t="s">
        <v>57</v>
      </c>
    </row>
    <row r="611" spans="1:11" x14ac:dyDescent="0.35">
      <c r="A611" t="s">
        <v>1002</v>
      </c>
      <c r="B611">
        <v>2024</v>
      </c>
      <c r="C611" t="s">
        <v>678</v>
      </c>
      <c r="D611" t="s">
        <v>76</v>
      </c>
      <c r="E611" t="s">
        <v>119</v>
      </c>
      <c r="F611" t="s">
        <v>127</v>
      </c>
      <c r="G611" t="s">
        <v>130</v>
      </c>
      <c r="H611" t="s">
        <v>285</v>
      </c>
      <c r="I611" t="s">
        <v>86</v>
      </c>
      <c r="J611" t="s">
        <v>308</v>
      </c>
      <c r="K611" t="s">
        <v>42</v>
      </c>
    </row>
    <row r="612" spans="1:11" x14ac:dyDescent="0.35">
      <c r="A612" t="s">
        <v>1003</v>
      </c>
      <c r="B612">
        <v>2024</v>
      </c>
      <c r="C612" t="s">
        <v>678</v>
      </c>
      <c r="D612" t="s">
        <v>85</v>
      </c>
      <c r="E612" t="s">
        <v>117</v>
      </c>
      <c r="F612" t="s">
        <v>134</v>
      </c>
      <c r="G612" t="s">
        <v>128</v>
      </c>
      <c r="H612" t="s">
        <v>305</v>
      </c>
      <c r="I612" t="s">
        <v>337</v>
      </c>
      <c r="J612" t="s">
        <v>367</v>
      </c>
      <c r="K612" t="s">
        <v>42</v>
      </c>
    </row>
    <row r="613" spans="1:11" x14ac:dyDescent="0.35">
      <c r="A613" t="s">
        <v>1004</v>
      </c>
      <c r="B613">
        <v>2024</v>
      </c>
      <c r="C613" t="s">
        <v>678</v>
      </c>
      <c r="D613" t="s">
        <v>85</v>
      </c>
      <c r="E613" t="s">
        <v>116</v>
      </c>
      <c r="F613" t="s">
        <v>131</v>
      </c>
      <c r="G613" t="s">
        <v>130</v>
      </c>
      <c r="H613" t="s">
        <v>285</v>
      </c>
      <c r="I613" t="s">
        <v>77</v>
      </c>
      <c r="J613" t="s">
        <v>288</v>
      </c>
      <c r="K613" t="s">
        <v>57</v>
      </c>
    </row>
    <row r="614" spans="1:11" x14ac:dyDescent="0.35">
      <c r="A614" t="s">
        <v>1005</v>
      </c>
      <c r="B614">
        <v>2024</v>
      </c>
      <c r="C614" t="s">
        <v>678</v>
      </c>
      <c r="D614" t="s">
        <v>85</v>
      </c>
      <c r="E614" t="s">
        <v>116</v>
      </c>
      <c r="F614" t="s">
        <v>129</v>
      </c>
      <c r="G614" t="s">
        <v>130</v>
      </c>
      <c r="H614" t="s">
        <v>285</v>
      </c>
      <c r="I614" t="s">
        <v>288</v>
      </c>
      <c r="J614" t="s">
        <v>286</v>
      </c>
      <c r="K614" t="s">
        <v>57</v>
      </c>
    </row>
    <row r="615" spans="1:11" x14ac:dyDescent="0.35">
      <c r="A615" t="s">
        <v>1006</v>
      </c>
      <c r="B615">
        <v>2024</v>
      </c>
      <c r="C615" t="s">
        <v>678</v>
      </c>
      <c r="D615" t="s">
        <v>76</v>
      </c>
      <c r="E615" t="s">
        <v>115</v>
      </c>
      <c r="F615" t="s">
        <v>127</v>
      </c>
      <c r="G615" t="s">
        <v>132</v>
      </c>
      <c r="H615" t="s">
        <v>285</v>
      </c>
      <c r="I615" t="s">
        <v>288</v>
      </c>
      <c r="J615" t="s">
        <v>405</v>
      </c>
      <c r="K615" t="s">
        <v>57</v>
      </c>
    </row>
    <row r="616" spans="1:11" x14ac:dyDescent="0.35">
      <c r="A616" t="s">
        <v>1007</v>
      </c>
      <c r="B616">
        <v>2024</v>
      </c>
      <c r="C616" t="s">
        <v>678</v>
      </c>
      <c r="D616" t="s">
        <v>76</v>
      </c>
      <c r="E616" t="s">
        <v>115</v>
      </c>
      <c r="F616" t="s">
        <v>127</v>
      </c>
      <c r="G616" t="s">
        <v>126</v>
      </c>
      <c r="H616" t="s">
        <v>285</v>
      </c>
      <c r="I616" t="s">
        <v>86</v>
      </c>
      <c r="J616" t="s">
        <v>405</v>
      </c>
      <c r="K616" t="s">
        <v>57</v>
      </c>
    </row>
    <row r="617" spans="1:11" x14ac:dyDescent="0.35">
      <c r="A617" t="s">
        <v>1008</v>
      </c>
      <c r="B617">
        <v>2024</v>
      </c>
      <c r="C617" t="s">
        <v>678</v>
      </c>
      <c r="D617" t="s">
        <v>76</v>
      </c>
      <c r="E617" t="s">
        <v>107</v>
      </c>
      <c r="F617" t="s">
        <v>125</v>
      </c>
      <c r="G617" t="s">
        <v>130</v>
      </c>
      <c r="H617" t="s">
        <v>285</v>
      </c>
      <c r="I617" t="s">
        <v>86</v>
      </c>
      <c r="J617" t="s">
        <v>317</v>
      </c>
      <c r="K617" t="s">
        <v>57</v>
      </c>
    </row>
    <row r="618" spans="1:11" x14ac:dyDescent="0.35">
      <c r="A618" t="s">
        <v>1009</v>
      </c>
      <c r="B618">
        <v>2024</v>
      </c>
      <c r="C618" t="s">
        <v>678</v>
      </c>
      <c r="D618" t="s">
        <v>76</v>
      </c>
      <c r="E618" t="s">
        <v>109</v>
      </c>
      <c r="F618" t="s">
        <v>127</v>
      </c>
      <c r="G618" t="s">
        <v>126</v>
      </c>
      <c r="H618" t="s">
        <v>285</v>
      </c>
      <c r="I618" t="s">
        <v>288</v>
      </c>
      <c r="J618" t="s">
        <v>286</v>
      </c>
      <c r="K618" t="s">
        <v>57</v>
      </c>
    </row>
    <row r="619" spans="1:11" x14ac:dyDescent="0.35">
      <c r="A619" t="s">
        <v>1010</v>
      </c>
      <c r="B619">
        <v>2024</v>
      </c>
      <c r="C619" t="s">
        <v>678</v>
      </c>
      <c r="D619" t="s">
        <v>76</v>
      </c>
      <c r="E619" t="s">
        <v>119</v>
      </c>
      <c r="F619" t="s">
        <v>127</v>
      </c>
      <c r="G619" t="s">
        <v>128</v>
      </c>
      <c r="H619" t="s">
        <v>285</v>
      </c>
      <c r="I619" t="s">
        <v>86</v>
      </c>
      <c r="J619" t="s">
        <v>295</v>
      </c>
      <c r="K619" t="s">
        <v>57</v>
      </c>
    </row>
    <row r="620" spans="1:11" x14ac:dyDescent="0.35">
      <c r="A620" t="s">
        <v>1011</v>
      </c>
      <c r="B620">
        <v>2024</v>
      </c>
      <c r="C620" t="s">
        <v>678</v>
      </c>
      <c r="D620" t="s">
        <v>85</v>
      </c>
      <c r="E620" t="s">
        <v>116</v>
      </c>
      <c r="F620" t="s">
        <v>288</v>
      </c>
      <c r="G620" t="s">
        <v>128</v>
      </c>
      <c r="H620" t="s">
        <v>285</v>
      </c>
      <c r="I620" t="s">
        <v>77</v>
      </c>
      <c r="J620" t="s">
        <v>286</v>
      </c>
      <c r="K620" t="s">
        <v>57</v>
      </c>
    </row>
    <row r="621" spans="1:11" x14ac:dyDescent="0.35">
      <c r="A621" t="s">
        <v>1012</v>
      </c>
      <c r="B621">
        <v>2024</v>
      </c>
      <c r="C621" t="s">
        <v>678</v>
      </c>
      <c r="D621" t="s">
        <v>76</v>
      </c>
      <c r="E621" t="s">
        <v>107</v>
      </c>
      <c r="F621" t="s">
        <v>125</v>
      </c>
      <c r="G621" t="s">
        <v>128</v>
      </c>
      <c r="H621" t="s">
        <v>285</v>
      </c>
      <c r="I621" t="s">
        <v>288</v>
      </c>
      <c r="J621" t="s">
        <v>403</v>
      </c>
      <c r="K621" t="s">
        <v>57</v>
      </c>
    </row>
    <row r="622" spans="1:11" x14ac:dyDescent="0.35">
      <c r="A622" t="s">
        <v>1013</v>
      </c>
      <c r="B622">
        <v>2024</v>
      </c>
      <c r="C622" t="s">
        <v>678</v>
      </c>
      <c r="D622" t="s">
        <v>76</v>
      </c>
      <c r="E622" t="s">
        <v>115</v>
      </c>
      <c r="F622" t="s">
        <v>131</v>
      </c>
      <c r="G622" t="s">
        <v>128</v>
      </c>
      <c r="H622" t="s">
        <v>285</v>
      </c>
      <c r="I622" t="s">
        <v>77</v>
      </c>
      <c r="J622" t="s">
        <v>286</v>
      </c>
      <c r="K622" t="s">
        <v>57</v>
      </c>
    </row>
    <row r="623" spans="1:11" x14ac:dyDescent="0.35">
      <c r="A623" t="s">
        <v>1014</v>
      </c>
      <c r="B623">
        <v>2024</v>
      </c>
      <c r="C623" t="s">
        <v>678</v>
      </c>
      <c r="D623" t="s">
        <v>85</v>
      </c>
      <c r="E623" t="s">
        <v>117</v>
      </c>
      <c r="F623" t="s">
        <v>288</v>
      </c>
      <c r="G623" t="s">
        <v>132</v>
      </c>
      <c r="H623" t="s">
        <v>285</v>
      </c>
      <c r="I623" t="s">
        <v>86</v>
      </c>
      <c r="J623" t="s">
        <v>317</v>
      </c>
      <c r="K623" t="s">
        <v>57</v>
      </c>
    </row>
    <row r="624" spans="1:11" x14ac:dyDescent="0.35">
      <c r="A624" t="s">
        <v>1015</v>
      </c>
      <c r="B624">
        <v>2024</v>
      </c>
      <c r="C624" t="s">
        <v>678</v>
      </c>
      <c r="D624" t="s">
        <v>85</v>
      </c>
      <c r="E624" t="s">
        <v>117</v>
      </c>
      <c r="F624" t="s">
        <v>288</v>
      </c>
      <c r="G624" t="s">
        <v>132</v>
      </c>
      <c r="H624" t="s">
        <v>285</v>
      </c>
      <c r="I624" t="s">
        <v>86</v>
      </c>
      <c r="J624" t="s">
        <v>317</v>
      </c>
      <c r="K624" t="s">
        <v>57</v>
      </c>
    </row>
    <row r="625" spans="1:11" x14ac:dyDescent="0.35">
      <c r="A625" t="s">
        <v>1016</v>
      </c>
      <c r="B625">
        <v>2024</v>
      </c>
      <c r="C625" t="s">
        <v>678</v>
      </c>
      <c r="D625" t="s">
        <v>76</v>
      </c>
      <c r="E625" t="s">
        <v>107</v>
      </c>
      <c r="F625" t="s">
        <v>127</v>
      </c>
      <c r="G625" t="s">
        <v>126</v>
      </c>
      <c r="H625" t="s">
        <v>285</v>
      </c>
      <c r="I625" t="s">
        <v>77</v>
      </c>
      <c r="J625" t="s">
        <v>286</v>
      </c>
      <c r="K625" t="s">
        <v>57</v>
      </c>
    </row>
    <row r="626" spans="1:11" x14ac:dyDescent="0.35">
      <c r="A626" t="s">
        <v>1017</v>
      </c>
      <c r="B626">
        <v>2024</v>
      </c>
      <c r="C626" t="s">
        <v>678</v>
      </c>
      <c r="D626" t="s">
        <v>85</v>
      </c>
      <c r="E626" t="s">
        <v>117</v>
      </c>
      <c r="F626" t="s">
        <v>288</v>
      </c>
      <c r="G626" t="s">
        <v>126</v>
      </c>
      <c r="H626" t="s">
        <v>305</v>
      </c>
      <c r="I626" t="s">
        <v>288</v>
      </c>
      <c r="J626" t="s">
        <v>288</v>
      </c>
      <c r="K626" t="s">
        <v>57</v>
      </c>
    </row>
    <row r="627" spans="1:11" x14ac:dyDescent="0.35">
      <c r="A627" t="s">
        <v>1018</v>
      </c>
      <c r="B627">
        <v>2024</v>
      </c>
      <c r="C627" t="s">
        <v>678</v>
      </c>
      <c r="D627" t="s">
        <v>76</v>
      </c>
      <c r="E627" t="s">
        <v>118</v>
      </c>
      <c r="F627" t="s">
        <v>125</v>
      </c>
      <c r="G627" t="s">
        <v>126</v>
      </c>
      <c r="H627" t="s">
        <v>285</v>
      </c>
      <c r="I627" t="s">
        <v>86</v>
      </c>
      <c r="J627" t="s">
        <v>317</v>
      </c>
      <c r="K627" t="s">
        <v>57</v>
      </c>
    </row>
    <row r="628" spans="1:11" x14ac:dyDescent="0.35">
      <c r="A628" t="s">
        <v>1019</v>
      </c>
      <c r="B628">
        <v>2024</v>
      </c>
      <c r="C628" t="s">
        <v>678</v>
      </c>
      <c r="D628" t="s">
        <v>85</v>
      </c>
      <c r="E628" t="s">
        <v>116</v>
      </c>
      <c r="F628" t="s">
        <v>288</v>
      </c>
      <c r="G628" t="s">
        <v>130</v>
      </c>
      <c r="H628" t="s">
        <v>357</v>
      </c>
      <c r="I628" t="s">
        <v>289</v>
      </c>
      <c r="J628" t="s">
        <v>286</v>
      </c>
      <c r="K628" t="s">
        <v>57</v>
      </c>
    </row>
    <row r="629" spans="1:11" x14ac:dyDescent="0.35">
      <c r="A629" t="s">
        <v>1020</v>
      </c>
      <c r="B629">
        <v>2024</v>
      </c>
      <c r="C629" t="s">
        <v>678</v>
      </c>
      <c r="D629" t="s">
        <v>85</v>
      </c>
      <c r="E629" t="s">
        <v>116</v>
      </c>
      <c r="F629" t="s">
        <v>129</v>
      </c>
      <c r="G629" t="s">
        <v>128</v>
      </c>
      <c r="H629" t="s">
        <v>357</v>
      </c>
      <c r="I629" t="s">
        <v>77</v>
      </c>
      <c r="J629" t="s">
        <v>286</v>
      </c>
      <c r="K629" t="s">
        <v>57</v>
      </c>
    </row>
    <row r="630" spans="1:11" x14ac:dyDescent="0.35">
      <c r="A630" t="s">
        <v>1021</v>
      </c>
      <c r="B630">
        <v>2024</v>
      </c>
      <c r="C630" t="s">
        <v>678</v>
      </c>
      <c r="D630" t="s">
        <v>85</v>
      </c>
      <c r="E630" t="s">
        <v>377</v>
      </c>
      <c r="F630" t="s">
        <v>129</v>
      </c>
      <c r="G630" t="s">
        <v>130</v>
      </c>
      <c r="H630" t="s">
        <v>305</v>
      </c>
      <c r="I630" t="s">
        <v>77</v>
      </c>
      <c r="J630" t="s">
        <v>286</v>
      </c>
      <c r="K630" t="s">
        <v>57</v>
      </c>
    </row>
    <row r="631" spans="1:11" x14ac:dyDescent="0.35">
      <c r="A631" t="s">
        <v>1022</v>
      </c>
      <c r="B631">
        <v>2024</v>
      </c>
      <c r="C631" t="s">
        <v>678</v>
      </c>
      <c r="D631" t="s">
        <v>85</v>
      </c>
      <c r="E631" t="s">
        <v>116</v>
      </c>
      <c r="F631" t="s">
        <v>129</v>
      </c>
      <c r="G631" t="s">
        <v>128</v>
      </c>
      <c r="H631" t="s">
        <v>285</v>
      </c>
      <c r="I631" t="s">
        <v>289</v>
      </c>
      <c r="J631" t="s">
        <v>326</v>
      </c>
      <c r="K631" t="s">
        <v>57</v>
      </c>
    </row>
    <row r="632" spans="1:11" x14ac:dyDescent="0.35">
      <c r="A632" t="s">
        <v>1023</v>
      </c>
      <c r="B632">
        <v>2024</v>
      </c>
      <c r="C632" t="s">
        <v>678</v>
      </c>
      <c r="D632" t="s">
        <v>76</v>
      </c>
      <c r="E632" t="s">
        <v>119</v>
      </c>
      <c r="F632" t="s">
        <v>125</v>
      </c>
      <c r="G632" t="s">
        <v>128</v>
      </c>
      <c r="H632" t="s">
        <v>285</v>
      </c>
      <c r="I632" t="s">
        <v>288</v>
      </c>
      <c r="J632" t="s">
        <v>286</v>
      </c>
      <c r="K632" t="s">
        <v>57</v>
      </c>
    </row>
    <row r="633" spans="1:11" x14ac:dyDescent="0.35">
      <c r="A633" t="s">
        <v>1024</v>
      </c>
      <c r="B633">
        <v>2024</v>
      </c>
      <c r="C633" t="s">
        <v>678</v>
      </c>
      <c r="D633" t="s">
        <v>76</v>
      </c>
      <c r="E633" t="s">
        <v>119</v>
      </c>
      <c r="F633" t="s">
        <v>288</v>
      </c>
      <c r="G633" t="s">
        <v>126</v>
      </c>
      <c r="H633" t="s">
        <v>285</v>
      </c>
      <c r="I633" t="s">
        <v>288</v>
      </c>
      <c r="J633" t="s">
        <v>288</v>
      </c>
      <c r="K633" t="s">
        <v>57</v>
      </c>
    </row>
    <row r="634" spans="1:11" x14ac:dyDescent="0.35">
      <c r="A634" t="s">
        <v>1025</v>
      </c>
      <c r="B634">
        <v>2024</v>
      </c>
      <c r="C634" t="s">
        <v>678</v>
      </c>
      <c r="D634" t="s">
        <v>85</v>
      </c>
      <c r="E634" t="s">
        <v>116</v>
      </c>
      <c r="F634" t="s">
        <v>129</v>
      </c>
      <c r="G634" t="s">
        <v>128</v>
      </c>
      <c r="H634" t="s">
        <v>285</v>
      </c>
      <c r="I634" t="s">
        <v>337</v>
      </c>
      <c r="J634" t="s">
        <v>1026</v>
      </c>
      <c r="K634" t="s">
        <v>42</v>
      </c>
    </row>
    <row r="635" spans="1:11" x14ac:dyDescent="0.35">
      <c r="A635" t="s">
        <v>1027</v>
      </c>
      <c r="B635">
        <v>2024</v>
      </c>
      <c r="C635" t="s">
        <v>678</v>
      </c>
      <c r="D635" t="s">
        <v>76</v>
      </c>
      <c r="E635" t="s">
        <v>119</v>
      </c>
      <c r="F635" t="s">
        <v>125</v>
      </c>
      <c r="G635" t="s">
        <v>132</v>
      </c>
      <c r="H635" t="s">
        <v>285</v>
      </c>
      <c r="I635" t="s">
        <v>77</v>
      </c>
      <c r="J635" t="s">
        <v>288</v>
      </c>
      <c r="K635" t="s">
        <v>57</v>
      </c>
    </row>
    <row r="636" spans="1:11" x14ac:dyDescent="0.35">
      <c r="A636" t="s">
        <v>1028</v>
      </c>
      <c r="B636">
        <v>2024</v>
      </c>
      <c r="C636" t="s">
        <v>678</v>
      </c>
      <c r="D636" t="s">
        <v>85</v>
      </c>
      <c r="E636" t="s">
        <v>120</v>
      </c>
      <c r="F636" t="s">
        <v>288</v>
      </c>
      <c r="G636" t="s">
        <v>130</v>
      </c>
      <c r="H636" t="s">
        <v>305</v>
      </c>
      <c r="I636" t="s">
        <v>288</v>
      </c>
      <c r="J636" t="s">
        <v>286</v>
      </c>
      <c r="K636" t="s">
        <v>57</v>
      </c>
    </row>
    <row r="637" spans="1:11" x14ac:dyDescent="0.35">
      <c r="A637" t="s">
        <v>1029</v>
      </c>
      <c r="B637">
        <v>2024</v>
      </c>
      <c r="C637" t="s">
        <v>678</v>
      </c>
      <c r="D637" t="s">
        <v>85</v>
      </c>
      <c r="E637" t="s">
        <v>117</v>
      </c>
      <c r="F637" t="s">
        <v>288</v>
      </c>
      <c r="G637" t="s">
        <v>130</v>
      </c>
      <c r="H637" t="s">
        <v>305</v>
      </c>
      <c r="I637" t="s">
        <v>86</v>
      </c>
      <c r="J637" t="s">
        <v>288</v>
      </c>
      <c r="K637" t="s">
        <v>57</v>
      </c>
    </row>
    <row r="638" spans="1:11" x14ac:dyDescent="0.35">
      <c r="A638" t="s">
        <v>1030</v>
      </c>
      <c r="B638">
        <v>2024</v>
      </c>
      <c r="C638" t="s">
        <v>678</v>
      </c>
      <c r="D638" t="s">
        <v>85</v>
      </c>
      <c r="E638" t="s">
        <v>117</v>
      </c>
      <c r="F638" t="s">
        <v>131</v>
      </c>
      <c r="G638" t="s">
        <v>130</v>
      </c>
      <c r="H638" t="s">
        <v>305</v>
      </c>
      <c r="I638" t="s">
        <v>86</v>
      </c>
      <c r="J638" t="s">
        <v>288</v>
      </c>
      <c r="K638" t="s">
        <v>57</v>
      </c>
    </row>
    <row r="639" spans="1:11" x14ac:dyDescent="0.35">
      <c r="A639" t="s">
        <v>1031</v>
      </c>
      <c r="B639">
        <v>2024</v>
      </c>
      <c r="C639" t="s">
        <v>678</v>
      </c>
      <c r="D639" t="s">
        <v>85</v>
      </c>
      <c r="E639" t="s">
        <v>117</v>
      </c>
      <c r="F639" t="s">
        <v>288</v>
      </c>
      <c r="G639" t="s">
        <v>130</v>
      </c>
      <c r="H639" t="s">
        <v>305</v>
      </c>
      <c r="I639" t="s">
        <v>86</v>
      </c>
      <c r="J639" t="s">
        <v>288</v>
      </c>
      <c r="K639" t="s">
        <v>57</v>
      </c>
    </row>
    <row r="640" spans="1:11" x14ac:dyDescent="0.35">
      <c r="A640" t="s">
        <v>1032</v>
      </c>
      <c r="B640">
        <v>2024</v>
      </c>
      <c r="C640" t="s">
        <v>678</v>
      </c>
      <c r="D640" t="s">
        <v>85</v>
      </c>
      <c r="E640" t="s">
        <v>117</v>
      </c>
      <c r="F640" t="s">
        <v>131</v>
      </c>
      <c r="G640" t="s">
        <v>130</v>
      </c>
      <c r="H640" t="s">
        <v>305</v>
      </c>
      <c r="I640" t="s">
        <v>86</v>
      </c>
      <c r="J640" t="s">
        <v>288</v>
      </c>
      <c r="K640" t="s">
        <v>57</v>
      </c>
    </row>
    <row r="641" spans="1:11" x14ac:dyDescent="0.35">
      <c r="A641" t="s">
        <v>1033</v>
      </c>
      <c r="B641">
        <v>2024</v>
      </c>
      <c r="C641" t="s">
        <v>678</v>
      </c>
      <c r="D641" t="s">
        <v>85</v>
      </c>
      <c r="E641" t="s">
        <v>117</v>
      </c>
      <c r="F641" t="s">
        <v>288</v>
      </c>
      <c r="G641" t="s">
        <v>130</v>
      </c>
      <c r="H641" t="s">
        <v>305</v>
      </c>
      <c r="I641" t="s">
        <v>86</v>
      </c>
      <c r="J641" t="s">
        <v>288</v>
      </c>
      <c r="K641" t="s">
        <v>57</v>
      </c>
    </row>
    <row r="642" spans="1:11" x14ac:dyDescent="0.35">
      <c r="A642" t="s">
        <v>1034</v>
      </c>
      <c r="B642">
        <v>2024</v>
      </c>
      <c r="C642" t="s">
        <v>678</v>
      </c>
      <c r="D642" t="s">
        <v>85</v>
      </c>
      <c r="E642" t="s">
        <v>117</v>
      </c>
      <c r="F642" t="s">
        <v>288</v>
      </c>
      <c r="G642" t="s">
        <v>130</v>
      </c>
      <c r="H642" t="s">
        <v>305</v>
      </c>
      <c r="I642" t="s">
        <v>86</v>
      </c>
      <c r="J642" t="s">
        <v>288</v>
      </c>
      <c r="K642" t="s">
        <v>57</v>
      </c>
    </row>
    <row r="643" spans="1:11" x14ac:dyDescent="0.35">
      <c r="A643" t="s">
        <v>1035</v>
      </c>
      <c r="B643">
        <v>2024</v>
      </c>
      <c r="C643" t="s">
        <v>678</v>
      </c>
      <c r="D643" t="s">
        <v>85</v>
      </c>
      <c r="E643" t="s">
        <v>117</v>
      </c>
      <c r="F643" t="s">
        <v>288</v>
      </c>
      <c r="G643" t="s">
        <v>130</v>
      </c>
      <c r="H643" t="s">
        <v>305</v>
      </c>
      <c r="I643" t="s">
        <v>86</v>
      </c>
      <c r="J643" t="s">
        <v>288</v>
      </c>
      <c r="K643" t="s">
        <v>57</v>
      </c>
    </row>
    <row r="644" spans="1:11" x14ac:dyDescent="0.35">
      <c r="A644" t="s">
        <v>1036</v>
      </c>
      <c r="B644">
        <v>2024</v>
      </c>
      <c r="C644" t="s">
        <v>678</v>
      </c>
      <c r="D644" t="s">
        <v>85</v>
      </c>
      <c r="E644" t="s">
        <v>117</v>
      </c>
      <c r="F644" t="s">
        <v>288</v>
      </c>
      <c r="G644" t="s">
        <v>130</v>
      </c>
      <c r="H644" t="s">
        <v>305</v>
      </c>
      <c r="I644" t="s">
        <v>86</v>
      </c>
      <c r="J644" t="s">
        <v>288</v>
      </c>
      <c r="K644" t="s">
        <v>57</v>
      </c>
    </row>
    <row r="645" spans="1:11" x14ac:dyDescent="0.35">
      <c r="A645" t="s">
        <v>1037</v>
      </c>
      <c r="B645">
        <v>2024</v>
      </c>
      <c r="C645" t="s">
        <v>678</v>
      </c>
      <c r="D645" t="s">
        <v>76</v>
      </c>
      <c r="E645" t="s">
        <v>107</v>
      </c>
      <c r="F645" t="s">
        <v>125</v>
      </c>
      <c r="G645" t="s">
        <v>126</v>
      </c>
      <c r="H645" t="s">
        <v>285</v>
      </c>
      <c r="I645" t="s">
        <v>461</v>
      </c>
      <c r="J645" t="s">
        <v>288</v>
      </c>
      <c r="K645" t="s">
        <v>57</v>
      </c>
    </row>
    <row r="646" spans="1:11" x14ac:dyDescent="0.35">
      <c r="A646" t="s">
        <v>1038</v>
      </c>
      <c r="B646">
        <v>2024</v>
      </c>
      <c r="C646" t="s">
        <v>678</v>
      </c>
      <c r="D646" t="s">
        <v>76</v>
      </c>
      <c r="E646" t="s">
        <v>108</v>
      </c>
      <c r="F646" t="s">
        <v>125</v>
      </c>
      <c r="G646" t="s">
        <v>128</v>
      </c>
      <c r="H646" t="s">
        <v>285</v>
      </c>
      <c r="I646" t="s">
        <v>638</v>
      </c>
      <c r="J646" t="s">
        <v>286</v>
      </c>
      <c r="K646" t="s">
        <v>57</v>
      </c>
    </row>
    <row r="647" spans="1:11" x14ac:dyDescent="0.35">
      <c r="A647" t="s">
        <v>1039</v>
      </c>
      <c r="B647">
        <v>2024</v>
      </c>
      <c r="C647" t="s">
        <v>678</v>
      </c>
      <c r="D647" t="s">
        <v>85</v>
      </c>
      <c r="E647" t="s">
        <v>120</v>
      </c>
      <c r="F647" t="s">
        <v>134</v>
      </c>
      <c r="G647" t="s">
        <v>128</v>
      </c>
      <c r="H647" t="s">
        <v>297</v>
      </c>
      <c r="I647" t="s">
        <v>77</v>
      </c>
      <c r="J647" t="s">
        <v>295</v>
      </c>
      <c r="K647" t="s">
        <v>57</v>
      </c>
    </row>
    <row r="648" spans="1:11" x14ac:dyDescent="0.35">
      <c r="A648" t="s">
        <v>1040</v>
      </c>
      <c r="B648">
        <v>2024</v>
      </c>
      <c r="C648" t="s">
        <v>678</v>
      </c>
      <c r="D648" t="s">
        <v>85</v>
      </c>
      <c r="E648" t="s">
        <v>116</v>
      </c>
      <c r="F648" t="s">
        <v>129</v>
      </c>
      <c r="G648" t="s">
        <v>132</v>
      </c>
      <c r="H648" t="s">
        <v>305</v>
      </c>
      <c r="I648" t="s">
        <v>289</v>
      </c>
      <c r="J648" t="s">
        <v>286</v>
      </c>
      <c r="K648" t="s">
        <v>57</v>
      </c>
    </row>
    <row r="649" spans="1:11" x14ac:dyDescent="0.35">
      <c r="A649" t="s">
        <v>1041</v>
      </c>
      <c r="B649">
        <v>2024</v>
      </c>
      <c r="C649" t="s">
        <v>678</v>
      </c>
      <c r="D649" t="s">
        <v>76</v>
      </c>
      <c r="E649" t="s">
        <v>115</v>
      </c>
      <c r="F649" t="s">
        <v>127</v>
      </c>
      <c r="G649" t="s">
        <v>128</v>
      </c>
      <c r="H649" t="s">
        <v>285</v>
      </c>
      <c r="I649" t="s">
        <v>77</v>
      </c>
      <c r="J649" t="s">
        <v>286</v>
      </c>
      <c r="K649" t="s">
        <v>57</v>
      </c>
    </row>
    <row r="650" spans="1:11" x14ac:dyDescent="0.35">
      <c r="A650" t="s">
        <v>1042</v>
      </c>
      <c r="B650">
        <v>2024</v>
      </c>
      <c r="C650" t="s">
        <v>678</v>
      </c>
      <c r="D650" t="s">
        <v>85</v>
      </c>
      <c r="E650" t="s">
        <v>116</v>
      </c>
      <c r="F650" t="s">
        <v>131</v>
      </c>
      <c r="G650" t="s">
        <v>126</v>
      </c>
      <c r="H650" t="s">
        <v>285</v>
      </c>
      <c r="I650" t="s">
        <v>77</v>
      </c>
      <c r="J650" t="s">
        <v>286</v>
      </c>
      <c r="K650" t="s">
        <v>57</v>
      </c>
    </row>
    <row r="651" spans="1:11" x14ac:dyDescent="0.35">
      <c r="A651" t="s">
        <v>1043</v>
      </c>
      <c r="B651">
        <v>2024</v>
      </c>
      <c r="C651" t="s">
        <v>678</v>
      </c>
      <c r="D651" t="s">
        <v>76</v>
      </c>
      <c r="E651" t="s">
        <v>108</v>
      </c>
      <c r="F651" t="s">
        <v>125</v>
      </c>
      <c r="G651" t="s">
        <v>128</v>
      </c>
      <c r="H651" t="s">
        <v>285</v>
      </c>
      <c r="I651" t="s">
        <v>86</v>
      </c>
      <c r="J651" t="s">
        <v>286</v>
      </c>
      <c r="K651" t="s">
        <v>57</v>
      </c>
    </row>
    <row r="652" spans="1:11" x14ac:dyDescent="0.35">
      <c r="A652" t="s">
        <v>1044</v>
      </c>
      <c r="B652">
        <v>2024</v>
      </c>
      <c r="C652" t="s">
        <v>678</v>
      </c>
      <c r="D652" t="s">
        <v>76</v>
      </c>
      <c r="E652" t="s">
        <v>599</v>
      </c>
      <c r="F652" t="s">
        <v>125</v>
      </c>
      <c r="G652" t="s">
        <v>128</v>
      </c>
      <c r="H652" t="s">
        <v>285</v>
      </c>
      <c r="I652" t="s">
        <v>86</v>
      </c>
      <c r="J652" t="s">
        <v>417</v>
      </c>
      <c r="K652" t="s">
        <v>42</v>
      </c>
    </row>
    <row r="653" spans="1:11" x14ac:dyDescent="0.35">
      <c r="A653" t="s">
        <v>1045</v>
      </c>
      <c r="B653">
        <v>2024</v>
      </c>
      <c r="C653" t="s">
        <v>678</v>
      </c>
      <c r="D653" t="s">
        <v>76</v>
      </c>
      <c r="E653" t="s">
        <v>108</v>
      </c>
      <c r="F653" t="s">
        <v>125</v>
      </c>
      <c r="G653" t="s">
        <v>126</v>
      </c>
      <c r="H653" t="s">
        <v>285</v>
      </c>
      <c r="I653" t="s">
        <v>86</v>
      </c>
      <c r="J653" t="s">
        <v>403</v>
      </c>
      <c r="K653" t="s">
        <v>57</v>
      </c>
    </row>
    <row r="654" spans="1:11" x14ac:dyDescent="0.35">
      <c r="A654" t="s">
        <v>1046</v>
      </c>
      <c r="B654">
        <v>2024</v>
      </c>
      <c r="C654" t="s">
        <v>678</v>
      </c>
      <c r="D654" t="s">
        <v>76</v>
      </c>
      <c r="E654" t="s">
        <v>115</v>
      </c>
      <c r="F654" t="s">
        <v>125</v>
      </c>
      <c r="G654" t="s">
        <v>132</v>
      </c>
      <c r="H654" t="s">
        <v>285</v>
      </c>
      <c r="I654" t="s">
        <v>428</v>
      </c>
      <c r="J654" t="s">
        <v>286</v>
      </c>
      <c r="K654" t="s">
        <v>57</v>
      </c>
    </row>
    <row r="655" spans="1:11" x14ac:dyDescent="0.35">
      <c r="A655" t="s">
        <v>1047</v>
      </c>
      <c r="B655">
        <v>2024</v>
      </c>
      <c r="C655" t="s">
        <v>678</v>
      </c>
      <c r="D655" t="s">
        <v>76</v>
      </c>
      <c r="E655" t="s">
        <v>118</v>
      </c>
      <c r="F655" t="s">
        <v>133</v>
      </c>
      <c r="G655" t="s">
        <v>128</v>
      </c>
      <c r="H655" t="s">
        <v>285</v>
      </c>
      <c r="I655" t="s">
        <v>77</v>
      </c>
      <c r="J655" t="s">
        <v>286</v>
      </c>
      <c r="K655" t="s">
        <v>57</v>
      </c>
    </row>
    <row r="656" spans="1:11" x14ac:dyDescent="0.35">
      <c r="A656" t="s">
        <v>1048</v>
      </c>
      <c r="B656">
        <v>2024</v>
      </c>
      <c r="C656" t="s">
        <v>678</v>
      </c>
      <c r="D656" t="s">
        <v>76</v>
      </c>
      <c r="E656" t="s">
        <v>119</v>
      </c>
      <c r="F656" t="s">
        <v>125</v>
      </c>
      <c r="G656" t="s">
        <v>128</v>
      </c>
      <c r="H656" t="s">
        <v>305</v>
      </c>
      <c r="I656" t="s">
        <v>351</v>
      </c>
      <c r="J656" t="s">
        <v>447</v>
      </c>
      <c r="K656" t="s">
        <v>57</v>
      </c>
    </row>
    <row r="657" spans="1:11" x14ac:dyDescent="0.35">
      <c r="A657" t="s">
        <v>1049</v>
      </c>
      <c r="B657">
        <v>2024</v>
      </c>
      <c r="C657" t="s">
        <v>678</v>
      </c>
      <c r="D657" t="s">
        <v>76</v>
      </c>
      <c r="E657" t="s">
        <v>107</v>
      </c>
      <c r="F657" t="s">
        <v>125</v>
      </c>
      <c r="G657" t="s">
        <v>126</v>
      </c>
      <c r="H657" t="s">
        <v>285</v>
      </c>
      <c r="I657" t="s">
        <v>77</v>
      </c>
      <c r="J657" t="s">
        <v>286</v>
      </c>
      <c r="K657" t="s">
        <v>57</v>
      </c>
    </row>
    <row r="658" spans="1:11" x14ac:dyDescent="0.35">
      <c r="A658" t="s">
        <v>1050</v>
      </c>
      <c r="B658">
        <v>2024</v>
      </c>
      <c r="C658" t="s">
        <v>1051</v>
      </c>
      <c r="D658" t="s">
        <v>85</v>
      </c>
      <c r="E658" t="s">
        <v>116</v>
      </c>
      <c r="F658" t="s">
        <v>131</v>
      </c>
      <c r="G658" t="s">
        <v>126</v>
      </c>
      <c r="H658" t="s">
        <v>285</v>
      </c>
      <c r="I658" t="s">
        <v>77</v>
      </c>
      <c r="J658" t="s">
        <v>317</v>
      </c>
      <c r="K658" t="s">
        <v>57</v>
      </c>
    </row>
    <row r="659" spans="1:11" x14ac:dyDescent="0.35">
      <c r="A659" t="s">
        <v>1052</v>
      </c>
      <c r="B659">
        <v>2024</v>
      </c>
      <c r="C659" t="s">
        <v>1051</v>
      </c>
      <c r="D659" t="s">
        <v>85</v>
      </c>
      <c r="E659" t="s">
        <v>120</v>
      </c>
      <c r="F659" t="s">
        <v>125</v>
      </c>
      <c r="G659" t="s">
        <v>130</v>
      </c>
      <c r="H659" t="s">
        <v>305</v>
      </c>
      <c r="I659" t="s">
        <v>86</v>
      </c>
      <c r="J659" t="s">
        <v>286</v>
      </c>
      <c r="K659" t="s">
        <v>57</v>
      </c>
    </row>
    <row r="660" spans="1:11" x14ac:dyDescent="0.35">
      <c r="A660" t="s">
        <v>1053</v>
      </c>
      <c r="B660">
        <v>2024</v>
      </c>
      <c r="C660" t="s">
        <v>1051</v>
      </c>
      <c r="D660" t="s">
        <v>85</v>
      </c>
      <c r="E660" t="s">
        <v>117</v>
      </c>
      <c r="F660" t="s">
        <v>288</v>
      </c>
      <c r="G660" t="s">
        <v>126</v>
      </c>
      <c r="H660" t="s">
        <v>305</v>
      </c>
      <c r="I660" t="s">
        <v>86</v>
      </c>
      <c r="J660" t="s">
        <v>288</v>
      </c>
      <c r="K660" t="s">
        <v>57</v>
      </c>
    </row>
    <row r="661" spans="1:11" x14ac:dyDescent="0.35">
      <c r="A661" t="s">
        <v>1054</v>
      </c>
      <c r="B661">
        <v>2024</v>
      </c>
      <c r="C661" t="s">
        <v>1051</v>
      </c>
      <c r="D661" t="s">
        <v>85</v>
      </c>
      <c r="E661" t="s">
        <v>117</v>
      </c>
      <c r="F661" t="s">
        <v>288</v>
      </c>
      <c r="G661" t="s">
        <v>126</v>
      </c>
      <c r="H661" t="s">
        <v>305</v>
      </c>
      <c r="I661" t="s">
        <v>86</v>
      </c>
      <c r="J661" t="s">
        <v>288</v>
      </c>
      <c r="K661" t="s">
        <v>57</v>
      </c>
    </row>
    <row r="662" spans="1:11" x14ac:dyDescent="0.35">
      <c r="A662" t="s">
        <v>1055</v>
      </c>
      <c r="B662">
        <v>2024</v>
      </c>
      <c r="C662" t="s">
        <v>1051</v>
      </c>
      <c r="D662" t="s">
        <v>76</v>
      </c>
      <c r="E662" t="s">
        <v>113</v>
      </c>
      <c r="F662" t="s">
        <v>125</v>
      </c>
      <c r="G662" t="s">
        <v>132</v>
      </c>
      <c r="H662" t="s">
        <v>285</v>
      </c>
      <c r="I662" t="s">
        <v>86</v>
      </c>
      <c r="J662" t="s">
        <v>405</v>
      </c>
      <c r="K662" t="s">
        <v>57</v>
      </c>
    </row>
    <row r="663" spans="1:11" x14ac:dyDescent="0.35">
      <c r="A663" t="s">
        <v>1056</v>
      </c>
      <c r="B663">
        <v>2024</v>
      </c>
      <c r="C663" t="s">
        <v>1051</v>
      </c>
      <c r="D663" t="s">
        <v>85</v>
      </c>
      <c r="E663" t="s">
        <v>120</v>
      </c>
      <c r="F663" t="s">
        <v>129</v>
      </c>
      <c r="G663" t="s">
        <v>130</v>
      </c>
      <c r="H663" t="s">
        <v>305</v>
      </c>
      <c r="I663" t="s">
        <v>337</v>
      </c>
      <c r="J663" t="s">
        <v>464</v>
      </c>
      <c r="K663" t="s">
        <v>42</v>
      </c>
    </row>
    <row r="664" spans="1:11" x14ac:dyDescent="0.35">
      <c r="A664" t="s">
        <v>1057</v>
      </c>
      <c r="B664">
        <v>2024</v>
      </c>
      <c r="C664" t="s">
        <v>1051</v>
      </c>
      <c r="D664" t="s">
        <v>85</v>
      </c>
      <c r="E664" t="s">
        <v>120</v>
      </c>
      <c r="F664" t="s">
        <v>129</v>
      </c>
      <c r="G664" t="s">
        <v>130</v>
      </c>
      <c r="H664" t="s">
        <v>305</v>
      </c>
      <c r="I664" t="s">
        <v>337</v>
      </c>
      <c r="J664" t="s">
        <v>464</v>
      </c>
      <c r="K664" t="s">
        <v>42</v>
      </c>
    </row>
    <row r="665" spans="1:11" x14ac:dyDescent="0.35">
      <c r="A665" t="s">
        <v>1058</v>
      </c>
      <c r="B665">
        <v>2024</v>
      </c>
      <c r="C665" t="s">
        <v>1051</v>
      </c>
      <c r="D665" t="s">
        <v>85</v>
      </c>
      <c r="E665" t="s">
        <v>120</v>
      </c>
      <c r="F665" t="s">
        <v>129</v>
      </c>
      <c r="G665" t="s">
        <v>130</v>
      </c>
      <c r="H665" t="s">
        <v>305</v>
      </c>
      <c r="I665" t="s">
        <v>337</v>
      </c>
      <c r="J665" t="s">
        <v>464</v>
      </c>
      <c r="K665" t="s">
        <v>42</v>
      </c>
    </row>
    <row r="666" spans="1:11" x14ac:dyDescent="0.35">
      <c r="A666" t="s">
        <v>1059</v>
      </c>
      <c r="B666">
        <v>2024</v>
      </c>
      <c r="C666" t="s">
        <v>1051</v>
      </c>
      <c r="D666" t="s">
        <v>85</v>
      </c>
      <c r="E666" t="s">
        <v>120</v>
      </c>
      <c r="F666" t="s">
        <v>129</v>
      </c>
      <c r="G666" t="s">
        <v>126</v>
      </c>
      <c r="H666" t="s">
        <v>305</v>
      </c>
      <c r="I666" t="s">
        <v>337</v>
      </c>
      <c r="J666" t="s">
        <v>464</v>
      </c>
      <c r="K666" t="s">
        <v>42</v>
      </c>
    </row>
    <row r="667" spans="1:11" x14ac:dyDescent="0.35">
      <c r="A667" t="s">
        <v>1060</v>
      </c>
      <c r="B667">
        <v>2024</v>
      </c>
      <c r="C667" t="s">
        <v>1051</v>
      </c>
      <c r="D667" t="s">
        <v>85</v>
      </c>
      <c r="E667" t="s">
        <v>117</v>
      </c>
      <c r="F667" t="s">
        <v>131</v>
      </c>
      <c r="G667" t="s">
        <v>128</v>
      </c>
      <c r="H667" t="s">
        <v>305</v>
      </c>
      <c r="I667" t="s">
        <v>289</v>
      </c>
      <c r="J667" t="s">
        <v>1061</v>
      </c>
      <c r="K667" t="s">
        <v>42</v>
      </c>
    </row>
    <row r="668" spans="1:11" x14ac:dyDescent="0.35">
      <c r="A668" t="s">
        <v>1062</v>
      </c>
      <c r="B668">
        <v>2024</v>
      </c>
      <c r="C668" t="s">
        <v>1051</v>
      </c>
      <c r="D668" t="s">
        <v>76</v>
      </c>
      <c r="E668" t="s">
        <v>118</v>
      </c>
      <c r="F668" t="s">
        <v>288</v>
      </c>
      <c r="G668" t="s">
        <v>132</v>
      </c>
      <c r="H668" t="s">
        <v>285</v>
      </c>
      <c r="I668" t="s">
        <v>333</v>
      </c>
      <c r="J668" t="s">
        <v>286</v>
      </c>
      <c r="K668" t="s">
        <v>57</v>
      </c>
    </row>
    <row r="669" spans="1:11" x14ac:dyDescent="0.35">
      <c r="A669" t="s">
        <v>1063</v>
      </c>
      <c r="B669">
        <v>2024</v>
      </c>
      <c r="C669" t="s">
        <v>1051</v>
      </c>
      <c r="D669" t="s">
        <v>85</v>
      </c>
      <c r="E669" t="s">
        <v>117</v>
      </c>
      <c r="F669" t="s">
        <v>131</v>
      </c>
      <c r="G669" t="s">
        <v>130</v>
      </c>
      <c r="H669" t="s">
        <v>305</v>
      </c>
      <c r="I669" t="s">
        <v>86</v>
      </c>
      <c r="J669" t="s">
        <v>317</v>
      </c>
      <c r="K669" t="s">
        <v>57</v>
      </c>
    </row>
    <row r="670" spans="1:11" x14ac:dyDescent="0.35">
      <c r="A670" t="s">
        <v>1064</v>
      </c>
      <c r="B670">
        <v>2024</v>
      </c>
      <c r="C670" t="s">
        <v>1051</v>
      </c>
      <c r="D670" t="s">
        <v>76</v>
      </c>
      <c r="E670" t="s">
        <v>119</v>
      </c>
      <c r="F670" t="s">
        <v>127</v>
      </c>
      <c r="G670" t="s">
        <v>128</v>
      </c>
      <c r="H670" t="s">
        <v>357</v>
      </c>
      <c r="I670" t="s">
        <v>77</v>
      </c>
      <c r="J670" t="s">
        <v>447</v>
      </c>
      <c r="K670" t="s">
        <v>57</v>
      </c>
    </row>
    <row r="671" spans="1:11" x14ac:dyDescent="0.35">
      <c r="A671" t="s">
        <v>1065</v>
      </c>
      <c r="B671">
        <v>2024</v>
      </c>
      <c r="C671" t="s">
        <v>1051</v>
      </c>
      <c r="D671" t="s">
        <v>85</v>
      </c>
      <c r="E671" t="s">
        <v>377</v>
      </c>
      <c r="F671" t="s">
        <v>133</v>
      </c>
      <c r="G671" t="s">
        <v>132</v>
      </c>
      <c r="H671" t="s">
        <v>305</v>
      </c>
      <c r="I671" t="s">
        <v>333</v>
      </c>
      <c r="J671" t="s">
        <v>515</v>
      </c>
      <c r="K671" t="s">
        <v>57</v>
      </c>
    </row>
    <row r="672" spans="1:11" x14ac:dyDescent="0.35">
      <c r="A672" t="s">
        <v>1066</v>
      </c>
      <c r="B672">
        <v>2024</v>
      </c>
      <c r="C672" t="s">
        <v>1051</v>
      </c>
      <c r="D672" t="s">
        <v>85</v>
      </c>
      <c r="E672" t="s">
        <v>116</v>
      </c>
      <c r="F672" t="s">
        <v>129</v>
      </c>
      <c r="G672" t="s">
        <v>130</v>
      </c>
      <c r="H672" t="s">
        <v>285</v>
      </c>
      <c r="I672" t="s">
        <v>833</v>
      </c>
      <c r="J672" t="s">
        <v>347</v>
      </c>
      <c r="K672" t="s">
        <v>57</v>
      </c>
    </row>
    <row r="673" spans="1:11" x14ac:dyDescent="0.35">
      <c r="A673" t="s">
        <v>1067</v>
      </c>
      <c r="B673">
        <v>2024</v>
      </c>
      <c r="C673" t="s">
        <v>1051</v>
      </c>
      <c r="D673" t="s">
        <v>85</v>
      </c>
      <c r="E673" t="s">
        <v>117</v>
      </c>
      <c r="F673" t="s">
        <v>129</v>
      </c>
      <c r="G673" t="s">
        <v>130</v>
      </c>
      <c r="H673" t="s">
        <v>285</v>
      </c>
      <c r="I673" t="s">
        <v>289</v>
      </c>
      <c r="J673" t="s">
        <v>1068</v>
      </c>
      <c r="K673" t="s">
        <v>42</v>
      </c>
    </row>
    <row r="674" spans="1:11" x14ac:dyDescent="0.35">
      <c r="A674" t="s">
        <v>1069</v>
      </c>
      <c r="B674">
        <v>2024</v>
      </c>
      <c r="C674" t="s">
        <v>1051</v>
      </c>
      <c r="D674" t="s">
        <v>76</v>
      </c>
      <c r="E674" t="s">
        <v>112</v>
      </c>
      <c r="F674" t="s">
        <v>131</v>
      </c>
      <c r="G674" t="s">
        <v>128</v>
      </c>
      <c r="H674" t="s">
        <v>285</v>
      </c>
      <c r="I674" t="s">
        <v>289</v>
      </c>
      <c r="J674" t="s">
        <v>742</v>
      </c>
      <c r="K674" t="s">
        <v>57</v>
      </c>
    </row>
    <row r="675" spans="1:11" x14ac:dyDescent="0.35">
      <c r="A675" t="s">
        <v>1070</v>
      </c>
      <c r="B675">
        <v>2024</v>
      </c>
      <c r="C675" t="s">
        <v>1051</v>
      </c>
      <c r="D675" t="s">
        <v>85</v>
      </c>
      <c r="E675" t="s">
        <v>117</v>
      </c>
      <c r="F675" t="s">
        <v>288</v>
      </c>
      <c r="G675" t="s">
        <v>126</v>
      </c>
      <c r="H675" t="s">
        <v>285</v>
      </c>
      <c r="I675" t="s">
        <v>288</v>
      </c>
      <c r="J675" t="s">
        <v>288</v>
      </c>
      <c r="K675" t="s">
        <v>57</v>
      </c>
    </row>
    <row r="676" spans="1:11" x14ac:dyDescent="0.35">
      <c r="A676" t="s">
        <v>1071</v>
      </c>
      <c r="B676">
        <v>2024</v>
      </c>
      <c r="C676" t="s">
        <v>1051</v>
      </c>
      <c r="D676" t="s">
        <v>85</v>
      </c>
      <c r="E676" t="s">
        <v>116</v>
      </c>
      <c r="F676" t="s">
        <v>129</v>
      </c>
      <c r="G676" t="s">
        <v>128</v>
      </c>
      <c r="H676" t="s">
        <v>285</v>
      </c>
      <c r="I676" t="s">
        <v>289</v>
      </c>
      <c r="J676" t="s">
        <v>286</v>
      </c>
      <c r="K676" t="s">
        <v>57</v>
      </c>
    </row>
    <row r="677" spans="1:11" x14ac:dyDescent="0.35">
      <c r="A677" t="s">
        <v>1072</v>
      </c>
      <c r="B677">
        <v>2024</v>
      </c>
      <c r="C677" t="s">
        <v>1051</v>
      </c>
      <c r="D677" t="s">
        <v>85</v>
      </c>
      <c r="E677" t="s">
        <v>116</v>
      </c>
      <c r="F677" t="s">
        <v>131</v>
      </c>
      <c r="G677" t="s">
        <v>130</v>
      </c>
      <c r="H677" t="s">
        <v>285</v>
      </c>
      <c r="I677" t="s">
        <v>289</v>
      </c>
      <c r="J677" t="s">
        <v>286</v>
      </c>
      <c r="K677" t="s">
        <v>57</v>
      </c>
    </row>
    <row r="678" spans="1:11" x14ac:dyDescent="0.35">
      <c r="A678" t="s">
        <v>1073</v>
      </c>
      <c r="B678">
        <v>2024</v>
      </c>
      <c r="C678" t="s">
        <v>1051</v>
      </c>
      <c r="D678" t="s">
        <v>85</v>
      </c>
      <c r="E678" t="s">
        <v>116</v>
      </c>
      <c r="F678" t="s">
        <v>131</v>
      </c>
      <c r="G678" t="s">
        <v>126</v>
      </c>
      <c r="H678" t="s">
        <v>285</v>
      </c>
      <c r="I678" t="s">
        <v>86</v>
      </c>
      <c r="J678" t="s">
        <v>308</v>
      </c>
      <c r="K678" t="s">
        <v>42</v>
      </c>
    </row>
    <row r="679" spans="1:11" x14ac:dyDescent="0.35">
      <c r="A679" t="s">
        <v>1074</v>
      </c>
      <c r="B679">
        <v>2024</v>
      </c>
      <c r="C679" t="s">
        <v>1051</v>
      </c>
      <c r="D679" t="s">
        <v>76</v>
      </c>
      <c r="E679" t="s">
        <v>119</v>
      </c>
      <c r="F679" t="s">
        <v>125</v>
      </c>
      <c r="G679" t="s">
        <v>132</v>
      </c>
      <c r="H679" t="s">
        <v>285</v>
      </c>
      <c r="I679" t="s">
        <v>86</v>
      </c>
      <c r="J679" t="s">
        <v>286</v>
      </c>
      <c r="K679" t="s">
        <v>57</v>
      </c>
    </row>
    <row r="680" spans="1:11" x14ac:dyDescent="0.35">
      <c r="A680" t="s">
        <v>1075</v>
      </c>
      <c r="B680">
        <v>2024</v>
      </c>
      <c r="C680" t="s">
        <v>1051</v>
      </c>
      <c r="D680" t="s">
        <v>76</v>
      </c>
      <c r="E680" t="s">
        <v>118</v>
      </c>
      <c r="F680" t="s">
        <v>131</v>
      </c>
      <c r="G680" t="s">
        <v>132</v>
      </c>
      <c r="H680" t="s">
        <v>285</v>
      </c>
      <c r="I680" t="s">
        <v>77</v>
      </c>
      <c r="J680" t="s">
        <v>288</v>
      </c>
      <c r="K680" t="s">
        <v>57</v>
      </c>
    </row>
    <row r="681" spans="1:11" x14ac:dyDescent="0.35">
      <c r="A681" t="s">
        <v>1076</v>
      </c>
      <c r="B681">
        <v>2024</v>
      </c>
      <c r="C681" t="s">
        <v>1051</v>
      </c>
      <c r="D681" t="s">
        <v>85</v>
      </c>
      <c r="E681" t="s">
        <v>120</v>
      </c>
      <c r="F681" t="s">
        <v>129</v>
      </c>
      <c r="G681" t="s">
        <v>128</v>
      </c>
      <c r="H681" t="s">
        <v>285</v>
      </c>
      <c r="I681" t="s">
        <v>1077</v>
      </c>
      <c r="J681" t="s">
        <v>317</v>
      </c>
      <c r="K681" t="s">
        <v>57</v>
      </c>
    </row>
    <row r="682" spans="1:11" x14ac:dyDescent="0.35">
      <c r="A682" t="s">
        <v>1078</v>
      </c>
      <c r="B682">
        <v>2024</v>
      </c>
      <c r="C682" t="s">
        <v>1051</v>
      </c>
      <c r="D682" t="s">
        <v>85</v>
      </c>
      <c r="E682" t="s">
        <v>116</v>
      </c>
      <c r="F682" t="s">
        <v>129</v>
      </c>
      <c r="G682" t="s">
        <v>128</v>
      </c>
      <c r="H682" t="s">
        <v>285</v>
      </c>
      <c r="I682" t="s">
        <v>288</v>
      </c>
      <c r="J682" t="s">
        <v>286</v>
      </c>
      <c r="K682" t="s">
        <v>57</v>
      </c>
    </row>
    <row r="683" spans="1:11" x14ac:dyDescent="0.35">
      <c r="A683" t="s">
        <v>1079</v>
      </c>
      <c r="B683">
        <v>2024</v>
      </c>
      <c r="C683" t="s">
        <v>1051</v>
      </c>
      <c r="D683" t="s">
        <v>76</v>
      </c>
      <c r="E683" t="s">
        <v>119</v>
      </c>
      <c r="F683" t="s">
        <v>288</v>
      </c>
      <c r="G683" t="s">
        <v>126</v>
      </c>
      <c r="H683" t="s">
        <v>305</v>
      </c>
      <c r="I683" t="s">
        <v>86</v>
      </c>
      <c r="J683" t="s">
        <v>288</v>
      </c>
      <c r="K683" t="s">
        <v>57</v>
      </c>
    </row>
    <row r="684" spans="1:11" x14ac:dyDescent="0.35">
      <c r="A684" t="s">
        <v>1080</v>
      </c>
      <c r="B684">
        <v>2024</v>
      </c>
      <c r="C684" t="s">
        <v>1051</v>
      </c>
      <c r="D684" t="s">
        <v>85</v>
      </c>
      <c r="E684" t="s">
        <v>116</v>
      </c>
      <c r="F684" t="s">
        <v>129</v>
      </c>
      <c r="G684" t="s">
        <v>130</v>
      </c>
      <c r="H684" t="s">
        <v>285</v>
      </c>
      <c r="I684" t="s">
        <v>289</v>
      </c>
      <c r="J684" t="s">
        <v>1081</v>
      </c>
      <c r="K684" t="s">
        <v>42</v>
      </c>
    </row>
    <row r="685" spans="1:11" x14ac:dyDescent="0.35">
      <c r="A685" t="s">
        <v>1082</v>
      </c>
      <c r="B685">
        <v>2024</v>
      </c>
      <c r="C685" t="s">
        <v>1051</v>
      </c>
      <c r="D685" t="s">
        <v>76</v>
      </c>
      <c r="E685" t="s">
        <v>107</v>
      </c>
      <c r="F685" t="s">
        <v>125</v>
      </c>
      <c r="G685" t="s">
        <v>128</v>
      </c>
      <c r="H685" t="s">
        <v>285</v>
      </c>
      <c r="I685" t="s">
        <v>288</v>
      </c>
      <c r="J685" t="s">
        <v>286</v>
      </c>
      <c r="K685" t="s">
        <v>57</v>
      </c>
    </row>
    <row r="686" spans="1:11" x14ac:dyDescent="0.35">
      <c r="A686" t="s">
        <v>1083</v>
      </c>
      <c r="B686">
        <v>2024</v>
      </c>
      <c r="C686" t="s">
        <v>1051</v>
      </c>
      <c r="D686" t="s">
        <v>76</v>
      </c>
      <c r="E686" t="s">
        <v>107</v>
      </c>
      <c r="F686" t="s">
        <v>127</v>
      </c>
      <c r="G686" t="s">
        <v>130</v>
      </c>
      <c r="H686" t="s">
        <v>285</v>
      </c>
      <c r="I686" t="s">
        <v>86</v>
      </c>
      <c r="J686" t="s">
        <v>288</v>
      </c>
      <c r="K686" t="s">
        <v>57</v>
      </c>
    </row>
    <row r="687" spans="1:11" x14ac:dyDescent="0.35">
      <c r="A687" t="s">
        <v>1084</v>
      </c>
      <c r="B687">
        <v>2024</v>
      </c>
      <c r="C687" t="s">
        <v>1051</v>
      </c>
      <c r="D687" t="s">
        <v>85</v>
      </c>
      <c r="E687" t="s">
        <v>117</v>
      </c>
      <c r="F687" t="s">
        <v>129</v>
      </c>
      <c r="G687" t="s">
        <v>128</v>
      </c>
      <c r="H687" t="s">
        <v>285</v>
      </c>
      <c r="I687" t="s">
        <v>77</v>
      </c>
      <c r="J687" t="s">
        <v>317</v>
      </c>
      <c r="K687" t="s">
        <v>57</v>
      </c>
    </row>
    <row r="688" spans="1:11" x14ac:dyDescent="0.35">
      <c r="A688" t="s">
        <v>1085</v>
      </c>
      <c r="B688">
        <v>2024</v>
      </c>
      <c r="C688" t="s">
        <v>1051</v>
      </c>
      <c r="D688" t="s">
        <v>85</v>
      </c>
      <c r="E688" t="s">
        <v>117</v>
      </c>
      <c r="F688" t="s">
        <v>129</v>
      </c>
      <c r="G688" t="s">
        <v>130</v>
      </c>
      <c r="H688" t="s">
        <v>285</v>
      </c>
      <c r="I688" t="s">
        <v>77</v>
      </c>
      <c r="J688" t="s">
        <v>317</v>
      </c>
      <c r="K688" t="s">
        <v>57</v>
      </c>
    </row>
    <row r="689" spans="1:11" x14ac:dyDescent="0.35">
      <c r="A689" t="s">
        <v>1086</v>
      </c>
      <c r="B689">
        <v>2024</v>
      </c>
      <c r="C689" t="s">
        <v>1051</v>
      </c>
      <c r="D689" t="s">
        <v>85</v>
      </c>
      <c r="E689" t="s">
        <v>116</v>
      </c>
      <c r="F689" t="s">
        <v>127</v>
      </c>
      <c r="G689" t="s">
        <v>126</v>
      </c>
      <c r="H689" t="s">
        <v>285</v>
      </c>
      <c r="I689" t="s">
        <v>77</v>
      </c>
      <c r="J689" t="s">
        <v>288</v>
      </c>
      <c r="K689" t="s">
        <v>57</v>
      </c>
    </row>
    <row r="690" spans="1:11" x14ac:dyDescent="0.35">
      <c r="A690" t="s">
        <v>1087</v>
      </c>
      <c r="B690">
        <v>2024</v>
      </c>
      <c r="C690" t="s">
        <v>1051</v>
      </c>
      <c r="D690" t="s">
        <v>76</v>
      </c>
      <c r="E690" t="s">
        <v>119</v>
      </c>
      <c r="F690" t="s">
        <v>125</v>
      </c>
      <c r="G690" t="s">
        <v>126</v>
      </c>
      <c r="H690" t="s">
        <v>285</v>
      </c>
      <c r="I690" t="s">
        <v>535</v>
      </c>
      <c r="J690" t="s">
        <v>286</v>
      </c>
      <c r="K690" t="s">
        <v>57</v>
      </c>
    </row>
    <row r="691" spans="1:11" x14ac:dyDescent="0.35">
      <c r="A691" t="s">
        <v>1088</v>
      </c>
      <c r="B691">
        <v>2024</v>
      </c>
      <c r="C691" t="s">
        <v>1051</v>
      </c>
      <c r="D691" t="s">
        <v>76</v>
      </c>
      <c r="E691" t="s">
        <v>115</v>
      </c>
      <c r="F691" t="s">
        <v>131</v>
      </c>
      <c r="G691" t="s">
        <v>130</v>
      </c>
      <c r="H691" t="s">
        <v>285</v>
      </c>
      <c r="I691" t="s">
        <v>86</v>
      </c>
      <c r="J691" t="s">
        <v>286</v>
      </c>
      <c r="K691" t="s">
        <v>57</v>
      </c>
    </row>
    <row r="692" spans="1:11" x14ac:dyDescent="0.35">
      <c r="A692" t="s">
        <v>1089</v>
      </c>
      <c r="B692">
        <v>2024</v>
      </c>
      <c r="C692" t="s">
        <v>1051</v>
      </c>
      <c r="D692" t="s">
        <v>76</v>
      </c>
      <c r="E692" t="s">
        <v>119</v>
      </c>
      <c r="F692" t="s">
        <v>125</v>
      </c>
      <c r="G692" t="s">
        <v>132</v>
      </c>
      <c r="H692" t="s">
        <v>285</v>
      </c>
      <c r="I692" t="s">
        <v>288</v>
      </c>
      <c r="J692" t="s">
        <v>288</v>
      </c>
      <c r="K692" t="s">
        <v>57</v>
      </c>
    </row>
    <row r="693" spans="1:11" x14ac:dyDescent="0.35">
      <c r="A693" t="s">
        <v>1090</v>
      </c>
      <c r="B693">
        <v>2024</v>
      </c>
      <c r="C693" t="s">
        <v>1051</v>
      </c>
      <c r="D693" t="s">
        <v>76</v>
      </c>
      <c r="E693" t="s">
        <v>119</v>
      </c>
      <c r="F693" t="s">
        <v>125</v>
      </c>
      <c r="G693" t="s">
        <v>128</v>
      </c>
      <c r="H693" t="s">
        <v>285</v>
      </c>
      <c r="I693" t="s">
        <v>289</v>
      </c>
      <c r="J693" t="s">
        <v>326</v>
      </c>
      <c r="K693" t="s">
        <v>57</v>
      </c>
    </row>
    <row r="694" spans="1:11" x14ac:dyDescent="0.35">
      <c r="A694" t="s">
        <v>1091</v>
      </c>
      <c r="B694">
        <v>2024</v>
      </c>
      <c r="C694" t="s">
        <v>1051</v>
      </c>
      <c r="D694" t="s">
        <v>76</v>
      </c>
      <c r="E694" t="s">
        <v>110</v>
      </c>
      <c r="F694" t="s">
        <v>125</v>
      </c>
      <c r="G694" t="s">
        <v>128</v>
      </c>
      <c r="H694" t="s">
        <v>285</v>
      </c>
      <c r="I694" t="s">
        <v>288</v>
      </c>
      <c r="J694" t="s">
        <v>361</v>
      </c>
      <c r="K694" t="s">
        <v>57</v>
      </c>
    </row>
    <row r="695" spans="1:11" x14ac:dyDescent="0.35">
      <c r="A695" t="s">
        <v>1092</v>
      </c>
      <c r="B695">
        <v>2024</v>
      </c>
      <c r="C695" t="s">
        <v>1051</v>
      </c>
      <c r="D695" t="s">
        <v>85</v>
      </c>
      <c r="E695" t="s">
        <v>116</v>
      </c>
      <c r="F695" t="s">
        <v>131</v>
      </c>
      <c r="G695" t="s">
        <v>132</v>
      </c>
      <c r="H695" t="s">
        <v>285</v>
      </c>
      <c r="I695" t="s">
        <v>77</v>
      </c>
      <c r="J695" t="s">
        <v>286</v>
      </c>
      <c r="K695" t="s">
        <v>57</v>
      </c>
    </row>
    <row r="696" spans="1:11" x14ac:dyDescent="0.35">
      <c r="A696" t="s">
        <v>1093</v>
      </c>
      <c r="B696">
        <v>2024</v>
      </c>
      <c r="C696" t="s">
        <v>1051</v>
      </c>
      <c r="D696" t="s">
        <v>76</v>
      </c>
      <c r="E696" t="s">
        <v>118</v>
      </c>
      <c r="F696" t="s">
        <v>288</v>
      </c>
      <c r="G696" t="s">
        <v>128</v>
      </c>
      <c r="H696" t="s">
        <v>285</v>
      </c>
      <c r="I696" t="s">
        <v>86</v>
      </c>
      <c r="J696" t="s">
        <v>1094</v>
      </c>
      <c r="K696" t="s">
        <v>42</v>
      </c>
    </row>
    <row r="697" spans="1:11" x14ac:dyDescent="0.35">
      <c r="A697" t="s">
        <v>1095</v>
      </c>
      <c r="B697">
        <v>2024</v>
      </c>
      <c r="C697" t="s">
        <v>1051</v>
      </c>
      <c r="D697" t="s">
        <v>76</v>
      </c>
      <c r="E697" t="s">
        <v>115</v>
      </c>
      <c r="F697" t="s">
        <v>288</v>
      </c>
      <c r="G697" t="s">
        <v>130</v>
      </c>
      <c r="H697" t="s">
        <v>285</v>
      </c>
      <c r="I697" t="s">
        <v>86</v>
      </c>
      <c r="J697" t="s">
        <v>286</v>
      </c>
      <c r="K697" t="s">
        <v>57</v>
      </c>
    </row>
    <row r="698" spans="1:11" x14ac:dyDescent="0.35">
      <c r="A698" t="s">
        <v>1096</v>
      </c>
      <c r="B698">
        <v>2024</v>
      </c>
      <c r="C698" t="s">
        <v>1051</v>
      </c>
      <c r="D698" t="s">
        <v>76</v>
      </c>
      <c r="E698" t="s">
        <v>115</v>
      </c>
      <c r="F698" t="s">
        <v>131</v>
      </c>
      <c r="G698" t="s">
        <v>128</v>
      </c>
      <c r="H698" t="s">
        <v>285</v>
      </c>
      <c r="I698" t="s">
        <v>77</v>
      </c>
      <c r="J698" t="s">
        <v>286</v>
      </c>
      <c r="K698" t="s">
        <v>57</v>
      </c>
    </row>
    <row r="699" spans="1:11" x14ac:dyDescent="0.35">
      <c r="A699" t="s">
        <v>1097</v>
      </c>
      <c r="B699">
        <v>2024</v>
      </c>
      <c r="C699" t="s">
        <v>1051</v>
      </c>
      <c r="D699" t="s">
        <v>85</v>
      </c>
      <c r="E699" t="s">
        <v>116</v>
      </c>
      <c r="F699" t="s">
        <v>125</v>
      </c>
      <c r="G699" t="s">
        <v>128</v>
      </c>
      <c r="H699" t="s">
        <v>285</v>
      </c>
      <c r="I699" t="s">
        <v>289</v>
      </c>
      <c r="J699" t="s">
        <v>317</v>
      </c>
      <c r="K699" t="s">
        <v>57</v>
      </c>
    </row>
    <row r="700" spans="1:11" x14ac:dyDescent="0.35">
      <c r="A700" t="s">
        <v>1098</v>
      </c>
      <c r="B700">
        <v>2024</v>
      </c>
      <c r="C700" t="s">
        <v>1051</v>
      </c>
      <c r="D700" t="s">
        <v>85</v>
      </c>
      <c r="E700" t="s">
        <v>116</v>
      </c>
      <c r="F700" t="s">
        <v>131</v>
      </c>
      <c r="G700" t="s">
        <v>130</v>
      </c>
      <c r="H700" t="s">
        <v>285</v>
      </c>
      <c r="I700" t="s">
        <v>289</v>
      </c>
      <c r="J700" t="s">
        <v>286</v>
      </c>
      <c r="K700" t="s">
        <v>57</v>
      </c>
    </row>
    <row r="701" spans="1:11" x14ac:dyDescent="0.35">
      <c r="A701" t="s">
        <v>1099</v>
      </c>
      <c r="B701">
        <v>2024</v>
      </c>
      <c r="C701" t="s">
        <v>1051</v>
      </c>
      <c r="D701" t="s">
        <v>85</v>
      </c>
      <c r="E701" t="s">
        <v>120</v>
      </c>
      <c r="F701" t="s">
        <v>127</v>
      </c>
      <c r="G701" t="s">
        <v>128</v>
      </c>
      <c r="H701" t="s">
        <v>305</v>
      </c>
      <c r="I701" t="s">
        <v>86</v>
      </c>
      <c r="J701" t="s">
        <v>286</v>
      </c>
      <c r="K701" t="s">
        <v>57</v>
      </c>
    </row>
    <row r="702" spans="1:11" x14ac:dyDescent="0.35">
      <c r="A702" t="s">
        <v>1100</v>
      </c>
      <c r="B702">
        <v>2024</v>
      </c>
      <c r="C702" t="s">
        <v>1051</v>
      </c>
      <c r="D702" t="s">
        <v>85</v>
      </c>
      <c r="E702" t="s">
        <v>120</v>
      </c>
      <c r="F702" t="s">
        <v>288</v>
      </c>
      <c r="G702" t="s">
        <v>128</v>
      </c>
      <c r="H702" t="s">
        <v>285</v>
      </c>
      <c r="I702" t="s">
        <v>77</v>
      </c>
      <c r="J702" t="s">
        <v>286</v>
      </c>
      <c r="K702" t="s">
        <v>57</v>
      </c>
    </row>
    <row r="703" spans="1:11" x14ac:dyDescent="0.35">
      <c r="A703" t="s">
        <v>1101</v>
      </c>
      <c r="B703">
        <v>2024</v>
      </c>
      <c r="C703" t="s">
        <v>1051</v>
      </c>
      <c r="D703" t="s">
        <v>76</v>
      </c>
      <c r="E703" t="s">
        <v>109</v>
      </c>
      <c r="F703" t="s">
        <v>133</v>
      </c>
      <c r="G703" t="s">
        <v>128</v>
      </c>
      <c r="H703" t="s">
        <v>285</v>
      </c>
      <c r="I703" t="s">
        <v>77</v>
      </c>
      <c r="J703" t="s">
        <v>286</v>
      </c>
      <c r="K703" t="s">
        <v>57</v>
      </c>
    </row>
    <row r="704" spans="1:11" x14ac:dyDescent="0.35">
      <c r="A704" t="s">
        <v>1102</v>
      </c>
      <c r="B704">
        <v>2024</v>
      </c>
      <c r="C704" t="s">
        <v>1051</v>
      </c>
      <c r="D704" t="s">
        <v>85</v>
      </c>
      <c r="E704" t="s">
        <v>377</v>
      </c>
      <c r="F704" t="s">
        <v>129</v>
      </c>
      <c r="G704" t="s">
        <v>130</v>
      </c>
      <c r="H704" t="s">
        <v>305</v>
      </c>
      <c r="I704" t="s">
        <v>77</v>
      </c>
      <c r="J704" t="s">
        <v>409</v>
      </c>
      <c r="K704" t="s">
        <v>57</v>
      </c>
    </row>
    <row r="705" spans="1:11" x14ac:dyDescent="0.35">
      <c r="A705" t="s">
        <v>1103</v>
      </c>
      <c r="B705">
        <v>2024</v>
      </c>
      <c r="C705" t="s">
        <v>1051</v>
      </c>
      <c r="D705" t="s">
        <v>85</v>
      </c>
      <c r="E705" t="s">
        <v>116</v>
      </c>
      <c r="F705" t="s">
        <v>129</v>
      </c>
      <c r="G705" t="s">
        <v>128</v>
      </c>
      <c r="H705" t="s">
        <v>285</v>
      </c>
      <c r="I705" t="s">
        <v>77</v>
      </c>
      <c r="J705" t="s">
        <v>320</v>
      </c>
      <c r="K705" t="s">
        <v>42</v>
      </c>
    </row>
    <row r="706" spans="1:11" x14ac:dyDescent="0.35">
      <c r="A706" t="s">
        <v>1104</v>
      </c>
      <c r="B706">
        <v>2024</v>
      </c>
      <c r="C706" t="s">
        <v>1051</v>
      </c>
      <c r="D706" t="s">
        <v>85</v>
      </c>
      <c r="E706" t="s">
        <v>116</v>
      </c>
      <c r="F706" t="s">
        <v>125</v>
      </c>
      <c r="G706" t="s">
        <v>128</v>
      </c>
      <c r="H706" t="s">
        <v>285</v>
      </c>
      <c r="I706" t="s">
        <v>77</v>
      </c>
      <c r="J706" t="s">
        <v>317</v>
      </c>
      <c r="K706" t="s">
        <v>57</v>
      </c>
    </row>
    <row r="707" spans="1:11" x14ac:dyDescent="0.35">
      <c r="A707" t="s">
        <v>1105</v>
      </c>
      <c r="B707">
        <v>2024</v>
      </c>
      <c r="C707" t="s">
        <v>1051</v>
      </c>
      <c r="D707" t="s">
        <v>76</v>
      </c>
      <c r="E707" t="s">
        <v>111</v>
      </c>
      <c r="F707" t="s">
        <v>125</v>
      </c>
      <c r="G707" t="s">
        <v>132</v>
      </c>
      <c r="H707" t="s">
        <v>285</v>
      </c>
      <c r="I707" t="s">
        <v>77</v>
      </c>
      <c r="J707" t="s">
        <v>288</v>
      </c>
      <c r="K707" t="s">
        <v>57</v>
      </c>
    </row>
    <row r="708" spans="1:11" x14ac:dyDescent="0.35">
      <c r="A708" t="s">
        <v>1106</v>
      </c>
      <c r="B708">
        <v>2024</v>
      </c>
      <c r="C708" t="s">
        <v>1051</v>
      </c>
      <c r="D708" t="s">
        <v>76</v>
      </c>
      <c r="E708" t="s">
        <v>112</v>
      </c>
      <c r="F708" t="s">
        <v>288</v>
      </c>
      <c r="G708" t="s">
        <v>128</v>
      </c>
      <c r="H708" t="s">
        <v>305</v>
      </c>
      <c r="I708" t="s">
        <v>77</v>
      </c>
      <c r="J708" t="s">
        <v>286</v>
      </c>
      <c r="K708" t="s">
        <v>57</v>
      </c>
    </row>
    <row r="709" spans="1:11" x14ac:dyDescent="0.35">
      <c r="A709" t="s">
        <v>1107</v>
      </c>
      <c r="B709">
        <v>2024</v>
      </c>
      <c r="C709" t="s">
        <v>1051</v>
      </c>
      <c r="D709" t="s">
        <v>85</v>
      </c>
      <c r="E709" t="s">
        <v>116</v>
      </c>
      <c r="F709" t="s">
        <v>129</v>
      </c>
      <c r="G709" t="s">
        <v>128</v>
      </c>
      <c r="H709" t="s">
        <v>285</v>
      </c>
      <c r="I709" t="s">
        <v>289</v>
      </c>
      <c r="J709" t="s">
        <v>286</v>
      </c>
      <c r="K709" t="s">
        <v>57</v>
      </c>
    </row>
    <row r="710" spans="1:11" x14ac:dyDescent="0.35">
      <c r="A710" t="s">
        <v>1108</v>
      </c>
      <c r="B710">
        <v>2024</v>
      </c>
      <c r="C710" t="s">
        <v>1051</v>
      </c>
      <c r="D710" t="s">
        <v>85</v>
      </c>
      <c r="E710" t="s">
        <v>116</v>
      </c>
      <c r="F710" t="s">
        <v>125</v>
      </c>
      <c r="G710" t="s">
        <v>126</v>
      </c>
      <c r="H710" t="s">
        <v>285</v>
      </c>
      <c r="I710" t="s">
        <v>86</v>
      </c>
      <c r="J710" t="s">
        <v>447</v>
      </c>
      <c r="K710" t="s">
        <v>57</v>
      </c>
    </row>
    <row r="711" spans="1:11" x14ac:dyDescent="0.35">
      <c r="A711" t="s">
        <v>1109</v>
      </c>
      <c r="B711">
        <v>2024</v>
      </c>
      <c r="C711" t="s">
        <v>1051</v>
      </c>
      <c r="D711" t="s">
        <v>85</v>
      </c>
      <c r="E711" t="s">
        <v>117</v>
      </c>
      <c r="F711" t="s">
        <v>134</v>
      </c>
      <c r="G711" t="s">
        <v>128</v>
      </c>
      <c r="H711" t="s">
        <v>305</v>
      </c>
      <c r="I711" t="s">
        <v>1110</v>
      </c>
      <c r="J711" t="s">
        <v>286</v>
      </c>
      <c r="K711" t="s">
        <v>57</v>
      </c>
    </row>
    <row r="712" spans="1:11" x14ac:dyDescent="0.35">
      <c r="A712" t="s">
        <v>1111</v>
      </c>
      <c r="B712">
        <v>2024</v>
      </c>
      <c r="C712" t="s">
        <v>1051</v>
      </c>
      <c r="D712" t="s">
        <v>76</v>
      </c>
      <c r="E712" t="s">
        <v>119</v>
      </c>
      <c r="F712" t="s">
        <v>288</v>
      </c>
      <c r="G712" t="s">
        <v>128</v>
      </c>
      <c r="H712" t="s">
        <v>285</v>
      </c>
      <c r="I712" t="s">
        <v>333</v>
      </c>
      <c r="J712" t="s">
        <v>288</v>
      </c>
      <c r="K712" t="s">
        <v>57</v>
      </c>
    </row>
    <row r="713" spans="1:11" x14ac:dyDescent="0.35">
      <c r="A713" t="s">
        <v>1112</v>
      </c>
      <c r="B713">
        <v>2024</v>
      </c>
      <c r="C713" t="s">
        <v>1051</v>
      </c>
      <c r="D713" t="s">
        <v>76</v>
      </c>
      <c r="E713" t="s">
        <v>108</v>
      </c>
      <c r="F713" t="s">
        <v>125</v>
      </c>
      <c r="G713" t="s">
        <v>126</v>
      </c>
      <c r="H713" t="s">
        <v>285</v>
      </c>
      <c r="I713" t="s">
        <v>86</v>
      </c>
      <c r="J713" t="s">
        <v>308</v>
      </c>
      <c r="K713" t="s">
        <v>42</v>
      </c>
    </row>
    <row r="714" spans="1:11" x14ac:dyDescent="0.35">
      <c r="A714" t="s">
        <v>1113</v>
      </c>
      <c r="B714">
        <v>2024</v>
      </c>
      <c r="C714" t="s">
        <v>1051</v>
      </c>
      <c r="D714" t="s">
        <v>76</v>
      </c>
      <c r="E714" t="s">
        <v>119</v>
      </c>
      <c r="F714" t="s">
        <v>129</v>
      </c>
      <c r="G714" t="s">
        <v>130</v>
      </c>
      <c r="H714" t="s">
        <v>285</v>
      </c>
      <c r="I714" t="s">
        <v>535</v>
      </c>
      <c r="J714" t="s">
        <v>286</v>
      </c>
      <c r="K714" t="s">
        <v>57</v>
      </c>
    </row>
    <row r="715" spans="1:11" x14ac:dyDescent="0.35">
      <c r="A715" t="s">
        <v>1114</v>
      </c>
      <c r="B715">
        <v>2024</v>
      </c>
      <c r="C715" t="s">
        <v>1051</v>
      </c>
      <c r="D715" t="s">
        <v>85</v>
      </c>
      <c r="E715" t="s">
        <v>116</v>
      </c>
      <c r="F715" t="s">
        <v>133</v>
      </c>
      <c r="G715" t="s">
        <v>128</v>
      </c>
      <c r="H715" t="s">
        <v>305</v>
      </c>
      <c r="I715" t="s">
        <v>333</v>
      </c>
      <c r="J715" t="s">
        <v>286</v>
      </c>
      <c r="K715" t="s">
        <v>57</v>
      </c>
    </row>
    <row r="716" spans="1:11" x14ac:dyDescent="0.35">
      <c r="A716" t="s">
        <v>1115</v>
      </c>
      <c r="B716">
        <v>2024</v>
      </c>
      <c r="C716" t="s">
        <v>1051</v>
      </c>
      <c r="D716" t="s">
        <v>76</v>
      </c>
      <c r="E716" t="s">
        <v>113</v>
      </c>
      <c r="F716" t="s">
        <v>125</v>
      </c>
      <c r="G716" t="s">
        <v>126</v>
      </c>
      <c r="H716" t="s">
        <v>285</v>
      </c>
      <c r="I716" t="s">
        <v>86</v>
      </c>
      <c r="J716" t="s">
        <v>286</v>
      </c>
      <c r="K716" t="s">
        <v>57</v>
      </c>
    </row>
    <row r="717" spans="1:11" x14ac:dyDescent="0.35">
      <c r="A717" t="s">
        <v>1116</v>
      </c>
      <c r="B717">
        <v>2024</v>
      </c>
      <c r="C717" t="s">
        <v>1051</v>
      </c>
      <c r="D717" t="s">
        <v>85</v>
      </c>
      <c r="E717" t="s">
        <v>116</v>
      </c>
      <c r="F717" t="s">
        <v>129</v>
      </c>
      <c r="G717" t="s">
        <v>130</v>
      </c>
      <c r="H717" t="s">
        <v>285</v>
      </c>
      <c r="I717" t="s">
        <v>289</v>
      </c>
      <c r="J717" t="s">
        <v>1094</v>
      </c>
      <c r="K717" t="s">
        <v>42</v>
      </c>
    </row>
    <row r="718" spans="1:11" x14ac:dyDescent="0.35">
      <c r="A718" t="s">
        <v>1117</v>
      </c>
      <c r="B718">
        <v>2024</v>
      </c>
      <c r="C718" t="s">
        <v>1051</v>
      </c>
      <c r="D718" t="s">
        <v>76</v>
      </c>
      <c r="E718" t="s">
        <v>119</v>
      </c>
      <c r="F718" t="s">
        <v>129</v>
      </c>
      <c r="G718" t="s">
        <v>126</v>
      </c>
      <c r="H718" t="s">
        <v>285</v>
      </c>
      <c r="I718" t="s">
        <v>77</v>
      </c>
      <c r="J718" t="s">
        <v>405</v>
      </c>
      <c r="K718" t="s">
        <v>57</v>
      </c>
    </row>
    <row r="719" spans="1:11" x14ac:dyDescent="0.35">
      <c r="A719" t="s">
        <v>1118</v>
      </c>
      <c r="B719">
        <v>2024</v>
      </c>
      <c r="C719" t="s">
        <v>1051</v>
      </c>
      <c r="D719" t="s">
        <v>85</v>
      </c>
      <c r="E719" t="s">
        <v>120</v>
      </c>
      <c r="F719" t="s">
        <v>131</v>
      </c>
      <c r="G719" t="s">
        <v>128</v>
      </c>
      <c r="H719" t="s">
        <v>305</v>
      </c>
      <c r="I719" t="s">
        <v>77</v>
      </c>
      <c r="J719" t="s">
        <v>409</v>
      </c>
      <c r="K719" t="s">
        <v>57</v>
      </c>
    </row>
    <row r="720" spans="1:11" x14ac:dyDescent="0.35">
      <c r="A720" t="s">
        <v>1119</v>
      </c>
      <c r="B720">
        <v>2024</v>
      </c>
      <c r="C720" t="s">
        <v>1051</v>
      </c>
      <c r="D720" t="s">
        <v>76</v>
      </c>
      <c r="E720" t="s">
        <v>109</v>
      </c>
      <c r="F720" t="s">
        <v>125</v>
      </c>
      <c r="G720" t="s">
        <v>128</v>
      </c>
      <c r="H720" t="s">
        <v>285</v>
      </c>
      <c r="I720" t="s">
        <v>77</v>
      </c>
      <c r="J720" t="s">
        <v>308</v>
      </c>
      <c r="K720" t="s">
        <v>42</v>
      </c>
    </row>
    <row r="721" spans="1:11" x14ac:dyDescent="0.35">
      <c r="A721" t="s">
        <v>1120</v>
      </c>
      <c r="B721">
        <v>2024</v>
      </c>
      <c r="C721" t="s">
        <v>1051</v>
      </c>
      <c r="D721" t="s">
        <v>85</v>
      </c>
      <c r="E721" t="s">
        <v>117</v>
      </c>
      <c r="F721" t="s">
        <v>288</v>
      </c>
      <c r="G721" t="s">
        <v>128</v>
      </c>
      <c r="H721" t="s">
        <v>305</v>
      </c>
      <c r="I721" t="s">
        <v>86</v>
      </c>
      <c r="J721" t="s">
        <v>317</v>
      </c>
      <c r="K721" t="s">
        <v>57</v>
      </c>
    </row>
    <row r="722" spans="1:11" x14ac:dyDescent="0.35">
      <c r="A722" t="s">
        <v>1121</v>
      </c>
      <c r="B722">
        <v>2024</v>
      </c>
      <c r="C722" t="s">
        <v>1051</v>
      </c>
      <c r="D722" t="s">
        <v>85</v>
      </c>
      <c r="E722" t="s">
        <v>116</v>
      </c>
      <c r="F722" t="s">
        <v>129</v>
      </c>
      <c r="G722" t="s">
        <v>128</v>
      </c>
      <c r="H722" t="s">
        <v>285</v>
      </c>
      <c r="I722" t="s">
        <v>289</v>
      </c>
      <c r="J722" t="s">
        <v>286</v>
      </c>
      <c r="K722" t="s">
        <v>57</v>
      </c>
    </row>
    <row r="723" spans="1:11" x14ac:dyDescent="0.35">
      <c r="A723" t="s">
        <v>263</v>
      </c>
      <c r="B723">
        <v>2024</v>
      </c>
      <c r="C723" t="s">
        <v>1051</v>
      </c>
      <c r="D723" t="s">
        <v>85</v>
      </c>
      <c r="E723" t="s">
        <v>116</v>
      </c>
      <c r="F723" t="s">
        <v>127</v>
      </c>
      <c r="G723" t="s">
        <v>128</v>
      </c>
      <c r="H723" t="s">
        <v>285</v>
      </c>
      <c r="I723" t="s">
        <v>77</v>
      </c>
      <c r="J723" t="s">
        <v>317</v>
      </c>
      <c r="K723" t="s">
        <v>57</v>
      </c>
    </row>
    <row r="724" spans="1:11" x14ac:dyDescent="0.35">
      <c r="A724" t="s">
        <v>1122</v>
      </c>
      <c r="B724">
        <v>2024</v>
      </c>
      <c r="C724" t="s">
        <v>1051</v>
      </c>
      <c r="D724" t="s">
        <v>85</v>
      </c>
      <c r="E724" t="s">
        <v>117</v>
      </c>
      <c r="F724" t="s">
        <v>129</v>
      </c>
      <c r="G724" t="s">
        <v>130</v>
      </c>
      <c r="H724" t="s">
        <v>305</v>
      </c>
      <c r="I724" t="s">
        <v>289</v>
      </c>
      <c r="J724" t="s">
        <v>503</v>
      </c>
      <c r="K724" t="s">
        <v>42</v>
      </c>
    </row>
    <row r="725" spans="1:11" x14ac:dyDescent="0.35">
      <c r="A725" t="s">
        <v>1123</v>
      </c>
      <c r="B725">
        <v>2024</v>
      </c>
      <c r="C725" t="s">
        <v>1051</v>
      </c>
      <c r="D725" t="s">
        <v>76</v>
      </c>
      <c r="E725" t="s">
        <v>115</v>
      </c>
      <c r="F725" t="s">
        <v>133</v>
      </c>
      <c r="G725" t="s">
        <v>132</v>
      </c>
      <c r="H725" t="s">
        <v>285</v>
      </c>
      <c r="I725" t="s">
        <v>1124</v>
      </c>
      <c r="J725" t="s">
        <v>286</v>
      </c>
      <c r="K725" t="s">
        <v>57</v>
      </c>
    </row>
    <row r="726" spans="1:11" x14ac:dyDescent="0.35">
      <c r="A726" t="s">
        <v>1125</v>
      </c>
      <c r="B726">
        <v>2024</v>
      </c>
      <c r="C726" t="s">
        <v>1051</v>
      </c>
      <c r="D726" t="s">
        <v>85</v>
      </c>
      <c r="E726" t="s">
        <v>116</v>
      </c>
      <c r="F726" t="s">
        <v>131</v>
      </c>
      <c r="G726" t="s">
        <v>128</v>
      </c>
      <c r="H726" t="s">
        <v>285</v>
      </c>
      <c r="I726" t="s">
        <v>86</v>
      </c>
      <c r="J726" t="s">
        <v>286</v>
      </c>
      <c r="K726" t="s">
        <v>57</v>
      </c>
    </row>
    <row r="727" spans="1:11" x14ac:dyDescent="0.35">
      <c r="A727" t="s">
        <v>1126</v>
      </c>
      <c r="B727">
        <v>2024</v>
      </c>
      <c r="C727" t="s">
        <v>1051</v>
      </c>
      <c r="D727" t="s">
        <v>76</v>
      </c>
      <c r="E727" t="s">
        <v>107</v>
      </c>
      <c r="F727" t="s">
        <v>125</v>
      </c>
      <c r="G727" t="s">
        <v>126</v>
      </c>
      <c r="H727" t="s">
        <v>285</v>
      </c>
      <c r="I727" t="s">
        <v>288</v>
      </c>
      <c r="J727" t="s">
        <v>288</v>
      </c>
      <c r="K727" t="s">
        <v>57</v>
      </c>
    </row>
    <row r="728" spans="1:11" x14ac:dyDescent="0.35">
      <c r="A728" t="s">
        <v>1127</v>
      </c>
      <c r="B728">
        <v>2024</v>
      </c>
      <c r="C728" t="s">
        <v>1051</v>
      </c>
      <c r="D728" t="s">
        <v>76</v>
      </c>
      <c r="E728" t="s">
        <v>108</v>
      </c>
      <c r="F728" t="s">
        <v>125</v>
      </c>
      <c r="G728" t="s">
        <v>132</v>
      </c>
      <c r="H728" t="s">
        <v>285</v>
      </c>
      <c r="I728" t="s">
        <v>288</v>
      </c>
      <c r="J728" t="s">
        <v>286</v>
      </c>
      <c r="K728" t="s">
        <v>57</v>
      </c>
    </row>
    <row r="729" spans="1:11" x14ac:dyDescent="0.35">
      <c r="A729" t="s">
        <v>1128</v>
      </c>
      <c r="B729">
        <v>2024</v>
      </c>
      <c r="C729" t="s">
        <v>1051</v>
      </c>
      <c r="D729" t="s">
        <v>85</v>
      </c>
      <c r="E729" t="s">
        <v>116</v>
      </c>
      <c r="F729" t="s">
        <v>288</v>
      </c>
      <c r="G729" t="s">
        <v>128</v>
      </c>
      <c r="H729" t="s">
        <v>285</v>
      </c>
      <c r="I729" t="s">
        <v>289</v>
      </c>
      <c r="J729" t="s">
        <v>286</v>
      </c>
      <c r="K729" t="s">
        <v>57</v>
      </c>
    </row>
    <row r="730" spans="1:11" x14ac:dyDescent="0.35">
      <c r="A730" t="s">
        <v>1129</v>
      </c>
      <c r="B730">
        <v>2024</v>
      </c>
      <c r="C730" t="s">
        <v>1051</v>
      </c>
      <c r="D730" t="s">
        <v>85</v>
      </c>
      <c r="E730" t="s">
        <v>120</v>
      </c>
      <c r="F730" t="s">
        <v>125</v>
      </c>
      <c r="G730" t="s">
        <v>128</v>
      </c>
      <c r="H730" t="s">
        <v>305</v>
      </c>
      <c r="I730" t="s">
        <v>86</v>
      </c>
      <c r="J730" t="s">
        <v>347</v>
      </c>
      <c r="K730" t="s">
        <v>57</v>
      </c>
    </row>
    <row r="731" spans="1:11" x14ac:dyDescent="0.35">
      <c r="A731" t="s">
        <v>1130</v>
      </c>
      <c r="B731">
        <v>2024</v>
      </c>
      <c r="C731" t="s">
        <v>1051</v>
      </c>
      <c r="D731" t="s">
        <v>85</v>
      </c>
      <c r="E731" t="s">
        <v>377</v>
      </c>
      <c r="F731" t="s">
        <v>129</v>
      </c>
      <c r="G731" t="s">
        <v>128</v>
      </c>
      <c r="H731" t="s">
        <v>305</v>
      </c>
      <c r="I731" t="s">
        <v>86</v>
      </c>
      <c r="J731" t="s">
        <v>286</v>
      </c>
      <c r="K731" t="s">
        <v>57</v>
      </c>
    </row>
    <row r="732" spans="1:11" x14ac:dyDescent="0.35">
      <c r="A732" t="s">
        <v>1131</v>
      </c>
      <c r="B732">
        <v>2024</v>
      </c>
      <c r="C732" t="s">
        <v>1051</v>
      </c>
      <c r="D732" t="s">
        <v>85</v>
      </c>
      <c r="E732" t="s">
        <v>116</v>
      </c>
      <c r="F732" t="s">
        <v>288</v>
      </c>
      <c r="G732" t="s">
        <v>132</v>
      </c>
      <c r="H732" t="s">
        <v>285</v>
      </c>
      <c r="I732" t="s">
        <v>86</v>
      </c>
      <c r="J732" t="s">
        <v>317</v>
      </c>
      <c r="K732" t="s">
        <v>57</v>
      </c>
    </row>
    <row r="733" spans="1:11" x14ac:dyDescent="0.35">
      <c r="A733" t="s">
        <v>1132</v>
      </c>
      <c r="B733">
        <v>2024</v>
      </c>
      <c r="C733" t="s">
        <v>1051</v>
      </c>
      <c r="D733" t="s">
        <v>85</v>
      </c>
      <c r="E733" t="s">
        <v>116</v>
      </c>
      <c r="F733" t="s">
        <v>127</v>
      </c>
      <c r="G733" t="s">
        <v>130</v>
      </c>
      <c r="H733" t="s">
        <v>285</v>
      </c>
      <c r="I733" t="s">
        <v>426</v>
      </c>
      <c r="J733" t="s">
        <v>1133</v>
      </c>
      <c r="K733" t="s">
        <v>42</v>
      </c>
    </row>
    <row r="734" spans="1:11" x14ac:dyDescent="0.35">
      <c r="A734" t="s">
        <v>1134</v>
      </c>
      <c r="B734">
        <v>2024</v>
      </c>
      <c r="C734" t="s">
        <v>1051</v>
      </c>
      <c r="D734" t="s">
        <v>76</v>
      </c>
      <c r="E734" t="s">
        <v>109</v>
      </c>
      <c r="F734" t="s">
        <v>127</v>
      </c>
      <c r="G734" t="s">
        <v>128</v>
      </c>
      <c r="H734" t="s">
        <v>285</v>
      </c>
      <c r="I734" t="s">
        <v>288</v>
      </c>
      <c r="J734" t="s">
        <v>286</v>
      </c>
      <c r="K734" t="s">
        <v>57</v>
      </c>
    </row>
    <row r="735" spans="1:11" x14ac:dyDescent="0.35">
      <c r="A735" t="s">
        <v>1135</v>
      </c>
      <c r="B735">
        <v>2024</v>
      </c>
      <c r="C735" t="s">
        <v>1051</v>
      </c>
      <c r="D735" t="s">
        <v>85</v>
      </c>
      <c r="E735" t="s">
        <v>117</v>
      </c>
      <c r="F735" t="s">
        <v>288</v>
      </c>
      <c r="G735" t="s">
        <v>130</v>
      </c>
      <c r="H735" t="s">
        <v>285</v>
      </c>
      <c r="I735" t="s">
        <v>288</v>
      </c>
      <c r="J735" t="s">
        <v>288</v>
      </c>
      <c r="K735" t="s">
        <v>57</v>
      </c>
    </row>
    <row r="736" spans="1:11" x14ac:dyDescent="0.35">
      <c r="A736" t="s">
        <v>1136</v>
      </c>
      <c r="B736">
        <v>2024</v>
      </c>
      <c r="C736" t="s">
        <v>1051</v>
      </c>
      <c r="D736" t="s">
        <v>76</v>
      </c>
      <c r="E736" t="s">
        <v>107</v>
      </c>
      <c r="F736" t="s">
        <v>127</v>
      </c>
      <c r="G736" t="s">
        <v>126</v>
      </c>
      <c r="H736" t="s">
        <v>285</v>
      </c>
      <c r="I736" t="s">
        <v>288</v>
      </c>
      <c r="J736" t="s">
        <v>286</v>
      </c>
      <c r="K736" t="s">
        <v>57</v>
      </c>
    </row>
    <row r="737" spans="1:11" x14ac:dyDescent="0.35">
      <c r="A737" t="s">
        <v>1137</v>
      </c>
      <c r="B737">
        <v>2024</v>
      </c>
      <c r="C737" t="s">
        <v>1051</v>
      </c>
      <c r="D737" t="s">
        <v>85</v>
      </c>
      <c r="E737" t="s">
        <v>377</v>
      </c>
      <c r="F737" t="s">
        <v>288</v>
      </c>
      <c r="G737" t="s">
        <v>130</v>
      </c>
      <c r="H737" t="s">
        <v>305</v>
      </c>
      <c r="I737" t="s">
        <v>289</v>
      </c>
      <c r="J737" t="s">
        <v>288</v>
      </c>
      <c r="K737" t="s">
        <v>57</v>
      </c>
    </row>
    <row r="738" spans="1:11" x14ac:dyDescent="0.35">
      <c r="A738" t="s">
        <v>1138</v>
      </c>
      <c r="B738">
        <v>2024</v>
      </c>
      <c r="C738" t="s">
        <v>1051</v>
      </c>
      <c r="D738" t="s">
        <v>85</v>
      </c>
      <c r="E738" t="s">
        <v>117</v>
      </c>
      <c r="F738" t="s">
        <v>133</v>
      </c>
      <c r="G738" t="s">
        <v>128</v>
      </c>
      <c r="H738" t="s">
        <v>305</v>
      </c>
      <c r="I738" t="s">
        <v>337</v>
      </c>
      <c r="J738" t="s">
        <v>288</v>
      </c>
      <c r="K738" t="s">
        <v>57</v>
      </c>
    </row>
    <row r="739" spans="1:11" x14ac:dyDescent="0.35">
      <c r="A739" t="s">
        <v>1139</v>
      </c>
      <c r="B739">
        <v>2024</v>
      </c>
      <c r="C739" t="s">
        <v>1051</v>
      </c>
      <c r="D739" t="s">
        <v>85</v>
      </c>
      <c r="E739" t="s">
        <v>120</v>
      </c>
      <c r="F739" t="s">
        <v>125</v>
      </c>
      <c r="G739" t="s">
        <v>128</v>
      </c>
      <c r="H739" t="s">
        <v>305</v>
      </c>
      <c r="I739" t="s">
        <v>86</v>
      </c>
      <c r="J739" t="s">
        <v>286</v>
      </c>
      <c r="K739" t="s">
        <v>57</v>
      </c>
    </row>
    <row r="740" spans="1:11" x14ac:dyDescent="0.35">
      <c r="A740" t="s">
        <v>1140</v>
      </c>
      <c r="B740">
        <v>2024</v>
      </c>
      <c r="C740" t="s">
        <v>1051</v>
      </c>
      <c r="D740" t="s">
        <v>76</v>
      </c>
      <c r="E740" t="s">
        <v>110</v>
      </c>
      <c r="F740" t="s">
        <v>131</v>
      </c>
      <c r="G740" t="s">
        <v>132</v>
      </c>
      <c r="H740" t="s">
        <v>285</v>
      </c>
      <c r="I740" t="s">
        <v>86</v>
      </c>
      <c r="J740" t="s">
        <v>286</v>
      </c>
      <c r="K740" t="s">
        <v>57</v>
      </c>
    </row>
    <row r="741" spans="1:11" x14ac:dyDescent="0.35">
      <c r="A741" t="s">
        <v>1141</v>
      </c>
      <c r="B741">
        <v>2024</v>
      </c>
      <c r="C741" t="s">
        <v>1051</v>
      </c>
      <c r="D741" t="s">
        <v>76</v>
      </c>
      <c r="E741" t="s">
        <v>119</v>
      </c>
      <c r="F741" t="s">
        <v>125</v>
      </c>
      <c r="G741" t="s">
        <v>126</v>
      </c>
      <c r="H741" t="s">
        <v>285</v>
      </c>
      <c r="I741" t="s">
        <v>86</v>
      </c>
      <c r="J741" t="s">
        <v>405</v>
      </c>
      <c r="K741" t="s">
        <v>57</v>
      </c>
    </row>
    <row r="742" spans="1:11" x14ac:dyDescent="0.35">
      <c r="A742" t="s">
        <v>1142</v>
      </c>
      <c r="B742">
        <v>2024</v>
      </c>
      <c r="C742" t="s">
        <v>1051</v>
      </c>
      <c r="D742" t="s">
        <v>85</v>
      </c>
      <c r="E742" t="s">
        <v>116</v>
      </c>
      <c r="F742" t="s">
        <v>127</v>
      </c>
      <c r="G742" t="s">
        <v>128</v>
      </c>
      <c r="H742" t="s">
        <v>285</v>
      </c>
      <c r="I742" t="s">
        <v>86</v>
      </c>
      <c r="J742" t="s">
        <v>405</v>
      </c>
      <c r="K742" t="s">
        <v>57</v>
      </c>
    </row>
    <row r="743" spans="1:11" x14ac:dyDescent="0.35">
      <c r="A743" t="s">
        <v>1143</v>
      </c>
      <c r="B743">
        <v>2024</v>
      </c>
      <c r="C743" t="s">
        <v>1051</v>
      </c>
      <c r="D743" t="s">
        <v>85</v>
      </c>
      <c r="E743" t="s">
        <v>120</v>
      </c>
      <c r="F743" t="s">
        <v>131</v>
      </c>
      <c r="G743" t="s">
        <v>128</v>
      </c>
      <c r="H743" t="s">
        <v>285</v>
      </c>
      <c r="I743" t="s">
        <v>77</v>
      </c>
      <c r="J743" t="s">
        <v>286</v>
      </c>
      <c r="K743" t="s">
        <v>57</v>
      </c>
    </row>
    <row r="744" spans="1:11" x14ac:dyDescent="0.35">
      <c r="A744" t="s">
        <v>1144</v>
      </c>
      <c r="B744">
        <v>2024</v>
      </c>
      <c r="C744" t="s">
        <v>1051</v>
      </c>
      <c r="D744" t="s">
        <v>76</v>
      </c>
      <c r="E744" t="s">
        <v>107</v>
      </c>
      <c r="F744" t="s">
        <v>125</v>
      </c>
      <c r="G744" t="s">
        <v>126</v>
      </c>
      <c r="H744" t="s">
        <v>285</v>
      </c>
      <c r="I744" t="s">
        <v>289</v>
      </c>
      <c r="J744" t="s">
        <v>286</v>
      </c>
      <c r="K744" t="s">
        <v>57</v>
      </c>
    </row>
    <row r="745" spans="1:11" x14ac:dyDescent="0.35">
      <c r="A745" t="s">
        <v>1145</v>
      </c>
      <c r="B745">
        <v>2024</v>
      </c>
      <c r="C745" t="s">
        <v>1051</v>
      </c>
      <c r="D745" t="s">
        <v>76</v>
      </c>
      <c r="E745" t="s">
        <v>107</v>
      </c>
      <c r="F745" t="s">
        <v>129</v>
      </c>
      <c r="G745" t="s">
        <v>128</v>
      </c>
      <c r="H745" t="s">
        <v>285</v>
      </c>
      <c r="I745" t="s">
        <v>86</v>
      </c>
      <c r="J745" t="s">
        <v>286</v>
      </c>
      <c r="K745" t="s">
        <v>57</v>
      </c>
    </row>
    <row r="746" spans="1:11" x14ac:dyDescent="0.35">
      <c r="A746" t="s">
        <v>1146</v>
      </c>
      <c r="B746">
        <v>2024</v>
      </c>
      <c r="C746" t="s">
        <v>1051</v>
      </c>
      <c r="D746" t="s">
        <v>76</v>
      </c>
      <c r="E746" t="s">
        <v>118</v>
      </c>
      <c r="F746" t="s">
        <v>125</v>
      </c>
      <c r="G746" t="s">
        <v>128</v>
      </c>
      <c r="H746" t="s">
        <v>285</v>
      </c>
      <c r="I746" t="s">
        <v>288</v>
      </c>
      <c r="J746" t="s">
        <v>1147</v>
      </c>
      <c r="K746" t="s">
        <v>42</v>
      </c>
    </row>
    <row r="747" spans="1:11" x14ac:dyDescent="0.35">
      <c r="A747" t="s">
        <v>1148</v>
      </c>
      <c r="B747">
        <v>2024</v>
      </c>
      <c r="C747" t="s">
        <v>1051</v>
      </c>
      <c r="D747" t="s">
        <v>85</v>
      </c>
      <c r="E747" t="s">
        <v>117</v>
      </c>
      <c r="F747" t="s">
        <v>131</v>
      </c>
      <c r="G747" t="s">
        <v>130</v>
      </c>
      <c r="H747" t="s">
        <v>305</v>
      </c>
      <c r="I747" t="s">
        <v>1149</v>
      </c>
      <c r="J747" t="s">
        <v>1150</v>
      </c>
      <c r="K747" t="s">
        <v>42</v>
      </c>
    </row>
    <row r="748" spans="1:11" x14ac:dyDescent="0.35">
      <c r="A748" t="s">
        <v>1151</v>
      </c>
      <c r="B748">
        <v>2024</v>
      </c>
      <c r="C748" t="s">
        <v>1051</v>
      </c>
      <c r="D748" t="s">
        <v>76</v>
      </c>
      <c r="E748" t="s">
        <v>115</v>
      </c>
      <c r="F748" t="s">
        <v>127</v>
      </c>
      <c r="G748" t="s">
        <v>130</v>
      </c>
      <c r="H748" t="s">
        <v>357</v>
      </c>
      <c r="I748" t="s">
        <v>77</v>
      </c>
      <c r="J748" t="s">
        <v>326</v>
      </c>
      <c r="K748" t="s">
        <v>57</v>
      </c>
    </row>
    <row r="749" spans="1:11" x14ac:dyDescent="0.35">
      <c r="A749" t="s">
        <v>1152</v>
      </c>
      <c r="B749">
        <v>2024</v>
      </c>
      <c r="C749" t="s">
        <v>1051</v>
      </c>
      <c r="D749" t="s">
        <v>76</v>
      </c>
      <c r="E749" t="s">
        <v>115</v>
      </c>
      <c r="F749" t="s">
        <v>129</v>
      </c>
      <c r="G749" t="s">
        <v>126</v>
      </c>
      <c r="H749" t="s">
        <v>357</v>
      </c>
      <c r="I749" t="s">
        <v>1153</v>
      </c>
      <c r="J749" t="s">
        <v>286</v>
      </c>
      <c r="K749" t="s">
        <v>57</v>
      </c>
    </row>
    <row r="750" spans="1:11" x14ac:dyDescent="0.35">
      <c r="A750" t="s">
        <v>1154</v>
      </c>
      <c r="B750">
        <v>2024</v>
      </c>
      <c r="C750" t="s">
        <v>1051</v>
      </c>
      <c r="D750" t="s">
        <v>76</v>
      </c>
      <c r="E750" t="s">
        <v>107</v>
      </c>
      <c r="F750" t="s">
        <v>125</v>
      </c>
      <c r="G750" t="s">
        <v>128</v>
      </c>
      <c r="H750" t="s">
        <v>305</v>
      </c>
      <c r="I750" t="s">
        <v>288</v>
      </c>
      <c r="J750" t="s">
        <v>286</v>
      </c>
      <c r="K750" t="s">
        <v>57</v>
      </c>
    </row>
    <row r="751" spans="1:11" x14ac:dyDescent="0.35">
      <c r="A751" t="s">
        <v>1155</v>
      </c>
      <c r="B751">
        <v>2024</v>
      </c>
      <c r="C751" t="s">
        <v>1051</v>
      </c>
      <c r="D751" t="s">
        <v>76</v>
      </c>
      <c r="E751" t="s">
        <v>115</v>
      </c>
      <c r="F751" t="s">
        <v>125</v>
      </c>
      <c r="G751" t="s">
        <v>132</v>
      </c>
      <c r="H751" t="s">
        <v>285</v>
      </c>
      <c r="I751" t="s">
        <v>86</v>
      </c>
      <c r="J751" t="s">
        <v>308</v>
      </c>
      <c r="K751" t="s">
        <v>42</v>
      </c>
    </row>
    <row r="752" spans="1:11" x14ac:dyDescent="0.35">
      <c r="A752" t="s">
        <v>1156</v>
      </c>
      <c r="B752">
        <v>2024</v>
      </c>
      <c r="C752" t="s">
        <v>1051</v>
      </c>
      <c r="D752" t="s">
        <v>76</v>
      </c>
      <c r="E752" t="s">
        <v>119</v>
      </c>
      <c r="F752" t="s">
        <v>125</v>
      </c>
      <c r="G752" t="s">
        <v>128</v>
      </c>
      <c r="H752" t="s">
        <v>285</v>
      </c>
      <c r="I752" t="s">
        <v>77</v>
      </c>
      <c r="J752" t="s">
        <v>361</v>
      </c>
      <c r="K752" t="s">
        <v>57</v>
      </c>
    </row>
    <row r="753" spans="1:11" x14ac:dyDescent="0.35">
      <c r="A753" t="s">
        <v>1157</v>
      </c>
      <c r="B753">
        <v>2024</v>
      </c>
      <c r="C753" t="s">
        <v>1051</v>
      </c>
      <c r="D753" t="s">
        <v>85</v>
      </c>
      <c r="E753" t="s">
        <v>116</v>
      </c>
      <c r="F753" t="s">
        <v>131</v>
      </c>
      <c r="G753" t="s">
        <v>130</v>
      </c>
      <c r="H753" t="s">
        <v>285</v>
      </c>
      <c r="I753" t="s">
        <v>731</v>
      </c>
      <c r="J753" t="s">
        <v>286</v>
      </c>
      <c r="K753" t="s">
        <v>57</v>
      </c>
    </row>
    <row r="754" spans="1:11" x14ac:dyDescent="0.35">
      <c r="A754" t="s">
        <v>1158</v>
      </c>
      <c r="B754">
        <v>2024</v>
      </c>
      <c r="C754" t="s">
        <v>1051</v>
      </c>
      <c r="D754" t="s">
        <v>85</v>
      </c>
      <c r="E754" t="s">
        <v>116</v>
      </c>
      <c r="F754" t="s">
        <v>125</v>
      </c>
      <c r="G754" t="s">
        <v>132</v>
      </c>
      <c r="H754" t="s">
        <v>285</v>
      </c>
      <c r="I754" t="s">
        <v>86</v>
      </c>
      <c r="J754" t="s">
        <v>288</v>
      </c>
      <c r="K754" t="s">
        <v>57</v>
      </c>
    </row>
    <row r="755" spans="1:11" x14ac:dyDescent="0.35">
      <c r="A755" t="s">
        <v>1159</v>
      </c>
      <c r="B755">
        <v>2024</v>
      </c>
      <c r="C755" t="s">
        <v>1051</v>
      </c>
      <c r="D755" t="s">
        <v>85</v>
      </c>
      <c r="E755" t="s">
        <v>117</v>
      </c>
      <c r="F755" t="s">
        <v>288</v>
      </c>
      <c r="G755" t="s">
        <v>130</v>
      </c>
      <c r="H755" t="s">
        <v>285</v>
      </c>
      <c r="I755" t="s">
        <v>77</v>
      </c>
      <c r="J755" t="s">
        <v>288</v>
      </c>
      <c r="K755" t="s">
        <v>57</v>
      </c>
    </row>
    <row r="756" spans="1:11" x14ac:dyDescent="0.35">
      <c r="A756" t="s">
        <v>1160</v>
      </c>
      <c r="B756">
        <v>2024</v>
      </c>
      <c r="C756" t="s">
        <v>1051</v>
      </c>
      <c r="D756" t="s">
        <v>85</v>
      </c>
      <c r="E756" t="s">
        <v>120</v>
      </c>
      <c r="F756" t="s">
        <v>288</v>
      </c>
      <c r="G756" t="s">
        <v>126</v>
      </c>
      <c r="H756" t="s">
        <v>305</v>
      </c>
      <c r="I756" t="s">
        <v>333</v>
      </c>
      <c r="J756" t="s">
        <v>286</v>
      </c>
      <c r="K756" t="s">
        <v>57</v>
      </c>
    </row>
    <row r="757" spans="1:11" x14ac:dyDescent="0.35">
      <c r="A757" t="s">
        <v>1161</v>
      </c>
      <c r="B757">
        <v>2024</v>
      </c>
      <c r="C757" t="s">
        <v>1051</v>
      </c>
      <c r="D757" t="s">
        <v>76</v>
      </c>
      <c r="E757" t="s">
        <v>119</v>
      </c>
      <c r="F757" t="s">
        <v>127</v>
      </c>
      <c r="G757" t="s">
        <v>132</v>
      </c>
      <c r="H757" t="s">
        <v>305</v>
      </c>
      <c r="I757" t="s">
        <v>288</v>
      </c>
      <c r="J757" t="s">
        <v>288</v>
      </c>
      <c r="K757" t="s">
        <v>57</v>
      </c>
    </row>
    <row r="758" spans="1:11" x14ac:dyDescent="0.35">
      <c r="A758" t="s">
        <v>1162</v>
      </c>
      <c r="B758">
        <v>2024</v>
      </c>
      <c r="C758" t="s">
        <v>1051</v>
      </c>
      <c r="D758" t="s">
        <v>85</v>
      </c>
      <c r="E758" t="s">
        <v>117</v>
      </c>
      <c r="F758" t="s">
        <v>288</v>
      </c>
      <c r="G758" t="s">
        <v>132</v>
      </c>
      <c r="H758" t="s">
        <v>285</v>
      </c>
      <c r="I758" t="s">
        <v>289</v>
      </c>
      <c r="J758" t="s">
        <v>347</v>
      </c>
      <c r="K758" t="s">
        <v>57</v>
      </c>
    </row>
    <row r="759" spans="1:11" x14ac:dyDescent="0.35">
      <c r="A759" t="s">
        <v>1163</v>
      </c>
      <c r="B759">
        <v>2024</v>
      </c>
      <c r="C759" t="s">
        <v>1051</v>
      </c>
      <c r="D759" t="s">
        <v>85</v>
      </c>
      <c r="E759" t="s">
        <v>117</v>
      </c>
      <c r="F759" t="s">
        <v>127</v>
      </c>
      <c r="G759" t="s">
        <v>130</v>
      </c>
      <c r="H759" t="s">
        <v>285</v>
      </c>
      <c r="I759" t="s">
        <v>86</v>
      </c>
      <c r="J759" t="s">
        <v>403</v>
      </c>
      <c r="K759" t="s">
        <v>57</v>
      </c>
    </row>
    <row r="760" spans="1:11" x14ac:dyDescent="0.35">
      <c r="A760" t="s">
        <v>1164</v>
      </c>
      <c r="B760">
        <v>2024</v>
      </c>
      <c r="C760" t="s">
        <v>1051</v>
      </c>
      <c r="D760" t="s">
        <v>76</v>
      </c>
      <c r="E760" t="s">
        <v>119</v>
      </c>
      <c r="F760" t="s">
        <v>125</v>
      </c>
      <c r="G760" t="s">
        <v>130</v>
      </c>
      <c r="H760" t="s">
        <v>285</v>
      </c>
      <c r="I760" t="s">
        <v>428</v>
      </c>
      <c r="J760" t="s">
        <v>895</v>
      </c>
      <c r="K760" t="s">
        <v>42</v>
      </c>
    </row>
    <row r="761" spans="1:11" x14ac:dyDescent="0.35">
      <c r="A761" t="s">
        <v>1165</v>
      </c>
      <c r="B761">
        <v>2024</v>
      </c>
      <c r="C761" t="s">
        <v>1051</v>
      </c>
      <c r="D761" t="s">
        <v>85</v>
      </c>
      <c r="E761" t="s">
        <v>120</v>
      </c>
      <c r="F761" t="s">
        <v>288</v>
      </c>
      <c r="G761" t="s">
        <v>132</v>
      </c>
      <c r="H761" t="s">
        <v>285</v>
      </c>
      <c r="I761" t="s">
        <v>86</v>
      </c>
      <c r="J761" t="s">
        <v>1166</v>
      </c>
      <c r="K761" t="s">
        <v>42</v>
      </c>
    </row>
    <row r="762" spans="1:11" x14ac:dyDescent="0.35">
      <c r="A762" t="s">
        <v>1167</v>
      </c>
      <c r="B762">
        <v>2024</v>
      </c>
      <c r="C762" t="s">
        <v>1051</v>
      </c>
      <c r="D762" t="s">
        <v>85</v>
      </c>
      <c r="E762" t="s">
        <v>117</v>
      </c>
      <c r="F762" t="s">
        <v>127</v>
      </c>
      <c r="G762" t="s">
        <v>128</v>
      </c>
      <c r="H762" t="s">
        <v>285</v>
      </c>
      <c r="I762" t="s">
        <v>86</v>
      </c>
      <c r="J762" t="s">
        <v>286</v>
      </c>
      <c r="K762" t="s">
        <v>57</v>
      </c>
    </row>
    <row r="763" spans="1:11" x14ac:dyDescent="0.35">
      <c r="A763" t="s">
        <v>1168</v>
      </c>
      <c r="B763">
        <v>2024</v>
      </c>
      <c r="C763" t="s">
        <v>1051</v>
      </c>
      <c r="D763" t="s">
        <v>85</v>
      </c>
      <c r="E763" t="s">
        <v>116</v>
      </c>
      <c r="F763" t="s">
        <v>129</v>
      </c>
      <c r="G763" t="s">
        <v>132</v>
      </c>
      <c r="H763" t="s">
        <v>285</v>
      </c>
      <c r="I763" t="s">
        <v>86</v>
      </c>
      <c r="J763" t="s">
        <v>286</v>
      </c>
      <c r="K763" t="s">
        <v>57</v>
      </c>
    </row>
    <row r="764" spans="1:11" x14ac:dyDescent="0.35">
      <c r="A764" t="s">
        <v>1169</v>
      </c>
      <c r="B764">
        <v>2024</v>
      </c>
      <c r="C764" t="s">
        <v>1051</v>
      </c>
      <c r="D764" t="s">
        <v>76</v>
      </c>
      <c r="E764" t="s">
        <v>119</v>
      </c>
      <c r="F764" t="s">
        <v>127</v>
      </c>
      <c r="G764" t="s">
        <v>126</v>
      </c>
      <c r="H764" t="s">
        <v>305</v>
      </c>
      <c r="I764" t="s">
        <v>86</v>
      </c>
      <c r="J764" t="s">
        <v>1170</v>
      </c>
      <c r="K764" t="s">
        <v>42</v>
      </c>
    </row>
    <row r="765" spans="1:11" x14ac:dyDescent="0.35">
      <c r="A765" t="s">
        <v>1171</v>
      </c>
      <c r="B765">
        <v>2024</v>
      </c>
      <c r="C765" t="s">
        <v>1051</v>
      </c>
      <c r="D765" t="s">
        <v>85</v>
      </c>
      <c r="E765" t="s">
        <v>116</v>
      </c>
      <c r="F765" t="s">
        <v>129</v>
      </c>
      <c r="G765" t="s">
        <v>130</v>
      </c>
      <c r="H765" t="s">
        <v>285</v>
      </c>
      <c r="I765" t="s">
        <v>289</v>
      </c>
      <c r="J765" t="s">
        <v>286</v>
      </c>
      <c r="K765" t="s">
        <v>57</v>
      </c>
    </row>
    <row r="766" spans="1:11" x14ac:dyDescent="0.35">
      <c r="A766" t="s">
        <v>1172</v>
      </c>
      <c r="B766">
        <v>2024</v>
      </c>
      <c r="C766" t="s">
        <v>1051</v>
      </c>
      <c r="D766" t="s">
        <v>85</v>
      </c>
      <c r="E766" t="s">
        <v>116</v>
      </c>
      <c r="F766" t="s">
        <v>127</v>
      </c>
      <c r="G766" t="s">
        <v>130</v>
      </c>
      <c r="H766" t="s">
        <v>285</v>
      </c>
      <c r="I766" t="s">
        <v>86</v>
      </c>
      <c r="J766" t="s">
        <v>326</v>
      </c>
      <c r="K766" t="s">
        <v>57</v>
      </c>
    </row>
    <row r="767" spans="1:11" x14ac:dyDescent="0.35">
      <c r="A767" t="s">
        <v>1173</v>
      </c>
      <c r="B767">
        <v>2024</v>
      </c>
      <c r="C767" t="s">
        <v>1051</v>
      </c>
      <c r="D767" t="s">
        <v>85</v>
      </c>
      <c r="E767" t="s">
        <v>116</v>
      </c>
      <c r="F767" t="s">
        <v>127</v>
      </c>
      <c r="G767" t="s">
        <v>128</v>
      </c>
      <c r="H767" t="s">
        <v>285</v>
      </c>
      <c r="I767" t="s">
        <v>86</v>
      </c>
      <c r="J767" t="s">
        <v>405</v>
      </c>
      <c r="K767" t="s">
        <v>57</v>
      </c>
    </row>
    <row r="768" spans="1:11" x14ac:dyDescent="0.35">
      <c r="A768" t="s">
        <v>1174</v>
      </c>
      <c r="B768">
        <v>2024</v>
      </c>
      <c r="C768" t="s">
        <v>1051</v>
      </c>
      <c r="D768" t="s">
        <v>76</v>
      </c>
      <c r="E768" t="s">
        <v>119</v>
      </c>
      <c r="F768" t="s">
        <v>125</v>
      </c>
      <c r="G768" t="s">
        <v>128</v>
      </c>
      <c r="H768" t="s">
        <v>285</v>
      </c>
      <c r="I768" t="s">
        <v>333</v>
      </c>
      <c r="J768" t="s">
        <v>317</v>
      </c>
      <c r="K768" t="s">
        <v>57</v>
      </c>
    </row>
    <row r="769" spans="1:11" x14ac:dyDescent="0.35">
      <c r="A769" t="s">
        <v>1175</v>
      </c>
      <c r="B769">
        <v>2024</v>
      </c>
      <c r="C769" t="s">
        <v>1051</v>
      </c>
      <c r="D769" t="s">
        <v>76</v>
      </c>
      <c r="E769" t="s">
        <v>107</v>
      </c>
      <c r="F769" t="s">
        <v>127</v>
      </c>
      <c r="G769" t="s">
        <v>126</v>
      </c>
      <c r="H769" t="s">
        <v>285</v>
      </c>
      <c r="I769" t="s">
        <v>77</v>
      </c>
      <c r="J769" t="s">
        <v>286</v>
      </c>
      <c r="K769" t="s">
        <v>57</v>
      </c>
    </row>
    <row r="770" spans="1:11" x14ac:dyDescent="0.35">
      <c r="A770" t="s">
        <v>1176</v>
      </c>
      <c r="B770">
        <v>2024</v>
      </c>
      <c r="C770" t="s">
        <v>1051</v>
      </c>
      <c r="D770" t="s">
        <v>85</v>
      </c>
      <c r="E770" t="s">
        <v>120</v>
      </c>
      <c r="F770" t="s">
        <v>129</v>
      </c>
      <c r="G770" t="s">
        <v>130</v>
      </c>
      <c r="H770" t="s">
        <v>285</v>
      </c>
      <c r="I770" t="s">
        <v>289</v>
      </c>
      <c r="J770" t="s">
        <v>326</v>
      </c>
      <c r="K770" t="s">
        <v>57</v>
      </c>
    </row>
    <row r="771" spans="1:11" x14ac:dyDescent="0.35">
      <c r="A771" t="s">
        <v>1177</v>
      </c>
      <c r="B771">
        <v>2024</v>
      </c>
      <c r="C771" t="s">
        <v>1051</v>
      </c>
      <c r="D771" t="s">
        <v>85</v>
      </c>
      <c r="E771" t="s">
        <v>120</v>
      </c>
      <c r="F771" t="s">
        <v>129</v>
      </c>
      <c r="G771" t="s">
        <v>128</v>
      </c>
      <c r="H771" t="s">
        <v>285</v>
      </c>
      <c r="I771" t="s">
        <v>77</v>
      </c>
      <c r="J771" t="s">
        <v>286</v>
      </c>
      <c r="K771" t="s">
        <v>57</v>
      </c>
    </row>
    <row r="772" spans="1:11" x14ac:dyDescent="0.35">
      <c r="A772" t="s">
        <v>1178</v>
      </c>
      <c r="B772">
        <v>2024</v>
      </c>
      <c r="C772" t="s">
        <v>1051</v>
      </c>
      <c r="D772" t="s">
        <v>76</v>
      </c>
      <c r="E772" t="s">
        <v>119</v>
      </c>
      <c r="F772" t="s">
        <v>125</v>
      </c>
      <c r="G772" t="s">
        <v>126</v>
      </c>
      <c r="H772" t="s">
        <v>285</v>
      </c>
      <c r="I772" t="s">
        <v>77</v>
      </c>
      <c r="J772" t="s">
        <v>286</v>
      </c>
      <c r="K772" t="s">
        <v>57</v>
      </c>
    </row>
    <row r="773" spans="1:11" x14ac:dyDescent="0.35">
      <c r="A773" t="s">
        <v>1179</v>
      </c>
      <c r="B773">
        <v>2024</v>
      </c>
      <c r="C773" t="s">
        <v>1051</v>
      </c>
      <c r="D773" t="s">
        <v>76</v>
      </c>
      <c r="E773" t="s">
        <v>110</v>
      </c>
      <c r="F773" t="s">
        <v>125</v>
      </c>
      <c r="G773" t="s">
        <v>126</v>
      </c>
      <c r="H773" t="s">
        <v>285</v>
      </c>
      <c r="I773" t="s">
        <v>77</v>
      </c>
      <c r="J773" t="s">
        <v>286</v>
      </c>
      <c r="K773" t="s">
        <v>57</v>
      </c>
    </row>
    <row r="774" spans="1:11" x14ac:dyDescent="0.35">
      <c r="A774" t="s">
        <v>1180</v>
      </c>
      <c r="B774">
        <v>2024</v>
      </c>
      <c r="C774" t="s">
        <v>1051</v>
      </c>
      <c r="D774" t="s">
        <v>85</v>
      </c>
      <c r="E774" t="s">
        <v>120</v>
      </c>
      <c r="F774" t="s">
        <v>131</v>
      </c>
      <c r="G774" t="s">
        <v>126</v>
      </c>
      <c r="H774" t="s">
        <v>285</v>
      </c>
      <c r="I774" t="s">
        <v>77</v>
      </c>
      <c r="J774" t="s">
        <v>286</v>
      </c>
      <c r="K774" t="s">
        <v>57</v>
      </c>
    </row>
    <row r="775" spans="1:11" x14ac:dyDescent="0.35">
      <c r="A775" t="s">
        <v>1181</v>
      </c>
      <c r="B775">
        <v>2024</v>
      </c>
      <c r="C775" t="s">
        <v>1051</v>
      </c>
      <c r="D775" t="s">
        <v>85</v>
      </c>
      <c r="E775" t="s">
        <v>116</v>
      </c>
      <c r="F775" t="s">
        <v>129</v>
      </c>
      <c r="G775" t="s">
        <v>132</v>
      </c>
      <c r="H775" t="s">
        <v>285</v>
      </c>
      <c r="I775" t="s">
        <v>426</v>
      </c>
      <c r="J775" t="s">
        <v>286</v>
      </c>
      <c r="K775" t="s">
        <v>57</v>
      </c>
    </row>
    <row r="776" spans="1:11" x14ac:dyDescent="0.35">
      <c r="A776" t="s">
        <v>1182</v>
      </c>
      <c r="B776">
        <v>2024</v>
      </c>
      <c r="C776" t="s">
        <v>1051</v>
      </c>
      <c r="D776" t="s">
        <v>85</v>
      </c>
      <c r="E776" t="s">
        <v>377</v>
      </c>
      <c r="F776" t="s">
        <v>129</v>
      </c>
      <c r="G776" t="s">
        <v>128</v>
      </c>
      <c r="H776" t="s">
        <v>285</v>
      </c>
      <c r="I776" t="s">
        <v>288</v>
      </c>
      <c r="J776" t="s">
        <v>295</v>
      </c>
      <c r="K776" t="s">
        <v>57</v>
      </c>
    </row>
    <row r="777" spans="1:11" x14ac:dyDescent="0.35">
      <c r="A777" t="s">
        <v>1183</v>
      </c>
      <c r="B777">
        <v>2024</v>
      </c>
      <c r="C777" t="s">
        <v>1051</v>
      </c>
      <c r="D777" t="s">
        <v>85</v>
      </c>
      <c r="E777" t="s">
        <v>117</v>
      </c>
      <c r="F777" t="s">
        <v>288</v>
      </c>
      <c r="G777" t="s">
        <v>128</v>
      </c>
      <c r="H777" t="s">
        <v>285</v>
      </c>
      <c r="I777" t="s">
        <v>288</v>
      </c>
      <c r="J777" t="s">
        <v>288</v>
      </c>
      <c r="K777" t="s">
        <v>57</v>
      </c>
    </row>
    <row r="778" spans="1:11" x14ac:dyDescent="0.35">
      <c r="A778" t="s">
        <v>1184</v>
      </c>
      <c r="B778">
        <v>2024</v>
      </c>
      <c r="C778" t="s">
        <v>1051</v>
      </c>
      <c r="D778" t="s">
        <v>85</v>
      </c>
      <c r="E778" t="s">
        <v>116</v>
      </c>
      <c r="F778" t="s">
        <v>127</v>
      </c>
      <c r="G778" t="s">
        <v>132</v>
      </c>
      <c r="H778" t="s">
        <v>285</v>
      </c>
      <c r="I778" t="s">
        <v>289</v>
      </c>
      <c r="J778" t="s">
        <v>286</v>
      </c>
      <c r="K778" t="s">
        <v>57</v>
      </c>
    </row>
    <row r="779" spans="1:11" x14ac:dyDescent="0.35">
      <c r="A779" t="s">
        <v>1185</v>
      </c>
      <c r="B779">
        <v>2024</v>
      </c>
      <c r="C779" t="s">
        <v>1051</v>
      </c>
      <c r="D779" t="s">
        <v>76</v>
      </c>
      <c r="E779" t="s">
        <v>110</v>
      </c>
      <c r="F779" t="s">
        <v>125</v>
      </c>
      <c r="G779" t="s">
        <v>128</v>
      </c>
      <c r="H779" t="s">
        <v>285</v>
      </c>
      <c r="I779" t="s">
        <v>86</v>
      </c>
      <c r="J779" t="s">
        <v>295</v>
      </c>
      <c r="K779" t="s">
        <v>57</v>
      </c>
    </row>
    <row r="780" spans="1:11" x14ac:dyDescent="0.35">
      <c r="A780" t="s">
        <v>1186</v>
      </c>
      <c r="B780">
        <v>2024</v>
      </c>
      <c r="C780" t="s">
        <v>1051</v>
      </c>
      <c r="D780" t="s">
        <v>85</v>
      </c>
      <c r="E780" t="s">
        <v>117</v>
      </c>
      <c r="F780" t="s">
        <v>133</v>
      </c>
      <c r="G780" t="s">
        <v>128</v>
      </c>
      <c r="H780" t="s">
        <v>285</v>
      </c>
      <c r="I780" t="s">
        <v>337</v>
      </c>
      <c r="J780" t="s">
        <v>1187</v>
      </c>
      <c r="K780" t="s">
        <v>42</v>
      </c>
    </row>
    <row r="781" spans="1:11" x14ac:dyDescent="0.35">
      <c r="A781" t="s">
        <v>1188</v>
      </c>
      <c r="B781">
        <v>2024</v>
      </c>
      <c r="C781" t="s">
        <v>1051</v>
      </c>
      <c r="D781" t="s">
        <v>85</v>
      </c>
      <c r="E781" t="s">
        <v>116</v>
      </c>
      <c r="F781" t="s">
        <v>131</v>
      </c>
      <c r="G781" t="s">
        <v>128</v>
      </c>
      <c r="H781" t="s">
        <v>285</v>
      </c>
      <c r="I781" t="s">
        <v>77</v>
      </c>
      <c r="J781" t="s">
        <v>286</v>
      </c>
      <c r="K781" t="s">
        <v>57</v>
      </c>
    </row>
    <row r="782" spans="1:11" x14ac:dyDescent="0.35">
      <c r="A782" t="s">
        <v>1189</v>
      </c>
      <c r="B782">
        <v>2024</v>
      </c>
      <c r="C782" t="s">
        <v>1051</v>
      </c>
      <c r="D782" t="s">
        <v>85</v>
      </c>
      <c r="E782" t="s">
        <v>116</v>
      </c>
      <c r="F782" t="s">
        <v>288</v>
      </c>
      <c r="G782" t="s">
        <v>128</v>
      </c>
      <c r="H782" t="s">
        <v>305</v>
      </c>
      <c r="I782" t="s">
        <v>289</v>
      </c>
      <c r="J782" t="s">
        <v>1190</v>
      </c>
      <c r="K782" t="s">
        <v>57</v>
      </c>
    </row>
    <row r="783" spans="1:11" x14ac:dyDescent="0.35">
      <c r="A783" t="s">
        <v>1191</v>
      </c>
      <c r="B783">
        <v>2024</v>
      </c>
      <c r="C783" t="s">
        <v>1051</v>
      </c>
      <c r="D783" t="s">
        <v>85</v>
      </c>
      <c r="E783" t="s">
        <v>120</v>
      </c>
      <c r="F783" t="s">
        <v>129</v>
      </c>
      <c r="G783" t="s">
        <v>128</v>
      </c>
      <c r="H783" t="s">
        <v>285</v>
      </c>
      <c r="I783" t="s">
        <v>288</v>
      </c>
      <c r="J783" t="s">
        <v>286</v>
      </c>
      <c r="K783" t="s">
        <v>57</v>
      </c>
    </row>
    <row r="784" spans="1:11" x14ac:dyDescent="0.35">
      <c r="A784" t="s">
        <v>1192</v>
      </c>
      <c r="B784">
        <v>2024</v>
      </c>
      <c r="C784" t="s">
        <v>1051</v>
      </c>
      <c r="D784" t="s">
        <v>85</v>
      </c>
      <c r="E784" t="s">
        <v>116</v>
      </c>
      <c r="F784" t="s">
        <v>129</v>
      </c>
      <c r="G784" t="s">
        <v>130</v>
      </c>
      <c r="H784" t="s">
        <v>285</v>
      </c>
      <c r="I784" t="s">
        <v>289</v>
      </c>
      <c r="J784" t="s">
        <v>288</v>
      </c>
      <c r="K784" t="s">
        <v>57</v>
      </c>
    </row>
    <row r="785" spans="1:11" x14ac:dyDescent="0.35">
      <c r="A785" t="s">
        <v>1193</v>
      </c>
      <c r="B785">
        <v>2024</v>
      </c>
      <c r="C785" t="s">
        <v>1051</v>
      </c>
      <c r="D785" t="s">
        <v>85</v>
      </c>
      <c r="E785" t="s">
        <v>117</v>
      </c>
      <c r="F785" t="s">
        <v>129</v>
      </c>
      <c r="G785" t="s">
        <v>128</v>
      </c>
      <c r="H785" t="s">
        <v>305</v>
      </c>
      <c r="I785" t="s">
        <v>86</v>
      </c>
      <c r="J785" t="s">
        <v>317</v>
      </c>
      <c r="K785" t="s">
        <v>57</v>
      </c>
    </row>
    <row r="786" spans="1:11" x14ac:dyDescent="0.35">
      <c r="A786" t="s">
        <v>1194</v>
      </c>
      <c r="B786">
        <v>2024</v>
      </c>
      <c r="C786" t="s">
        <v>1051</v>
      </c>
      <c r="D786" t="s">
        <v>85</v>
      </c>
      <c r="E786" t="s">
        <v>120</v>
      </c>
      <c r="F786" t="s">
        <v>131</v>
      </c>
      <c r="G786" t="s">
        <v>128</v>
      </c>
      <c r="H786" t="s">
        <v>305</v>
      </c>
      <c r="I786" t="s">
        <v>333</v>
      </c>
      <c r="J786" t="s">
        <v>361</v>
      </c>
      <c r="K786" t="s">
        <v>57</v>
      </c>
    </row>
    <row r="787" spans="1:11" x14ac:dyDescent="0.35">
      <c r="A787" t="s">
        <v>1195</v>
      </c>
      <c r="B787">
        <v>2024</v>
      </c>
      <c r="C787" t="s">
        <v>1051</v>
      </c>
      <c r="D787" t="s">
        <v>76</v>
      </c>
      <c r="E787" t="s">
        <v>599</v>
      </c>
      <c r="F787" t="s">
        <v>127</v>
      </c>
      <c r="G787" t="s">
        <v>130</v>
      </c>
      <c r="H787" t="s">
        <v>285</v>
      </c>
      <c r="I787" t="s">
        <v>86</v>
      </c>
      <c r="J787" t="s">
        <v>308</v>
      </c>
      <c r="K787" t="s">
        <v>42</v>
      </c>
    </row>
    <row r="788" spans="1:11" x14ac:dyDescent="0.35">
      <c r="A788" t="s">
        <v>1196</v>
      </c>
      <c r="B788">
        <v>2024</v>
      </c>
      <c r="C788" t="s">
        <v>1051</v>
      </c>
      <c r="D788" t="s">
        <v>85</v>
      </c>
      <c r="E788" t="s">
        <v>377</v>
      </c>
      <c r="F788" t="s">
        <v>288</v>
      </c>
      <c r="G788" t="s">
        <v>132</v>
      </c>
      <c r="H788" t="s">
        <v>305</v>
      </c>
      <c r="I788" t="s">
        <v>289</v>
      </c>
      <c r="J788" t="s">
        <v>347</v>
      </c>
      <c r="K788" t="s">
        <v>57</v>
      </c>
    </row>
    <row r="789" spans="1:11" x14ac:dyDescent="0.35">
      <c r="A789" t="s">
        <v>1197</v>
      </c>
      <c r="B789">
        <v>2024</v>
      </c>
      <c r="C789" t="s">
        <v>1051</v>
      </c>
      <c r="D789" t="s">
        <v>76</v>
      </c>
      <c r="E789" t="s">
        <v>107</v>
      </c>
      <c r="F789" t="s">
        <v>125</v>
      </c>
      <c r="G789" t="s">
        <v>128</v>
      </c>
      <c r="H789" t="s">
        <v>285</v>
      </c>
      <c r="I789" t="s">
        <v>288</v>
      </c>
      <c r="J789" t="s">
        <v>317</v>
      </c>
      <c r="K789" t="s">
        <v>57</v>
      </c>
    </row>
    <row r="790" spans="1:11" x14ac:dyDescent="0.35">
      <c r="A790" t="s">
        <v>1198</v>
      </c>
      <c r="B790">
        <v>2024</v>
      </c>
      <c r="C790" t="s">
        <v>1051</v>
      </c>
      <c r="D790" t="s">
        <v>76</v>
      </c>
      <c r="E790" t="s">
        <v>108</v>
      </c>
      <c r="F790" t="s">
        <v>125</v>
      </c>
      <c r="G790" t="s">
        <v>128</v>
      </c>
      <c r="H790" t="s">
        <v>285</v>
      </c>
      <c r="I790" t="s">
        <v>77</v>
      </c>
      <c r="J790" t="s">
        <v>286</v>
      </c>
      <c r="K790" t="s">
        <v>57</v>
      </c>
    </row>
    <row r="791" spans="1:11" x14ac:dyDescent="0.35">
      <c r="A791" t="s">
        <v>1199</v>
      </c>
      <c r="B791">
        <v>2024</v>
      </c>
      <c r="C791" t="s">
        <v>1051</v>
      </c>
      <c r="D791" t="s">
        <v>85</v>
      </c>
      <c r="E791" t="s">
        <v>344</v>
      </c>
      <c r="F791" t="s">
        <v>131</v>
      </c>
      <c r="G791" t="s">
        <v>128</v>
      </c>
      <c r="H791" t="s">
        <v>305</v>
      </c>
      <c r="I791" t="s">
        <v>77</v>
      </c>
      <c r="J791" t="s">
        <v>326</v>
      </c>
      <c r="K791" t="s">
        <v>57</v>
      </c>
    </row>
    <row r="792" spans="1:11" x14ac:dyDescent="0.35">
      <c r="A792" t="s">
        <v>1200</v>
      </c>
      <c r="B792">
        <v>2024</v>
      </c>
      <c r="C792" t="s">
        <v>1051</v>
      </c>
      <c r="D792" t="s">
        <v>85</v>
      </c>
      <c r="E792" t="s">
        <v>117</v>
      </c>
      <c r="F792" t="s">
        <v>129</v>
      </c>
      <c r="G792" t="s">
        <v>128</v>
      </c>
      <c r="H792" t="s">
        <v>305</v>
      </c>
      <c r="I792" t="s">
        <v>86</v>
      </c>
      <c r="J792" t="s">
        <v>288</v>
      </c>
      <c r="K792" t="s">
        <v>57</v>
      </c>
    </row>
    <row r="793" spans="1:11" x14ac:dyDescent="0.35">
      <c r="A793" t="s">
        <v>1201</v>
      </c>
      <c r="B793">
        <v>2024</v>
      </c>
      <c r="C793" t="s">
        <v>1051</v>
      </c>
      <c r="D793" t="s">
        <v>85</v>
      </c>
      <c r="E793" t="s">
        <v>117</v>
      </c>
      <c r="F793" t="s">
        <v>129</v>
      </c>
      <c r="G793" t="s">
        <v>128</v>
      </c>
      <c r="H793" t="s">
        <v>305</v>
      </c>
      <c r="I793" t="s">
        <v>86</v>
      </c>
      <c r="J793" t="s">
        <v>317</v>
      </c>
      <c r="K793" t="s">
        <v>57</v>
      </c>
    </row>
    <row r="794" spans="1:11" x14ac:dyDescent="0.35">
      <c r="A794" t="s">
        <v>1202</v>
      </c>
      <c r="B794">
        <v>2024</v>
      </c>
      <c r="C794" t="s">
        <v>1051</v>
      </c>
      <c r="D794" t="s">
        <v>76</v>
      </c>
      <c r="E794" t="s">
        <v>115</v>
      </c>
      <c r="F794" t="s">
        <v>131</v>
      </c>
      <c r="G794" t="s">
        <v>126</v>
      </c>
      <c r="H794" t="s">
        <v>285</v>
      </c>
      <c r="I794" t="s">
        <v>77</v>
      </c>
      <c r="J794" t="s">
        <v>286</v>
      </c>
      <c r="K794" t="s">
        <v>57</v>
      </c>
    </row>
    <row r="795" spans="1:11" x14ac:dyDescent="0.35">
      <c r="A795" t="s">
        <v>1203</v>
      </c>
      <c r="B795">
        <v>2024</v>
      </c>
      <c r="C795" t="s">
        <v>1051</v>
      </c>
      <c r="D795" t="s">
        <v>76</v>
      </c>
      <c r="E795" t="s">
        <v>112</v>
      </c>
      <c r="F795" t="s">
        <v>288</v>
      </c>
      <c r="G795" t="s">
        <v>128</v>
      </c>
      <c r="H795" t="s">
        <v>285</v>
      </c>
      <c r="I795" t="s">
        <v>289</v>
      </c>
      <c r="J795" t="s">
        <v>288</v>
      </c>
      <c r="K795" t="s">
        <v>57</v>
      </c>
    </row>
    <row r="796" spans="1:11" x14ac:dyDescent="0.35">
      <c r="A796" t="s">
        <v>1204</v>
      </c>
      <c r="B796">
        <v>2024</v>
      </c>
      <c r="C796" t="s">
        <v>1051</v>
      </c>
      <c r="D796" t="s">
        <v>76</v>
      </c>
      <c r="E796" t="s">
        <v>111</v>
      </c>
      <c r="F796" t="s">
        <v>125</v>
      </c>
      <c r="G796" t="s">
        <v>130</v>
      </c>
      <c r="H796" t="s">
        <v>285</v>
      </c>
      <c r="I796" t="s">
        <v>86</v>
      </c>
      <c r="J796" t="s">
        <v>312</v>
      </c>
      <c r="K796" t="s">
        <v>42</v>
      </c>
    </row>
    <row r="797" spans="1:11" x14ac:dyDescent="0.35">
      <c r="A797" t="s">
        <v>1205</v>
      </c>
      <c r="B797">
        <v>2024</v>
      </c>
      <c r="C797" t="s">
        <v>1051</v>
      </c>
      <c r="D797" t="s">
        <v>76</v>
      </c>
      <c r="E797" t="s">
        <v>115</v>
      </c>
      <c r="F797" t="s">
        <v>127</v>
      </c>
      <c r="G797" t="s">
        <v>130</v>
      </c>
      <c r="H797" t="s">
        <v>285</v>
      </c>
      <c r="I797" t="s">
        <v>77</v>
      </c>
      <c r="J797" t="s">
        <v>286</v>
      </c>
      <c r="K797" t="s">
        <v>57</v>
      </c>
    </row>
    <row r="798" spans="1:11" x14ac:dyDescent="0.35">
      <c r="A798" t="s">
        <v>1206</v>
      </c>
      <c r="B798">
        <v>2024</v>
      </c>
      <c r="C798" t="s">
        <v>1051</v>
      </c>
      <c r="D798" t="s">
        <v>76</v>
      </c>
      <c r="E798" t="s">
        <v>107</v>
      </c>
      <c r="F798" t="s">
        <v>125</v>
      </c>
      <c r="G798" t="s">
        <v>128</v>
      </c>
      <c r="H798" t="s">
        <v>285</v>
      </c>
      <c r="I798" t="s">
        <v>77</v>
      </c>
      <c r="J798" t="s">
        <v>308</v>
      </c>
      <c r="K798" t="s">
        <v>42</v>
      </c>
    </row>
    <row r="799" spans="1:11" x14ac:dyDescent="0.35">
      <c r="A799" t="s">
        <v>1207</v>
      </c>
      <c r="B799">
        <v>2024</v>
      </c>
      <c r="C799" t="s">
        <v>1051</v>
      </c>
      <c r="D799" t="s">
        <v>76</v>
      </c>
      <c r="E799" t="s">
        <v>114</v>
      </c>
      <c r="F799" t="s">
        <v>125</v>
      </c>
      <c r="G799" t="s">
        <v>132</v>
      </c>
      <c r="H799" t="s">
        <v>285</v>
      </c>
      <c r="I799" t="s">
        <v>638</v>
      </c>
      <c r="J799" t="s">
        <v>286</v>
      </c>
      <c r="K799" t="s">
        <v>57</v>
      </c>
    </row>
    <row r="800" spans="1:11" x14ac:dyDescent="0.35">
      <c r="A800" t="s">
        <v>1208</v>
      </c>
      <c r="B800">
        <v>2024</v>
      </c>
      <c r="C800" t="s">
        <v>1051</v>
      </c>
      <c r="D800" t="s">
        <v>76</v>
      </c>
      <c r="E800" t="s">
        <v>119</v>
      </c>
      <c r="F800" t="s">
        <v>127</v>
      </c>
      <c r="G800" t="s">
        <v>128</v>
      </c>
      <c r="H800" t="s">
        <v>285</v>
      </c>
      <c r="I800" t="s">
        <v>288</v>
      </c>
      <c r="J800" t="s">
        <v>286</v>
      </c>
      <c r="K800" t="s">
        <v>57</v>
      </c>
    </row>
    <row r="801" spans="1:11" x14ac:dyDescent="0.35">
      <c r="A801" t="s">
        <v>1209</v>
      </c>
      <c r="B801">
        <v>2024</v>
      </c>
      <c r="C801" t="s">
        <v>1051</v>
      </c>
      <c r="D801" t="s">
        <v>85</v>
      </c>
      <c r="E801" t="s">
        <v>120</v>
      </c>
      <c r="F801" t="s">
        <v>127</v>
      </c>
      <c r="G801" t="s">
        <v>130</v>
      </c>
      <c r="H801" t="s">
        <v>305</v>
      </c>
      <c r="I801" t="s">
        <v>319</v>
      </c>
      <c r="J801" t="s">
        <v>286</v>
      </c>
      <c r="K801" t="s">
        <v>57</v>
      </c>
    </row>
    <row r="802" spans="1:11" x14ac:dyDescent="0.35">
      <c r="A802" t="s">
        <v>1210</v>
      </c>
      <c r="B802">
        <v>2024</v>
      </c>
      <c r="C802" t="s">
        <v>1051</v>
      </c>
      <c r="D802" t="s">
        <v>76</v>
      </c>
      <c r="E802" t="s">
        <v>112</v>
      </c>
      <c r="F802" t="s">
        <v>131</v>
      </c>
      <c r="G802" t="s">
        <v>128</v>
      </c>
      <c r="H802" t="s">
        <v>305</v>
      </c>
      <c r="I802" t="s">
        <v>77</v>
      </c>
      <c r="J802" t="s">
        <v>286</v>
      </c>
      <c r="K802" t="s">
        <v>57</v>
      </c>
    </row>
    <row r="803" spans="1:11" x14ac:dyDescent="0.35">
      <c r="A803" t="s">
        <v>1211</v>
      </c>
      <c r="B803">
        <v>2024</v>
      </c>
      <c r="C803" t="s">
        <v>1051</v>
      </c>
      <c r="D803" t="s">
        <v>85</v>
      </c>
      <c r="E803" t="s">
        <v>117</v>
      </c>
      <c r="F803" t="s">
        <v>288</v>
      </c>
      <c r="G803" t="s">
        <v>132</v>
      </c>
      <c r="H803" t="s">
        <v>305</v>
      </c>
      <c r="I803" t="s">
        <v>86</v>
      </c>
      <c r="J803" t="s">
        <v>403</v>
      </c>
      <c r="K803" t="s">
        <v>57</v>
      </c>
    </row>
    <row r="804" spans="1:11" x14ac:dyDescent="0.35">
      <c r="A804" t="s">
        <v>1212</v>
      </c>
      <c r="B804">
        <v>2024</v>
      </c>
      <c r="C804" t="s">
        <v>1051</v>
      </c>
      <c r="D804" t="s">
        <v>85</v>
      </c>
      <c r="E804" t="s">
        <v>117</v>
      </c>
      <c r="F804" t="s">
        <v>288</v>
      </c>
      <c r="G804" t="s">
        <v>132</v>
      </c>
      <c r="H804" t="s">
        <v>285</v>
      </c>
      <c r="I804" t="s">
        <v>86</v>
      </c>
      <c r="J804" t="s">
        <v>286</v>
      </c>
      <c r="K804" t="s">
        <v>57</v>
      </c>
    </row>
    <row r="805" spans="1:11" x14ac:dyDescent="0.35">
      <c r="A805" t="s">
        <v>1213</v>
      </c>
      <c r="B805">
        <v>2024</v>
      </c>
      <c r="C805" t="s">
        <v>1051</v>
      </c>
      <c r="D805" t="s">
        <v>85</v>
      </c>
      <c r="E805" t="s">
        <v>117</v>
      </c>
      <c r="F805" t="s">
        <v>288</v>
      </c>
      <c r="G805" t="s">
        <v>126</v>
      </c>
      <c r="H805" t="s">
        <v>285</v>
      </c>
      <c r="I805" t="s">
        <v>86</v>
      </c>
      <c r="J805" t="s">
        <v>286</v>
      </c>
      <c r="K805" t="s">
        <v>57</v>
      </c>
    </row>
    <row r="806" spans="1:11" x14ac:dyDescent="0.35">
      <c r="A806" t="s">
        <v>1214</v>
      </c>
      <c r="B806">
        <v>2024</v>
      </c>
      <c r="C806" t="s">
        <v>1051</v>
      </c>
      <c r="D806" t="s">
        <v>85</v>
      </c>
      <c r="E806" t="s">
        <v>120</v>
      </c>
      <c r="F806" t="s">
        <v>129</v>
      </c>
      <c r="G806" t="s">
        <v>128</v>
      </c>
      <c r="H806" t="s">
        <v>305</v>
      </c>
      <c r="I806" t="s">
        <v>77</v>
      </c>
      <c r="J806" t="s">
        <v>286</v>
      </c>
      <c r="K806" t="s">
        <v>57</v>
      </c>
    </row>
    <row r="807" spans="1:11" x14ac:dyDescent="0.35">
      <c r="A807" t="s">
        <v>1215</v>
      </c>
      <c r="B807">
        <v>2024</v>
      </c>
      <c r="C807" t="s">
        <v>1051</v>
      </c>
      <c r="D807" t="s">
        <v>85</v>
      </c>
      <c r="E807" t="s">
        <v>120</v>
      </c>
      <c r="F807" t="s">
        <v>127</v>
      </c>
      <c r="G807" t="s">
        <v>128</v>
      </c>
      <c r="H807" t="s">
        <v>285</v>
      </c>
      <c r="I807" t="s">
        <v>77</v>
      </c>
      <c r="J807" t="s">
        <v>286</v>
      </c>
      <c r="K807" t="s">
        <v>57</v>
      </c>
    </row>
    <row r="808" spans="1:11" x14ac:dyDescent="0.35">
      <c r="A808" t="s">
        <v>1216</v>
      </c>
      <c r="B808">
        <v>2024</v>
      </c>
      <c r="C808" t="s">
        <v>1051</v>
      </c>
      <c r="D808" t="s">
        <v>85</v>
      </c>
      <c r="E808" t="s">
        <v>120</v>
      </c>
      <c r="F808" t="s">
        <v>127</v>
      </c>
      <c r="G808" t="s">
        <v>128</v>
      </c>
      <c r="H808" t="s">
        <v>285</v>
      </c>
      <c r="I808" t="s">
        <v>86</v>
      </c>
      <c r="J808" t="s">
        <v>286</v>
      </c>
      <c r="K808" t="s">
        <v>57</v>
      </c>
    </row>
    <row r="809" spans="1:11" x14ac:dyDescent="0.35">
      <c r="A809" t="s">
        <v>1217</v>
      </c>
      <c r="B809">
        <v>2024</v>
      </c>
      <c r="C809" t="s">
        <v>1051</v>
      </c>
      <c r="D809" t="s">
        <v>76</v>
      </c>
      <c r="E809" t="s">
        <v>119</v>
      </c>
      <c r="F809" t="s">
        <v>129</v>
      </c>
      <c r="G809" t="s">
        <v>128</v>
      </c>
      <c r="H809" t="s">
        <v>285</v>
      </c>
      <c r="I809" t="s">
        <v>86</v>
      </c>
      <c r="J809" t="s">
        <v>286</v>
      </c>
      <c r="K809" t="s">
        <v>57</v>
      </c>
    </row>
    <row r="810" spans="1:11" x14ac:dyDescent="0.35">
      <c r="A810" t="s">
        <v>1218</v>
      </c>
      <c r="B810">
        <v>2024</v>
      </c>
      <c r="C810" t="s">
        <v>1051</v>
      </c>
      <c r="D810" t="s">
        <v>76</v>
      </c>
      <c r="E810" t="s">
        <v>115</v>
      </c>
      <c r="F810" t="s">
        <v>129</v>
      </c>
      <c r="G810" t="s">
        <v>132</v>
      </c>
      <c r="H810" t="s">
        <v>285</v>
      </c>
      <c r="I810" t="s">
        <v>407</v>
      </c>
      <c r="J810" t="s">
        <v>286</v>
      </c>
      <c r="K810" t="s">
        <v>57</v>
      </c>
    </row>
    <row r="811" spans="1:11" x14ac:dyDescent="0.35">
      <c r="A811" t="s">
        <v>1219</v>
      </c>
      <c r="B811">
        <v>2024</v>
      </c>
      <c r="C811" t="s">
        <v>1051</v>
      </c>
      <c r="D811" t="s">
        <v>76</v>
      </c>
      <c r="E811" t="s">
        <v>115</v>
      </c>
      <c r="F811" t="s">
        <v>131</v>
      </c>
      <c r="G811" t="s">
        <v>128</v>
      </c>
      <c r="H811" t="s">
        <v>285</v>
      </c>
      <c r="I811" t="s">
        <v>77</v>
      </c>
      <c r="J811" t="s">
        <v>286</v>
      </c>
      <c r="K811" t="s">
        <v>57</v>
      </c>
    </row>
    <row r="812" spans="1:11" x14ac:dyDescent="0.35">
      <c r="A812" t="s">
        <v>1220</v>
      </c>
      <c r="B812">
        <v>2024</v>
      </c>
      <c r="C812" t="s">
        <v>1051</v>
      </c>
      <c r="D812" t="s">
        <v>85</v>
      </c>
      <c r="E812" t="s">
        <v>117</v>
      </c>
      <c r="F812" t="s">
        <v>129</v>
      </c>
      <c r="G812" t="s">
        <v>128</v>
      </c>
      <c r="H812" t="s">
        <v>285</v>
      </c>
      <c r="I812" t="s">
        <v>289</v>
      </c>
      <c r="J812" t="s">
        <v>1221</v>
      </c>
      <c r="K812" t="s">
        <v>42</v>
      </c>
    </row>
    <row r="813" spans="1:11" x14ac:dyDescent="0.35">
      <c r="A813" t="s">
        <v>1222</v>
      </c>
      <c r="B813">
        <v>2024</v>
      </c>
      <c r="C813" t="s">
        <v>1051</v>
      </c>
      <c r="D813" t="s">
        <v>76</v>
      </c>
      <c r="E813" t="s">
        <v>113</v>
      </c>
      <c r="F813" t="s">
        <v>127</v>
      </c>
      <c r="G813" t="s">
        <v>128</v>
      </c>
      <c r="H813" t="s">
        <v>285</v>
      </c>
      <c r="I813" t="s">
        <v>86</v>
      </c>
      <c r="J813" t="s">
        <v>317</v>
      </c>
      <c r="K813" t="s">
        <v>57</v>
      </c>
    </row>
    <row r="814" spans="1:11" x14ac:dyDescent="0.35">
      <c r="A814" t="s">
        <v>1223</v>
      </c>
      <c r="B814">
        <v>2024</v>
      </c>
      <c r="C814" t="s">
        <v>1051</v>
      </c>
      <c r="D814" t="s">
        <v>76</v>
      </c>
      <c r="E814" t="s">
        <v>119</v>
      </c>
      <c r="F814" t="s">
        <v>125</v>
      </c>
      <c r="G814" t="s">
        <v>126</v>
      </c>
      <c r="H814" t="s">
        <v>285</v>
      </c>
      <c r="I814" t="s">
        <v>288</v>
      </c>
      <c r="J814" t="s">
        <v>308</v>
      </c>
      <c r="K814" t="s">
        <v>42</v>
      </c>
    </row>
    <row r="815" spans="1:11" x14ac:dyDescent="0.35">
      <c r="A815" t="s">
        <v>1224</v>
      </c>
      <c r="B815">
        <v>2024</v>
      </c>
      <c r="C815" t="s">
        <v>1051</v>
      </c>
      <c r="D815" t="s">
        <v>85</v>
      </c>
      <c r="E815" t="s">
        <v>117</v>
      </c>
      <c r="F815" t="s">
        <v>288</v>
      </c>
      <c r="G815" t="s">
        <v>130</v>
      </c>
      <c r="H815" t="s">
        <v>285</v>
      </c>
      <c r="I815" t="s">
        <v>289</v>
      </c>
      <c r="J815" t="s">
        <v>464</v>
      </c>
      <c r="K815" t="s">
        <v>42</v>
      </c>
    </row>
    <row r="816" spans="1:11" x14ac:dyDescent="0.35">
      <c r="A816" t="s">
        <v>1225</v>
      </c>
      <c r="B816">
        <v>2024</v>
      </c>
      <c r="C816" t="s">
        <v>1051</v>
      </c>
      <c r="D816" t="s">
        <v>85</v>
      </c>
      <c r="E816" t="s">
        <v>117</v>
      </c>
      <c r="F816" t="s">
        <v>125</v>
      </c>
      <c r="G816" t="s">
        <v>128</v>
      </c>
      <c r="H816" t="s">
        <v>285</v>
      </c>
      <c r="I816" t="s">
        <v>86</v>
      </c>
      <c r="J816" t="s">
        <v>295</v>
      </c>
      <c r="K816" t="s">
        <v>57</v>
      </c>
    </row>
    <row r="817" spans="1:11" x14ac:dyDescent="0.35">
      <c r="A817" t="s">
        <v>1226</v>
      </c>
      <c r="B817">
        <v>2024</v>
      </c>
      <c r="C817" t="s">
        <v>1051</v>
      </c>
      <c r="D817" t="s">
        <v>85</v>
      </c>
      <c r="E817" t="s">
        <v>117</v>
      </c>
      <c r="F817" t="s">
        <v>125</v>
      </c>
      <c r="G817" t="s">
        <v>128</v>
      </c>
      <c r="H817" t="s">
        <v>285</v>
      </c>
      <c r="I817" t="s">
        <v>86</v>
      </c>
      <c r="J817" t="s">
        <v>854</v>
      </c>
      <c r="K817" t="s">
        <v>57</v>
      </c>
    </row>
    <row r="818" spans="1:11" x14ac:dyDescent="0.35">
      <c r="A818" t="s">
        <v>1227</v>
      </c>
      <c r="B818">
        <v>2024</v>
      </c>
      <c r="C818" t="s">
        <v>1051</v>
      </c>
      <c r="D818" t="s">
        <v>85</v>
      </c>
      <c r="E818" t="s">
        <v>116</v>
      </c>
      <c r="F818" t="s">
        <v>288</v>
      </c>
      <c r="G818" t="s">
        <v>126</v>
      </c>
      <c r="H818" t="s">
        <v>285</v>
      </c>
      <c r="I818" t="s">
        <v>77</v>
      </c>
      <c r="J818" t="s">
        <v>286</v>
      </c>
      <c r="K818" t="s">
        <v>57</v>
      </c>
    </row>
    <row r="819" spans="1:11" x14ac:dyDescent="0.35">
      <c r="A819" t="s">
        <v>1228</v>
      </c>
      <c r="B819">
        <v>2024</v>
      </c>
      <c r="C819" t="s">
        <v>1051</v>
      </c>
      <c r="D819" t="s">
        <v>76</v>
      </c>
      <c r="E819" t="s">
        <v>107</v>
      </c>
      <c r="F819" t="s">
        <v>125</v>
      </c>
      <c r="G819" t="s">
        <v>126</v>
      </c>
      <c r="H819" t="s">
        <v>285</v>
      </c>
      <c r="I819" t="s">
        <v>77</v>
      </c>
      <c r="J819" t="s">
        <v>286</v>
      </c>
      <c r="K819" t="s">
        <v>57</v>
      </c>
    </row>
    <row r="820" spans="1:11" x14ac:dyDescent="0.35">
      <c r="A820" t="s">
        <v>1229</v>
      </c>
      <c r="B820">
        <v>2024</v>
      </c>
      <c r="C820" t="s">
        <v>1051</v>
      </c>
      <c r="D820" t="s">
        <v>85</v>
      </c>
      <c r="E820" t="s">
        <v>116</v>
      </c>
      <c r="F820" t="s">
        <v>131</v>
      </c>
      <c r="G820" t="s">
        <v>128</v>
      </c>
      <c r="H820" t="s">
        <v>285</v>
      </c>
      <c r="I820" t="s">
        <v>289</v>
      </c>
      <c r="J820" t="s">
        <v>286</v>
      </c>
      <c r="K820" t="s">
        <v>57</v>
      </c>
    </row>
    <row r="821" spans="1:11" x14ac:dyDescent="0.35">
      <c r="A821" t="s">
        <v>1230</v>
      </c>
      <c r="B821">
        <v>2024</v>
      </c>
      <c r="C821" t="s">
        <v>1051</v>
      </c>
      <c r="D821" t="s">
        <v>85</v>
      </c>
      <c r="E821" t="s">
        <v>116</v>
      </c>
      <c r="F821" t="s">
        <v>127</v>
      </c>
      <c r="G821" t="s">
        <v>130</v>
      </c>
      <c r="H821" t="s">
        <v>285</v>
      </c>
      <c r="I821" t="s">
        <v>86</v>
      </c>
      <c r="J821" t="s">
        <v>326</v>
      </c>
      <c r="K821" t="s">
        <v>57</v>
      </c>
    </row>
    <row r="822" spans="1:11" x14ac:dyDescent="0.35">
      <c r="A822" t="s">
        <v>1231</v>
      </c>
      <c r="B822">
        <v>2024</v>
      </c>
      <c r="C822" t="s">
        <v>1051</v>
      </c>
      <c r="D822" t="s">
        <v>76</v>
      </c>
      <c r="E822" t="s">
        <v>110</v>
      </c>
      <c r="F822" t="s">
        <v>129</v>
      </c>
      <c r="G822" t="s">
        <v>132</v>
      </c>
      <c r="H822" t="s">
        <v>285</v>
      </c>
      <c r="I822" t="s">
        <v>86</v>
      </c>
      <c r="J822" t="s">
        <v>308</v>
      </c>
      <c r="K822" t="s">
        <v>42</v>
      </c>
    </row>
    <row r="823" spans="1:11" x14ac:dyDescent="0.35">
      <c r="A823" t="s">
        <v>1232</v>
      </c>
      <c r="B823">
        <v>2024</v>
      </c>
      <c r="C823" t="s">
        <v>1051</v>
      </c>
      <c r="D823" t="s">
        <v>85</v>
      </c>
      <c r="E823" t="s">
        <v>120</v>
      </c>
      <c r="F823" t="s">
        <v>288</v>
      </c>
      <c r="G823" t="s">
        <v>132</v>
      </c>
      <c r="H823" t="s">
        <v>285</v>
      </c>
      <c r="I823" t="s">
        <v>86</v>
      </c>
      <c r="J823" t="s">
        <v>295</v>
      </c>
      <c r="K823" t="s">
        <v>57</v>
      </c>
    </row>
    <row r="824" spans="1:11" x14ac:dyDescent="0.35">
      <c r="A824" t="s">
        <v>1233</v>
      </c>
      <c r="B824">
        <v>2024</v>
      </c>
      <c r="C824" t="s">
        <v>1051</v>
      </c>
      <c r="D824" t="s">
        <v>76</v>
      </c>
      <c r="E824" t="s">
        <v>107</v>
      </c>
      <c r="F824" t="s">
        <v>125</v>
      </c>
      <c r="G824" t="s">
        <v>128</v>
      </c>
      <c r="H824" t="s">
        <v>285</v>
      </c>
      <c r="I824" t="s">
        <v>77</v>
      </c>
      <c r="J824" t="s">
        <v>286</v>
      </c>
      <c r="K824" t="s">
        <v>57</v>
      </c>
    </row>
    <row r="825" spans="1:11" x14ac:dyDescent="0.35">
      <c r="A825" t="s">
        <v>1234</v>
      </c>
      <c r="B825">
        <v>2024</v>
      </c>
      <c r="C825" t="s">
        <v>1051</v>
      </c>
      <c r="D825" t="s">
        <v>76</v>
      </c>
      <c r="E825" t="s">
        <v>115</v>
      </c>
      <c r="F825" t="s">
        <v>129</v>
      </c>
      <c r="G825" t="s">
        <v>126</v>
      </c>
      <c r="H825" t="s">
        <v>285</v>
      </c>
      <c r="I825" t="s">
        <v>77</v>
      </c>
      <c r="J825" t="s">
        <v>286</v>
      </c>
      <c r="K825" t="s">
        <v>57</v>
      </c>
    </row>
    <row r="826" spans="1:11" x14ac:dyDescent="0.35">
      <c r="A826" t="s">
        <v>1235</v>
      </c>
      <c r="B826">
        <v>2024</v>
      </c>
      <c r="C826" t="s">
        <v>1051</v>
      </c>
      <c r="D826" t="s">
        <v>76</v>
      </c>
      <c r="E826" t="s">
        <v>110</v>
      </c>
      <c r="F826" t="s">
        <v>125</v>
      </c>
      <c r="G826" t="s">
        <v>130</v>
      </c>
      <c r="H826" t="s">
        <v>285</v>
      </c>
      <c r="I826" t="s">
        <v>288</v>
      </c>
      <c r="J826" t="s">
        <v>286</v>
      </c>
      <c r="K826" t="s">
        <v>57</v>
      </c>
    </row>
    <row r="827" spans="1:11" x14ac:dyDescent="0.35">
      <c r="A827" t="s">
        <v>1236</v>
      </c>
      <c r="B827">
        <v>2024</v>
      </c>
      <c r="C827" t="s">
        <v>1051</v>
      </c>
      <c r="D827" t="s">
        <v>76</v>
      </c>
      <c r="E827" t="s">
        <v>118</v>
      </c>
      <c r="F827" t="s">
        <v>125</v>
      </c>
      <c r="G827" t="s">
        <v>132</v>
      </c>
      <c r="H827" t="s">
        <v>357</v>
      </c>
      <c r="I827" t="s">
        <v>86</v>
      </c>
      <c r="J827" t="s">
        <v>286</v>
      </c>
      <c r="K827" t="s">
        <v>57</v>
      </c>
    </row>
    <row r="828" spans="1:11" x14ac:dyDescent="0.35">
      <c r="A828" t="s">
        <v>1237</v>
      </c>
      <c r="B828">
        <v>2024</v>
      </c>
      <c r="C828" t="s">
        <v>1051</v>
      </c>
      <c r="D828" t="s">
        <v>76</v>
      </c>
      <c r="E828" t="s">
        <v>111</v>
      </c>
      <c r="F828" t="s">
        <v>125</v>
      </c>
      <c r="G828" t="s">
        <v>132</v>
      </c>
      <c r="H828" t="s">
        <v>285</v>
      </c>
      <c r="I828" t="s">
        <v>77</v>
      </c>
      <c r="J828" t="s">
        <v>286</v>
      </c>
      <c r="K828" t="s">
        <v>57</v>
      </c>
    </row>
    <row r="829" spans="1:11" x14ac:dyDescent="0.35">
      <c r="A829" t="s">
        <v>1238</v>
      </c>
      <c r="B829">
        <v>2024</v>
      </c>
      <c r="C829" t="s">
        <v>1051</v>
      </c>
      <c r="D829" t="s">
        <v>76</v>
      </c>
      <c r="E829" t="s">
        <v>119</v>
      </c>
      <c r="F829" t="s">
        <v>131</v>
      </c>
      <c r="G829" t="s">
        <v>128</v>
      </c>
      <c r="H829" t="s">
        <v>305</v>
      </c>
      <c r="I829" t="s">
        <v>86</v>
      </c>
      <c r="J829" t="s">
        <v>308</v>
      </c>
      <c r="K829" t="s">
        <v>42</v>
      </c>
    </row>
    <row r="830" spans="1:11" x14ac:dyDescent="0.35">
      <c r="A830" t="s">
        <v>1239</v>
      </c>
      <c r="B830">
        <v>2024</v>
      </c>
      <c r="C830" t="s">
        <v>1051</v>
      </c>
      <c r="D830" t="s">
        <v>85</v>
      </c>
      <c r="E830" t="s">
        <v>115</v>
      </c>
      <c r="F830" t="s">
        <v>125</v>
      </c>
      <c r="G830" t="s">
        <v>128</v>
      </c>
      <c r="H830" t="s">
        <v>357</v>
      </c>
      <c r="I830" t="s">
        <v>77</v>
      </c>
      <c r="J830" t="s">
        <v>288</v>
      </c>
      <c r="K830" t="s">
        <v>57</v>
      </c>
    </row>
    <row r="831" spans="1:11" x14ac:dyDescent="0.35">
      <c r="A831" t="s">
        <v>1240</v>
      </c>
      <c r="B831">
        <v>2024</v>
      </c>
      <c r="C831" t="s">
        <v>1051</v>
      </c>
      <c r="D831" t="s">
        <v>85</v>
      </c>
      <c r="E831" t="s">
        <v>117</v>
      </c>
      <c r="F831" t="s">
        <v>129</v>
      </c>
      <c r="G831" t="s">
        <v>128</v>
      </c>
      <c r="H831" t="s">
        <v>285</v>
      </c>
      <c r="I831" t="s">
        <v>1241</v>
      </c>
      <c r="J831" t="s">
        <v>619</v>
      </c>
      <c r="K831" t="s">
        <v>42</v>
      </c>
    </row>
    <row r="832" spans="1:11" x14ac:dyDescent="0.35">
      <c r="A832" t="s">
        <v>1242</v>
      </c>
      <c r="B832">
        <v>2024</v>
      </c>
      <c r="C832" t="s">
        <v>1051</v>
      </c>
      <c r="D832" t="s">
        <v>85</v>
      </c>
      <c r="E832" t="s">
        <v>117</v>
      </c>
      <c r="F832" t="s">
        <v>129</v>
      </c>
      <c r="G832" t="s">
        <v>128</v>
      </c>
      <c r="H832" t="s">
        <v>285</v>
      </c>
      <c r="I832" t="s">
        <v>1241</v>
      </c>
      <c r="J832" t="s">
        <v>619</v>
      </c>
      <c r="K832" t="s">
        <v>42</v>
      </c>
    </row>
    <row r="833" spans="1:11" x14ac:dyDescent="0.35">
      <c r="A833" t="s">
        <v>1243</v>
      </c>
      <c r="B833">
        <v>2024</v>
      </c>
      <c r="C833" t="s">
        <v>1051</v>
      </c>
      <c r="D833" t="s">
        <v>85</v>
      </c>
      <c r="E833" t="s">
        <v>117</v>
      </c>
      <c r="F833" t="s">
        <v>129</v>
      </c>
      <c r="G833" t="s">
        <v>128</v>
      </c>
      <c r="H833" t="s">
        <v>285</v>
      </c>
      <c r="I833" t="s">
        <v>1241</v>
      </c>
      <c r="J833" t="s">
        <v>619</v>
      </c>
      <c r="K833" t="s">
        <v>42</v>
      </c>
    </row>
    <row r="834" spans="1:11" x14ac:dyDescent="0.35">
      <c r="A834" t="s">
        <v>1244</v>
      </c>
      <c r="B834">
        <v>2024</v>
      </c>
      <c r="C834" t="s">
        <v>1051</v>
      </c>
      <c r="D834" t="s">
        <v>85</v>
      </c>
      <c r="E834" t="s">
        <v>117</v>
      </c>
      <c r="F834" t="s">
        <v>129</v>
      </c>
      <c r="G834" t="s">
        <v>128</v>
      </c>
      <c r="H834" t="s">
        <v>285</v>
      </c>
      <c r="I834" t="s">
        <v>1241</v>
      </c>
      <c r="J834" t="s">
        <v>619</v>
      </c>
      <c r="K834" t="s">
        <v>42</v>
      </c>
    </row>
    <row r="835" spans="1:11" x14ac:dyDescent="0.35">
      <c r="A835" t="s">
        <v>1245</v>
      </c>
      <c r="B835">
        <v>2024</v>
      </c>
      <c r="C835" t="s">
        <v>1051</v>
      </c>
      <c r="D835" t="s">
        <v>85</v>
      </c>
      <c r="E835" t="s">
        <v>116</v>
      </c>
      <c r="F835" t="s">
        <v>125</v>
      </c>
      <c r="G835" t="s">
        <v>132</v>
      </c>
      <c r="H835" t="s">
        <v>285</v>
      </c>
      <c r="I835" t="s">
        <v>77</v>
      </c>
      <c r="J835" t="s">
        <v>286</v>
      </c>
      <c r="K835" t="s">
        <v>57</v>
      </c>
    </row>
    <row r="836" spans="1:11" x14ac:dyDescent="0.35">
      <c r="A836" t="s">
        <v>1246</v>
      </c>
      <c r="B836">
        <v>2024</v>
      </c>
      <c r="C836" t="s">
        <v>1051</v>
      </c>
      <c r="D836" t="s">
        <v>85</v>
      </c>
      <c r="E836" t="s">
        <v>120</v>
      </c>
      <c r="F836" t="s">
        <v>288</v>
      </c>
      <c r="G836" t="s">
        <v>128</v>
      </c>
      <c r="H836" t="s">
        <v>285</v>
      </c>
      <c r="I836" t="s">
        <v>337</v>
      </c>
      <c r="J836" t="s">
        <v>947</v>
      </c>
      <c r="K836" t="s">
        <v>57</v>
      </c>
    </row>
    <row r="837" spans="1:11" x14ac:dyDescent="0.35">
      <c r="A837" t="s">
        <v>1247</v>
      </c>
      <c r="B837">
        <v>2024</v>
      </c>
      <c r="C837" t="s">
        <v>1051</v>
      </c>
      <c r="D837" t="s">
        <v>85</v>
      </c>
      <c r="E837" t="s">
        <v>120</v>
      </c>
      <c r="F837" t="s">
        <v>131</v>
      </c>
      <c r="G837" t="s">
        <v>130</v>
      </c>
      <c r="H837" t="s">
        <v>285</v>
      </c>
      <c r="I837" t="s">
        <v>86</v>
      </c>
      <c r="J837" t="s">
        <v>367</v>
      </c>
      <c r="K837" t="s">
        <v>42</v>
      </c>
    </row>
    <row r="838" spans="1:11" x14ac:dyDescent="0.35">
      <c r="A838" t="s">
        <v>1248</v>
      </c>
      <c r="B838">
        <v>2024</v>
      </c>
      <c r="C838" t="s">
        <v>1051</v>
      </c>
      <c r="D838" t="s">
        <v>76</v>
      </c>
      <c r="E838" t="s">
        <v>115</v>
      </c>
      <c r="F838" t="s">
        <v>125</v>
      </c>
      <c r="G838" t="s">
        <v>128</v>
      </c>
      <c r="H838" t="s">
        <v>297</v>
      </c>
      <c r="I838" t="s">
        <v>461</v>
      </c>
      <c r="J838" t="s">
        <v>1249</v>
      </c>
      <c r="K838" t="s">
        <v>42</v>
      </c>
    </row>
    <row r="839" spans="1:11" x14ac:dyDescent="0.35">
      <c r="A839" t="s">
        <v>1250</v>
      </c>
      <c r="B839">
        <v>2024</v>
      </c>
      <c r="C839" t="s">
        <v>1051</v>
      </c>
      <c r="D839" t="s">
        <v>76</v>
      </c>
      <c r="E839" t="s">
        <v>119</v>
      </c>
      <c r="F839" t="s">
        <v>133</v>
      </c>
      <c r="G839" t="s">
        <v>128</v>
      </c>
      <c r="H839" t="s">
        <v>285</v>
      </c>
      <c r="I839" t="s">
        <v>288</v>
      </c>
      <c r="J839" t="s">
        <v>317</v>
      </c>
      <c r="K839" t="s">
        <v>57</v>
      </c>
    </row>
    <row r="840" spans="1:11" x14ac:dyDescent="0.35">
      <c r="A840" t="s">
        <v>1251</v>
      </c>
      <c r="B840">
        <v>2024</v>
      </c>
      <c r="C840" t="s">
        <v>1051</v>
      </c>
      <c r="D840" t="s">
        <v>85</v>
      </c>
      <c r="E840" t="s">
        <v>117</v>
      </c>
      <c r="F840" t="s">
        <v>129</v>
      </c>
      <c r="G840" t="s">
        <v>128</v>
      </c>
      <c r="H840" t="s">
        <v>305</v>
      </c>
      <c r="I840" t="s">
        <v>288</v>
      </c>
      <c r="J840" t="s">
        <v>288</v>
      </c>
      <c r="K840" t="s">
        <v>57</v>
      </c>
    </row>
    <row r="841" spans="1:11" x14ac:dyDescent="0.35">
      <c r="A841" t="s">
        <v>1252</v>
      </c>
      <c r="B841">
        <v>2024</v>
      </c>
      <c r="C841" t="s">
        <v>1051</v>
      </c>
      <c r="D841" t="s">
        <v>85</v>
      </c>
      <c r="E841" t="s">
        <v>117</v>
      </c>
      <c r="F841" t="s">
        <v>125</v>
      </c>
      <c r="G841" t="s">
        <v>128</v>
      </c>
      <c r="H841" t="s">
        <v>285</v>
      </c>
      <c r="I841" t="s">
        <v>86</v>
      </c>
      <c r="J841" t="s">
        <v>347</v>
      </c>
      <c r="K841" t="s">
        <v>57</v>
      </c>
    </row>
    <row r="842" spans="1:11" x14ac:dyDescent="0.35">
      <c r="A842" t="s">
        <v>1253</v>
      </c>
      <c r="B842">
        <v>2024</v>
      </c>
      <c r="C842" t="s">
        <v>1051</v>
      </c>
      <c r="D842" t="s">
        <v>85</v>
      </c>
      <c r="E842" t="s">
        <v>116</v>
      </c>
      <c r="F842" t="s">
        <v>134</v>
      </c>
      <c r="G842" t="s">
        <v>130</v>
      </c>
      <c r="H842" t="s">
        <v>285</v>
      </c>
      <c r="I842" t="s">
        <v>77</v>
      </c>
      <c r="J842" t="s">
        <v>286</v>
      </c>
      <c r="K842" t="s">
        <v>57</v>
      </c>
    </row>
    <row r="843" spans="1:11" x14ac:dyDescent="0.35">
      <c r="A843" t="s">
        <v>1254</v>
      </c>
      <c r="B843">
        <v>2024</v>
      </c>
      <c r="C843" t="s">
        <v>1051</v>
      </c>
      <c r="D843" t="s">
        <v>85</v>
      </c>
      <c r="E843" t="s">
        <v>116</v>
      </c>
      <c r="F843" t="s">
        <v>288</v>
      </c>
      <c r="G843" t="s">
        <v>128</v>
      </c>
      <c r="H843" t="s">
        <v>285</v>
      </c>
      <c r="I843" t="s">
        <v>289</v>
      </c>
      <c r="J843" t="s">
        <v>326</v>
      </c>
      <c r="K843" t="s">
        <v>57</v>
      </c>
    </row>
    <row r="844" spans="1:11" x14ac:dyDescent="0.35">
      <c r="A844" t="s">
        <v>1255</v>
      </c>
      <c r="B844">
        <v>2024</v>
      </c>
      <c r="C844" t="s">
        <v>1051</v>
      </c>
      <c r="D844" t="s">
        <v>85</v>
      </c>
      <c r="E844" t="s">
        <v>120</v>
      </c>
      <c r="F844" t="s">
        <v>127</v>
      </c>
      <c r="G844" t="s">
        <v>128</v>
      </c>
      <c r="H844" t="s">
        <v>285</v>
      </c>
      <c r="I844" t="s">
        <v>86</v>
      </c>
      <c r="J844" t="s">
        <v>286</v>
      </c>
      <c r="K844" t="s">
        <v>57</v>
      </c>
    </row>
    <row r="845" spans="1:11" x14ac:dyDescent="0.35">
      <c r="A845" t="s">
        <v>1256</v>
      </c>
      <c r="B845">
        <v>2024</v>
      </c>
      <c r="C845" t="s">
        <v>1051</v>
      </c>
      <c r="D845" t="s">
        <v>76</v>
      </c>
      <c r="E845" t="s">
        <v>118</v>
      </c>
      <c r="F845" t="s">
        <v>129</v>
      </c>
      <c r="G845" t="s">
        <v>128</v>
      </c>
      <c r="H845" t="s">
        <v>285</v>
      </c>
      <c r="I845" t="s">
        <v>77</v>
      </c>
      <c r="J845" t="s">
        <v>1257</v>
      </c>
      <c r="K845" t="s">
        <v>57</v>
      </c>
    </row>
    <row r="846" spans="1:11" x14ac:dyDescent="0.35">
      <c r="A846" t="s">
        <v>1258</v>
      </c>
      <c r="B846">
        <v>2024</v>
      </c>
      <c r="C846" t="s">
        <v>1051</v>
      </c>
      <c r="D846" t="s">
        <v>76</v>
      </c>
      <c r="E846" t="s">
        <v>115</v>
      </c>
      <c r="F846" t="s">
        <v>125</v>
      </c>
      <c r="G846" t="s">
        <v>130</v>
      </c>
      <c r="H846" t="s">
        <v>285</v>
      </c>
      <c r="I846" t="s">
        <v>77</v>
      </c>
      <c r="J846" t="s">
        <v>286</v>
      </c>
      <c r="K846" t="s">
        <v>57</v>
      </c>
    </row>
    <row r="847" spans="1:11" x14ac:dyDescent="0.35">
      <c r="A847" t="s">
        <v>1259</v>
      </c>
      <c r="B847">
        <v>2024</v>
      </c>
      <c r="C847" t="s">
        <v>1051</v>
      </c>
      <c r="D847" t="s">
        <v>85</v>
      </c>
      <c r="E847" t="s">
        <v>117</v>
      </c>
      <c r="F847" t="s">
        <v>129</v>
      </c>
      <c r="G847" t="s">
        <v>128</v>
      </c>
      <c r="H847" t="s">
        <v>285</v>
      </c>
      <c r="I847" t="s">
        <v>86</v>
      </c>
      <c r="J847" t="s">
        <v>347</v>
      </c>
      <c r="K847" t="s">
        <v>57</v>
      </c>
    </row>
    <row r="848" spans="1:11" x14ac:dyDescent="0.35">
      <c r="A848" t="s">
        <v>1260</v>
      </c>
      <c r="B848">
        <v>2024</v>
      </c>
      <c r="C848" t="s">
        <v>1051</v>
      </c>
      <c r="D848" t="s">
        <v>76</v>
      </c>
      <c r="E848" t="s">
        <v>119</v>
      </c>
      <c r="F848" t="s">
        <v>125</v>
      </c>
      <c r="G848" t="s">
        <v>132</v>
      </c>
      <c r="H848" t="s">
        <v>285</v>
      </c>
      <c r="I848" t="s">
        <v>77</v>
      </c>
      <c r="J848" t="s">
        <v>286</v>
      </c>
      <c r="K848" t="s">
        <v>57</v>
      </c>
    </row>
    <row r="849" spans="1:11" x14ac:dyDescent="0.35">
      <c r="A849" t="s">
        <v>1261</v>
      </c>
      <c r="B849">
        <v>2024</v>
      </c>
      <c r="C849" t="s">
        <v>1051</v>
      </c>
      <c r="D849" t="s">
        <v>85</v>
      </c>
      <c r="E849" t="s">
        <v>377</v>
      </c>
      <c r="F849" t="s">
        <v>125</v>
      </c>
      <c r="G849" t="s">
        <v>130</v>
      </c>
      <c r="H849" t="s">
        <v>285</v>
      </c>
      <c r="I849" t="s">
        <v>77</v>
      </c>
      <c r="J849" t="s">
        <v>317</v>
      </c>
      <c r="K849" t="s">
        <v>57</v>
      </c>
    </row>
    <row r="850" spans="1:11" x14ac:dyDescent="0.35">
      <c r="A850" t="s">
        <v>1262</v>
      </c>
      <c r="B850">
        <v>2024</v>
      </c>
      <c r="C850" t="s">
        <v>1051</v>
      </c>
      <c r="D850" t="s">
        <v>76</v>
      </c>
      <c r="E850" t="s">
        <v>107</v>
      </c>
      <c r="F850" t="s">
        <v>125</v>
      </c>
      <c r="G850" t="s">
        <v>132</v>
      </c>
      <c r="H850" t="s">
        <v>285</v>
      </c>
      <c r="I850" t="s">
        <v>86</v>
      </c>
      <c r="J850" t="s">
        <v>286</v>
      </c>
      <c r="K850" t="s">
        <v>57</v>
      </c>
    </row>
    <row r="851" spans="1:11" x14ac:dyDescent="0.35">
      <c r="A851" t="s">
        <v>1263</v>
      </c>
      <c r="B851">
        <v>2024</v>
      </c>
      <c r="C851" t="s">
        <v>1051</v>
      </c>
      <c r="D851" t="s">
        <v>76</v>
      </c>
      <c r="E851" t="s">
        <v>107</v>
      </c>
      <c r="F851" t="s">
        <v>125</v>
      </c>
      <c r="G851" t="s">
        <v>126</v>
      </c>
      <c r="H851" t="s">
        <v>285</v>
      </c>
      <c r="I851" t="s">
        <v>428</v>
      </c>
      <c r="J851" t="s">
        <v>308</v>
      </c>
      <c r="K851" t="s">
        <v>42</v>
      </c>
    </row>
    <row r="852" spans="1:11" x14ac:dyDescent="0.35">
      <c r="A852" t="s">
        <v>1264</v>
      </c>
      <c r="B852">
        <v>2024</v>
      </c>
      <c r="C852" t="s">
        <v>1051</v>
      </c>
      <c r="D852" t="s">
        <v>76</v>
      </c>
      <c r="E852" t="s">
        <v>119</v>
      </c>
      <c r="F852" t="s">
        <v>288</v>
      </c>
      <c r="G852" t="s">
        <v>132</v>
      </c>
      <c r="H852" t="s">
        <v>285</v>
      </c>
      <c r="I852" t="s">
        <v>77</v>
      </c>
      <c r="J852" t="s">
        <v>286</v>
      </c>
      <c r="K852" t="s">
        <v>57</v>
      </c>
    </row>
    <row r="853" spans="1:11" x14ac:dyDescent="0.35">
      <c r="A853" t="s">
        <v>1265</v>
      </c>
      <c r="B853">
        <v>2024</v>
      </c>
      <c r="C853" t="s">
        <v>1051</v>
      </c>
      <c r="D853" t="s">
        <v>85</v>
      </c>
      <c r="E853" t="s">
        <v>116</v>
      </c>
      <c r="F853" t="s">
        <v>125</v>
      </c>
      <c r="G853" t="s">
        <v>128</v>
      </c>
      <c r="H853" t="s">
        <v>305</v>
      </c>
      <c r="I853" t="s">
        <v>77</v>
      </c>
      <c r="J853" t="s">
        <v>286</v>
      </c>
      <c r="K853" t="s">
        <v>57</v>
      </c>
    </row>
    <row r="854" spans="1:11" x14ac:dyDescent="0.35">
      <c r="A854" t="s">
        <v>1266</v>
      </c>
      <c r="B854">
        <v>2024</v>
      </c>
      <c r="C854" t="s">
        <v>1051</v>
      </c>
      <c r="D854" t="s">
        <v>76</v>
      </c>
      <c r="E854" t="s">
        <v>107</v>
      </c>
      <c r="F854" t="s">
        <v>125</v>
      </c>
      <c r="G854" t="s">
        <v>130</v>
      </c>
      <c r="H854" t="s">
        <v>285</v>
      </c>
      <c r="I854" t="s">
        <v>86</v>
      </c>
      <c r="J854" t="s">
        <v>644</v>
      </c>
      <c r="K854" t="s">
        <v>42</v>
      </c>
    </row>
    <row r="855" spans="1:11" x14ac:dyDescent="0.35">
      <c r="A855" t="s">
        <v>1267</v>
      </c>
      <c r="B855">
        <v>2024</v>
      </c>
      <c r="C855" t="s">
        <v>1051</v>
      </c>
      <c r="D855" t="s">
        <v>76</v>
      </c>
      <c r="E855" t="s">
        <v>115</v>
      </c>
      <c r="F855" t="s">
        <v>129</v>
      </c>
      <c r="G855" t="s">
        <v>128</v>
      </c>
      <c r="H855" t="s">
        <v>285</v>
      </c>
      <c r="I855" t="s">
        <v>1241</v>
      </c>
      <c r="J855" t="s">
        <v>1268</v>
      </c>
      <c r="K855" t="s">
        <v>42</v>
      </c>
    </row>
    <row r="856" spans="1:11" x14ac:dyDescent="0.35">
      <c r="A856" t="s">
        <v>1269</v>
      </c>
      <c r="B856">
        <v>2024</v>
      </c>
      <c r="C856" t="s">
        <v>1051</v>
      </c>
      <c r="D856" t="s">
        <v>85</v>
      </c>
      <c r="E856" t="s">
        <v>120</v>
      </c>
      <c r="F856" t="s">
        <v>288</v>
      </c>
      <c r="G856" t="s">
        <v>128</v>
      </c>
      <c r="H856" t="s">
        <v>305</v>
      </c>
      <c r="I856" t="s">
        <v>86</v>
      </c>
      <c r="J856" t="s">
        <v>326</v>
      </c>
      <c r="K856" t="s">
        <v>57</v>
      </c>
    </row>
    <row r="857" spans="1:11" x14ac:dyDescent="0.35">
      <c r="A857" t="s">
        <v>1270</v>
      </c>
      <c r="B857">
        <v>2024</v>
      </c>
      <c r="C857" t="s">
        <v>1051</v>
      </c>
      <c r="D857" t="s">
        <v>85</v>
      </c>
      <c r="E857" t="s">
        <v>120</v>
      </c>
      <c r="F857" t="s">
        <v>288</v>
      </c>
      <c r="G857" t="s">
        <v>130</v>
      </c>
      <c r="H857" t="s">
        <v>305</v>
      </c>
      <c r="I857" t="s">
        <v>333</v>
      </c>
      <c r="J857" t="s">
        <v>361</v>
      </c>
      <c r="K857" t="s">
        <v>57</v>
      </c>
    </row>
    <row r="858" spans="1:11" x14ac:dyDescent="0.35">
      <c r="A858" t="s">
        <v>1271</v>
      </c>
      <c r="B858">
        <v>2024</v>
      </c>
      <c r="C858" t="s">
        <v>1051</v>
      </c>
      <c r="D858" t="s">
        <v>76</v>
      </c>
      <c r="E858" t="s">
        <v>118</v>
      </c>
      <c r="F858" t="s">
        <v>127</v>
      </c>
      <c r="G858" t="s">
        <v>130</v>
      </c>
      <c r="H858" t="s">
        <v>285</v>
      </c>
      <c r="I858" t="s">
        <v>77</v>
      </c>
      <c r="J858" t="s">
        <v>286</v>
      </c>
      <c r="K858" t="s">
        <v>57</v>
      </c>
    </row>
    <row r="859" spans="1:11" x14ac:dyDescent="0.35">
      <c r="A859" t="s">
        <v>1272</v>
      </c>
      <c r="B859">
        <v>2024</v>
      </c>
      <c r="C859" t="s">
        <v>1051</v>
      </c>
      <c r="D859" t="s">
        <v>76</v>
      </c>
      <c r="E859" t="s">
        <v>107</v>
      </c>
      <c r="F859" t="s">
        <v>127</v>
      </c>
      <c r="G859" t="s">
        <v>128</v>
      </c>
      <c r="H859" t="s">
        <v>285</v>
      </c>
      <c r="I859" t="s">
        <v>77</v>
      </c>
      <c r="J859" t="s">
        <v>286</v>
      </c>
      <c r="K859" t="s">
        <v>57</v>
      </c>
    </row>
    <row r="860" spans="1:11" x14ac:dyDescent="0.35">
      <c r="A860" t="s">
        <v>1273</v>
      </c>
      <c r="B860">
        <v>2024</v>
      </c>
      <c r="C860" t="s">
        <v>1051</v>
      </c>
      <c r="D860" t="s">
        <v>85</v>
      </c>
      <c r="E860" t="s">
        <v>116</v>
      </c>
      <c r="F860" t="s">
        <v>127</v>
      </c>
      <c r="G860" t="s">
        <v>128</v>
      </c>
      <c r="H860" t="s">
        <v>285</v>
      </c>
      <c r="I860" t="s">
        <v>77</v>
      </c>
      <c r="J860" t="s">
        <v>286</v>
      </c>
      <c r="K860" t="s">
        <v>57</v>
      </c>
    </row>
    <row r="861" spans="1:11" x14ac:dyDescent="0.35">
      <c r="A861" t="s">
        <v>1274</v>
      </c>
      <c r="B861">
        <v>2024</v>
      </c>
      <c r="C861" t="s">
        <v>1051</v>
      </c>
      <c r="D861" t="s">
        <v>85</v>
      </c>
      <c r="E861" t="s">
        <v>116</v>
      </c>
      <c r="F861" t="s">
        <v>125</v>
      </c>
      <c r="G861" t="s">
        <v>128</v>
      </c>
      <c r="H861" t="s">
        <v>285</v>
      </c>
      <c r="I861" t="s">
        <v>86</v>
      </c>
      <c r="J861" t="s">
        <v>571</v>
      </c>
      <c r="K861" t="s">
        <v>42</v>
      </c>
    </row>
    <row r="862" spans="1:11" x14ac:dyDescent="0.35">
      <c r="A862" t="s">
        <v>1275</v>
      </c>
      <c r="B862">
        <v>2024</v>
      </c>
      <c r="C862" t="s">
        <v>1051</v>
      </c>
      <c r="D862" t="s">
        <v>85</v>
      </c>
      <c r="E862" t="s">
        <v>117</v>
      </c>
      <c r="F862" t="s">
        <v>129</v>
      </c>
      <c r="G862" t="s">
        <v>128</v>
      </c>
      <c r="H862" t="s">
        <v>305</v>
      </c>
      <c r="I862" t="s">
        <v>86</v>
      </c>
      <c r="J862" t="s">
        <v>286</v>
      </c>
      <c r="K862" t="s">
        <v>57</v>
      </c>
    </row>
    <row r="863" spans="1:11" x14ac:dyDescent="0.35">
      <c r="A863" t="s">
        <v>1276</v>
      </c>
      <c r="B863">
        <v>2024</v>
      </c>
      <c r="C863" t="s">
        <v>1051</v>
      </c>
      <c r="D863" t="s">
        <v>85</v>
      </c>
      <c r="E863" t="s">
        <v>116</v>
      </c>
      <c r="F863" t="s">
        <v>129</v>
      </c>
      <c r="G863" t="s">
        <v>128</v>
      </c>
      <c r="H863" t="s">
        <v>285</v>
      </c>
      <c r="I863" t="s">
        <v>86</v>
      </c>
      <c r="J863" t="s">
        <v>317</v>
      </c>
      <c r="K863" t="s">
        <v>57</v>
      </c>
    </row>
    <row r="864" spans="1:11" x14ac:dyDescent="0.35">
      <c r="A864" t="s">
        <v>1277</v>
      </c>
      <c r="B864">
        <v>2024</v>
      </c>
      <c r="C864" t="s">
        <v>1051</v>
      </c>
      <c r="D864" t="s">
        <v>76</v>
      </c>
      <c r="E864" t="s">
        <v>109</v>
      </c>
      <c r="F864" t="s">
        <v>129</v>
      </c>
      <c r="G864" t="s">
        <v>128</v>
      </c>
      <c r="H864" t="s">
        <v>285</v>
      </c>
      <c r="I864" t="s">
        <v>77</v>
      </c>
      <c r="J864" t="s">
        <v>286</v>
      </c>
      <c r="K864" t="s">
        <v>57</v>
      </c>
    </row>
    <row r="865" spans="1:11" x14ac:dyDescent="0.35">
      <c r="A865" t="s">
        <v>1278</v>
      </c>
      <c r="B865">
        <v>2024</v>
      </c>
      <c r="C865" t="s">
        <v>1051</v>
      </c>
      <c r="D865" t="s">
        <v>85</v>
      </c>
      <c r="E865" t="s">
        <v>117</v>
      </c>
      <c r="F865" t="s">
        <v>129</v>
      </c>
      <c r="G865" t="s">
        <v>132</v>
      </c>
      <c r="H865" t="s">
        <v>305</v>
      </c>
      <c r="I865" t="s">
        <v>86</v>
      </c>
      <c r="J865" t="s">
        <v>286</v>
      </c>
      <c r="K865" t="s">
        <v>57</v>
      </c>
    </row>
    <row r="866" spans="1:11" x14ac:dyDescent="0.35">
      <c r="A866" t="s">
        <v>1279</v>
      </c>
      <c r="B866">
        <v>2024</v>
      </c>
      <c r="C866" t="s">
        <v>1051</v>
      </c>
      <c r="D866" t="s">
        <v>76</v>
      </c>
      <c r="E866" t="s">
        <v>109</v>
      </c>
      <c r="F866" t="s">
        <v>129</v>
      </c>
      <c r="G866" t="s">
        <v>130</v>
      </c>
      <c r="H866" t="s">
        <v>285</v>
      </c>
      <c r="I866" t="s">
        <v>77</v>
      </c>
      <c r="J866" t="s">
        <v>286</v>
      </c>
      <c r="K866" t="s">
        <v>57</v>
      </c>
    </row>
    <row r="867" spans="1:11" x14ac:dyDescent="0.35">
      <c r="A867" t="s">
        <v>1280</v>
      </c>
      <c r="B867">
        <v>2024</v>
      </c>
      <c r="C867" t="s">
        <v>1051</v>
      </c>
      <c r="D867" t="s">
        <v>85</v>
      </c>
      <c r="E867" t="s">
        <v>117</v>
      </c>
      <c r="F867" t="s">
        <v>288</v>
      </c>
      <c r="G867" t="s">
        <v>128</v>
      </c>
      <c r="H867" t="s">
        <v>285</v>
      </c>
      <c r="I867" t="s">
        <v>86</v>
      </c>
      <c r="J867" t="s">
        <v>1281</v>
      </c>
      <c r="K867" t="s">
        <v>42</v>
      </c>
    </row>
    <row r="868" spans="1:11" x14ac:dyDescent="0.35">
      <c r="A868" t="s">
        <v>1282</v>
      </c>
      <c r="B868">
        <v>2024</v>
      </c>
      <c r="C868" t="s">
        <v>1051</v>
      </c>
      <c r="D868" t="s">
        <v>85</v>
      </c>
      <c r="E868" t="s">
        <v>116</v>
      </c>
      <c r="F868" t="s">
        <v>125</v>
      </c>
      <c r="G868" t="s">
        <v>130</v>
      </c>
      <c r="H868" t="s">
        <v>285</v>
      </c>
      <c r="I868" t="s">
        <v>86</v>
      </c>
      <c r="J868" t="s">
        <v>295</v>
      </c>
      <c r="K868" t="s">
        <v>57</v>
      </c>
    </row>
    <row r="869" spans="1:11" x14ac:dyDescent="0.35">
      <c r="A869" t="s">
        <v>1283</v>
      </c>
      <c r="B869">
        <v>2024</v>
      </c>
      <c r="C869" t="s">
        <v>1051</v>
      </c>
      <c r="D869" t="s">
        <v>85</v>
      </c>
      <c r="E869" t="s">
        <v>116</v>
      </c>
      <c r="F869" t="s">
        <v>129</v>
      </c>
      <c r="G869" t="s">
        <v>128</v>
      </c>
      <c r="H869" t="s">
        <v>285</v>
      </c>
      <c r="I869" t="s">
        <v>86</v>
      </c>
      <c r="J869" t="s">
        <v>286</v>
      </c>
      <c r="K869" t="s">
        <v>57</v>
      </c>
    </row>
    <row r="870" spans="1:11" x14ac:dyDescent="0.35">
      <c r="A870" t="s">
        <v>1284</v>
      </c>
      <c r="B870">
        <v>2024</v>
      </c>
      <c r="C870" t="s">
        <v>1051</v>
      </c>
      <c r="D870" t="s">
        <v>85</v>
      </c>
      <c r="E870" t="s">
        <v>116</v>
      </c>
      <c r="F870" t="s">
        <v>131</v>
      </c>
      <c r="G870" t="s">
        <v>126</v>
      </c>
      <c r="H870" t="s">
        <v>285</v>
      </c>
      <c r="I870" t="s">
        <v>77</v>
      </c>
      <c r="J870" t="s">
        <v>286</v>
      </c>
      <c r="K870" t="s">
        <v>57</v>
      </c>
    </row>
    <row r="871" spans="1:11" x14ac:dyDescent="0.35">
      <c r="A871" t="s">
        <v>1285</v>
      </c>
      <c r="B871">
        <v>2024</v>
      </c>
      <c r="C871" t="s">
        <v>1051</v>
      </c>
      <c r="D871" t="s">
        <v>85</v>
      </c>
      <c r="E871" t="s">
        <v>117</v>
      </c>
      <c r="F871" t="s">
        <v>133</v>
      </c>
      <c r="G871" t="s">
        <v>128</v>
      </c>
      <c r="H871" t="s">
        <v>305</v>
      </c>
      <c r="I871" t="s">
        <v>77</v>
      </c>
      <c r="J871" t="s">
        <v>286</v>
      </c>
      <c r="K871" t="s">
        <v>57</v>
      </c>
    </row>
    <row r="872" spans="1:11" x14ac:dyDescent="0.35">
      <c r="A872" t="s">
        <v>1286</v>
      </c>
      <c r="B872">
        <v>2024</v>
      </c>
      <c r="C872" t="s">
        <v>1051</v>
      </c>
      <c r="D872" t="s">
        <v>85</v>
      </c>
      <c r="E872" t="s">
        <v>116</v>
      </c>
      <c r="F872" t="s">
        <v>127</v>
      </c>
      <c r="G872" t="s">
        <v>128</v>
      </c>
      <c r="H872" t="s">
        <v>305</v>
      </c>
      <c r="I872" t="s">
        <v>86</v>
      </c>
      <c r="J872" t="s">
        <v>405</v>
      </c>
      <c r="K872" t="s">
        <v>57</v>
      </c>
    </row>
    <row r="873" spans="1:11" x14ac:dyDescent="0.35">
      <c r="A873" t="s">
        <v>1287</v>
      </c>
      <c r="B873">
        <v>2024</v>
      </c>
      <c r="C873" t="s">
        <v>1051</v>
      </c>
      <c r="D873" t="s">
        <v>76</v>
      </c>
      <c r="E873" t="s">
        <v>119</v>
      </c>
      <c r="F873" t="s">
        <v>125</v>
      </c>
      <c r="G873" t="s">
        <v>126</v>
      </c>
      <c r="H873" t="s">
        <v>357</v>
      </c>
      <c r="I873" t="s">
        <v>86</v>
      </c>
      <c r="J873" t="s">
        <v>288</v>
      </c>
      <c r="K873" t="s">
        <v>57</v>
      </c>
    </row>
    <row r="874" spans="1:11" x14ac:dyDescent="0.35">
      <c r="A874" t="s">
        <v>1288</v>
      </c>
      <c r="B874">
        <v>2024</v>
      </c>
      <c r="C874" t="s">
        <v>1051</v>
      </c>
      <c r="D874" t="s">
        <v>85</v>
      </c>
      <c r="E874" t="s">
        <v>116</v>
      </c>
      <c r="F874" t="s">
        <v>131</v>
      </c>
      <c r="G874" t="s">
        <v>126</v>
      </c>
      <c r="H874" t="s">
        <v>285</v>
      </c>
      <c r="I874" t="s">
        <v>289</v>
      </c>
      <c r="J874" t="s">
        <v>286</v>
      </c>
      <c r="K874" t="s">
        <v>57</v>
      </c>
    </row>
    <row r="875" spans="1:11" x14ac:dyDescent="0.35">
      <c r="A875" t="s">
        <v>1289</v>
      </c>
      <c r="B875">
        <v>2024</v>
      </c>
      <c r="C875" t="s">
        <v>1051</v>
      </c>
      <c r="D875" t="s">
        <v>76</v>
      </c>
      <c r="E875" t="s">
        <v>115</v>
      </c>
      <c r="F875" t="s">
        <v>125</v>
      </c>
      <c r="G875" t="s">
        <v>130</v>
      </c>
      <c r="H875" t="s">
        <v>285</v>
      </c>
      <c r="I875" t="s">
        <v>86</v>
      </c>
      <c r="J875" t="s">
        <v>447</v>
      </c>
      <c r="K875" t="s">
        <v>57</v>
      </c>
    </row>
    <row r="876" spans="1:11" x14ac:dyDescent="0.35">
      <c r="A876" t="s">
        <v>1290</v>
      </c>
      <c r="B876">
        <v>2024</v>
      </c>
      <c r="C876" t="s">
        <v>1051</v>
      </c>
      <c r="D876" t="s">
        <v>85</v>
      </c>
      <c r="E876" t="s">
        <v>117</v>
      </c>
      <c r="F876" t="s">
        <v>129</v>
      </c>
      <c r="G876" t="s">
        <v>128</v>
      </c>
      <c r="H876" t="s">
        <v>305</v>
      </c>
      <c r="I876" t="s">
        <v>289</v>
      </c>
      <c r="J876" t="s">
        <v>308</v>
      </c>
      <c r="K876" t="s">
        <v>42</v>
      </c>
    </row>
    <row r="877" spans="1:11" x14ac:dyDescent="0.35">
      <c r="A877" t="s">
        <v>1291</v>
      </c>
      <c r="B877">
        <v>2024</v>
      </c>
      <c r="C877" t="s">
        <v>1051</v>
      </c>
      <c r="D877" t="s">
        <v>76</v>
      </c>
      <c r="E877" t="s">
        <v>119</v>
      </c>
      <c r="F877" t="s">
        <v>125</v>
      </c>
      <c r="G877" t="s">
        <v>128</v>
      </c>
      <c r="H877" t="s">
        <v>285</v>
      </c>
      <c r="I877" t="s">
        <v>77</v>
      </c>
      <c r="J877" t="s">
        <v>286</v>
      </c>
      <c r="K877" t="s">
        <v>57</v>
      </c>
    </row>
    <row r="878" spans="1:11" x14ac:dyDescent="0.35">
      <c r="A878" t="s">
        <v>1292</v>
      </c>
      <c r="B878">
        <v>2024</v>
      </c>
      <c r="C878" t="s">
        <v>1051</v>
      </c>
      <c r="D878" t="s">
        <v>76</v>
      </c>
      <c r="E878" t="s">
        <v>118</v>
      </c>
      <c r="F878" t="s">
        <v>129</v>
      </c>
      <c r="G878" t="s">
        <v>128</v>
      </c>
      <c r="H878" t="s">
        <v>285</v>
      </c>
      <c r="I878" t="s">
        <v>77</v>
      </c>
      <c r="J878" t="s">
        <v>286</v>
      </c>
      <c r="K878" t="s">
        <v>57</v>
      </c>
    </row>
    <row r="879" spans="1:11" x14ac:dyDescent="0.35">
      <c r="A879" t="s">
        <v>1293</v>
      </c>
      <c r="B879">
        <v>2024</v>
      </c>
      <c r="C879" t="s">
        <v>1051</v>
      </c>
      <c r="D879" t="s">
        <v>85</v>
      </c>
      <c r="E879" t="s">
        <v>116</v>
      </c>
      <c r="F879" t="s">
        <v>127</v>
      </c>
      <c r="G879" t="s">
        <v>128</v>
      </c>
      <c r="H879" t="s">
        <v>285</v>
      </c>
      <c r="I879" t="s">
        <v>289</v>
      </c>
      <c r="J879" t="s">
        <v>464</v>
      </c>
      <c r="K879" t="s">
        <v>42</v>
      </c>
    </row>
    <row r="880" spans="1:11" x14ac:dyDescent="0.35">
      <c r="A880" t="s">
        <v>1294</v>
      </c>
      <c r="B880">
        <v>2024</v>
      </c>
      <c r="C880" t="s">
        <v>1051</v>
      </c>
      <c r="D880" t="s">
        <v>76</v>
      </c>
      <c r="E880" t="s">
        <v>107</v>
      </c>
      <c r="F880" t="s">
        <v>127</v>
      </c>
      <c r="G880" t="s">
        <v>128</v>
      </c>
      <c r="H880" t="s">
        <v>285</v>
      </c>
      <c r="I880" t="s">
        <v>461</v>
      </c>
      <c r="J880" t="s">
        <v>286</v>
      </c>
      <c r="K880" t="s">
        <v>57</v>
      </c>
    </row>
    <row r="881" spans="1:11" x14ac:dyDescent="0.35">
      <c r="A881" t="s">
        <v>1295</v>
      </c>
      <c r="B881">
        <v>2024</v>
      </c>
      <c r="C881" t="s">
        <v>1051</v>
      </c>
      <c r="D881" t="s">
        <v>85</v>
      </c>
      <c r="E881" t="s">
        <v>120</v>
      </c>
      <c r="F881" t="s">
        <v>131</v>
      </c>
      <c r="G881" t="s">
        <v>128</v>
      </c>
      <c r="H881" t="s">
        <v>285</v>
      </c>
      <c r="I881" t="s">
        <v>77</v>
      </c>
      <c r="J881" t="s">
        <v>286</v>
      </c>
      <c r="K881" t="s">
        <v>57</v>
      </c>
    </row>
    <row r="882" spans="1:11" x14ac:dyDescent="0.35">
      <c r="A882" t="s">
        <v>1296</v>
      </c>
      <c r="B882">
        <v>2024</v>
      </c>
      <c r="C882" t="s">
        <v>1051</v>
      </c>
      <c r="D882" t="s">
        <v>85</v>
      </c>
      <c r="E882" t="s">
        <v>120</v>
      </c>
      <c r="F882" t="s">
        <v>288</v>
      </c>
      <c r="G882" t="s">
        <v>128</v>
      </c>
      <c r="H882" t="s">
        <v>305</v>
      </c>
      <c r="I882" t="s">
        <v>288</v>
      </c>
      <c r="J882" t="s">
        <v>288</v>
      </c>
      <c r="K882" t="s">
        <v>57</v>
      </c>
    </row>
    <row r="883" spans="1:11" x14ac:dyDescent="0.35">
      <c r="A883" t="s">
        <v>1297</v>
      </c>
      <c r="B883">
        <v>2024</v>
      </c>
      <c r="C883" t="s">
        <v>1051</v>
      </c>
      <c r="D883" t="s">
        <v>85</v>
      </c>
      <c r="E883" t="s">
        <v>120</v>
      </c>
      <c r="F883" t="s">
        <v>133</v>
      </c>
      <c r="G883" t="s">
        <v>132</v>
      </c>
      <c r="H883" t="s">
        <v>285</v>
      </c>
      <c r="I883" t="s">
        <v>407</v>
      </c>
      <c r="J883" t="s">
        <v>326</v>
      </c>
      <c r="K883" t="s">
        <v>57</v>
      </c>
    </row>
    <row r="884" spans="1:11" x14ac:dyDescent="0.35">
      <c r="A884" t="s">
        <v>1298</v>
      </c>
      <c r="B884">
        <v>2024</v>
      </c>
      <c r="C884" t="s">
        <v>1051</v>
      </c>
      <c r="D884" t="s">
        <v>85</v>
      </c>
      <c r="E884" t="s">
        <v>116</v>
      </c>
      <c r="F884" t="s">
        <v>129</v>
      </c>
      <c r="G884" t="s">
        <v>126</v>
      </c>
      <c r="H884" t="s">
        <v>285</v>
      </c>
      <c r="I884" t="s">
        <v>77</v>
      </c>
      <c r="J884" t="s">
        <v>286</v>
      </c>
      <c r="K884" t="s">
        <v>57</v>
      </c>
    </row>
    <row r="885" spans="1:11" x14ac:dyDescent="0.35">
      <c r="A885" t="s">
        <v>1299</v>
      </c>
      <c r="B885">
        <v>2024</v>
      </c>
      <c r="C885" t="s">
        <v>1051</v>
      </c>
      <c r="D885" t="s">
        <v>76</v>
      </c>
      <c r="E885" t="s">
        <v>107</v>
      </c>
      <c r="F885" t="s">
        <v>127</v>
      </c>
      <c r="G885" t="s">
        <v>126</v>
      </c>
      <c r="H885" t="s">
        <v>285</v>
      </c>
      <c r="I885" t="s">
        <v>77</v>
      </c>
      <c r="J885" t="s">
        <v>317</v>
      </c>
      <c r="K885" t="s">
        <v>57</v>
      </c>
    </row>
    <row r="886" spans="1:11" x14ac:dyDescent="0.35">
      <c r="A886" t="s">
        <v>1300</v>
      </c>
      <c r="B886">
        <v>2024</v>
      </c>
      <c r="C886" t="s">
        <v>1051</v>
      </c>
      <c r="D886" t="s">
        <v>76</v>
      </c>
      <c r="E886" t="s">
        <v>111</v>
      </c>
      <c r="F886" t="s">
        <v>125</v>
      </c>
      <c r="G886" t="s">
        <v>132</v>
      </c>
      <c r="H886" t="s">
        <v>285</v>
      </c>
      <c r="I886" t="s">
        <v>86</v>
      </c>
      <c r="J886" t="s">
        <v>286</v>
      </c>
      <c r="K886" t="s">
        <v>57</v>
      </c>
    </row>
    <row r="887" spans="1:11" x14ac:dyDescent="0.35">
      <c r="A887" t="s">
        <v>1301</v>
      </c>
      <c r="B887">
        <v>2024</v>
      </c>
      <c r="C887" t="s">
        <v>1051</v>
      </c>
      <c r="D887" t="s">
        <v>85</v>
      </c>
      <c r="E887" t="s">
        <v>117</v>
      </c>
      <c r="F887" t="s">
        <v>288</v>
      </c>
      <c r="G887" t="s">
        <v>132</v>
      </c>
      <c r="H887" t="s">
        <v>285</v>
      </c>
      <c r="I887" t="s">
        <v>289</v>
      </c>
      <c r="J887" t="s">
        <v>317</v>
      </c>
      <c r="K887" t="s">
        <v>57</v>
      </c>
    </row>
    <row r="888" spans="1:11" x14ac:dyDescent="0.35">
      <c r="A888" t="s">
        <v>1302</v>
      </c>
      <c r="B888">
        <v>2024</v>
      </c>
      <c r="C888" t="s">
        <v>1051</v>
      </c>
      <c r="D888" t="s">
        <v>85</v>
      </c>
      <c r="E888" t="s">
        <v>116</v>
      </c>
      <c r="F888" t="s">
        <v>131</v>
      </c>
      <c r="G888" t="s">
        <v>130</v>
      </c>
      <c r="H888" t="s">
        <v>285</v>
      </c>
      <c r="I888" t="s">
        <v>289</v>
      </c>
      <c r="J888" t="s">
        <v>295</v>
      </c>
      <c r="K888" t="s">
        <v>57</v>
      </c>
    </row>
    <row r="889" spans="1:11" x14ac:dyDescent="0.35">
      <c r="A889" t="s">
        <v>1303</v>
      </c>
      <c r="B889">
        <v>2024</v>
      </c>
      <c r="C889" t="s">
        <v>1051</v>
      </c>
      <c r="D889" t="s">
        <v>76</v>
      </c>
      <c r="E889" t="s">
        <v>119</v>
      </c>
      <c r="F889" t="s">
        <v>129</v>
      </c>
      <c r="G889" t="s">
        <v>132</v>
      </c>
      <c r="H889" t="s">
        <v>285</v>
      </c>
      <c r="I889" t="s">
        <v>86</v>
      </c>
      <c r="J889" t="s">
        <v>895</v>
      </c>
      <c r="K889" t="s">
        <v>42</v>
      </c>
    </row>
    <row r="890" spans="1:11" x14ac:dyDescent="0.35">
      <c r="A890" t="s">
        <v>1304</v>
      </c>
      <c r="B890">
        <v>2024</v>
      </c>
      <c r="C890" t="s">
        <v>1051</v>
      </c>
      <c r="D890" t="s">
        <v>76</v>
      </c>
      <c r="E890" t="s">
        <v>115</v>
      </c>
      <c r="F890" t="s">
        <v>125</v>
      </c>
      <c r="G890" t="s">
        <v>128</v>
      </c>
      <c r="H890" t="s">
        <v>285</v>
      </c>
      <c r="I890" t="s">
        <v>77</v>
      </c>
      <c r="J890" t="s">
        <v>326</v>
      </c>
      <c r="K890" t="s">
        <v>57</v>
      </c>
    </row>
    <row r="891" spans="1:11" x14ac:dyDescent="0.35">
      <c r="A891" t="s">
        <v>1305</v>
      </c>
      <c r="B891">
        <v>2024</v>
      </c>
      <c r="C891" t="s">
        <v>1051</v>
      </c>
      <c r="D891" t="s">
        <v>85</v>
      </c>
      <c r="E891" t="s">
        <v>116</v>
      </c>
      <c r="F891" t="s">
        <v>129</v>
      </c>
      <c r="G891" t="s">
        <v>128</v>
      </c>
      <c r="H891" t="s">
        <v>285</v>
      </c>
      <c r="I891" t="s">
        <v>289</v>
      </c>
      <c r="J891" t="s">
        <v>286</v>
      </c>
      <c r="K891" t="s">
        <v>57</v>
      </c>
    </row>
    <row r="892" spans="1:11" x14ac:dyDescent="0.35">
      <c r="A892" t="s">
        <v>1306</v>
      </c>
      <c r="B892">
        <v>2024</v>
      </c>
      <c r="C892" t="s">
        <v>1051</v>
      </c>
      <c r="D892" t="s">
        <v>76</v>
      </c>
      <c r="E892" t="s">
        <v>108</v>
      </c>
      <c r="F892" t="s">
        <v>125</v>
      </c>
      <c r="G892" t="s">
        <v>128</v>
      </c>
      <c r="H892" t="s">
        <v>285</v>
      </c>
      <c r="I892" t="s">
        <v>288</v>
      </c>
      <c r="J892" t="s">
        <v>286</v>
      </c>
      <c r="K892" t="s">
        <v>57</v>
      </c>
    </row>
    <row r="893" spans="1:11" x14ac:dyDescent="0.35">
      <c r="A893" t="s">
        <v>1307</v>
      </c>
      <c r="B893">
        <v>2024</v>
      </c>
      <c r="C893" t="s">
        <v>1051</v>
      </c>
      <c r="D893" t="s">
        <v>85</v>
      </c>
      <c r="E893" t="s">
        <v>117</v>
      </c>
      <c r="F893" t="s">
        <v>125</v>
      </c>
      <c r="G893" t="s">
        <v>130</v>
      </c>
      <c r="H893" t="s">
        <v>285</v>
      </c>
      <c r="I893" t="s">
        <v>86</v>
      </c>
      <c r="J893" t="s">
        <v>405</v>
      </c>
      <c r="K893" t="s">
        <v>57</v>
      </c>
    </row>
    <row r="894" spans="1:11" x14ac:dyDescent="0.35">
      <c r="A894" t="s">
        <v>1308</v>
      </c>
      <c r="B894">
        <v>2024</v>
      </c>
      <c r="C894" t="s">
        <v>1051</v>
      </c>
      <c r="D894" t="s">
        <v>85</v>
      </c>
      <c r="E894" t="s">
        <v>117</v>
      </c>
      <c r="F894" t="s">
        <v>288</v>
      </c>
      <c r="G894" t="s">
        <v>128</v>
      </c>
      <c r="H894" t="s">
        <v>285</v>
      </c>
      <c r="I894" t="s">
        <v>289</v>
      </c>
      <c r="J894" t="s">
        <v>286</v>
      </c>
      <c r="K894" t="s">
        <v>57</v>
      </c>
    </row>
    <row r="895" spans="1:11" x14ac:dyDescent="0.35">
      <c r="A895" t="s">
        <v>1309</v>
      </c>
      <c r="B895">
        <v>2024</v>
      </c>
      <c r="C895" t="s">
        <v>1051</v>
      </c>
      <c r="D895" t="s">
        <v>85</v>
      </c>
      <c r="E895" t="s">
        <v>117</v>
      </c>
      <c r="F895" t="s">
        <v>288</v>
      </c>
      <c r="G895" t="s">
        <v>130</v>
      </c>
      <c r="H895" t="s">
        <v>285</v>
      </c>
      <c r="I895" t="s">
        <v>86</v>
      </c>
      <c r="J895" t="s">
        <v>317</v>
      </c>
      <c r="K895" t="s">
        <v>57</v>
      </c>
    </row>
    <row r="896" spans="1:11" x14ac:dyDescent="0.35">
      <c r="A896" t="s">
        <v>1310</v>
      </c>
      <c r="B896">
        <v>2024</v>
      </c>
      <c r="C896" t="s">
        <v>1051</v>
      </c>
      <c r="D896" t="s">
        <v>85</v>
      </c>
      <c r="E896" t="s">
        <v>120</v>
      </c>
      <c r="F896" t="s">
        <v>288</v>
      </c>
      <c r="G896" t="s">
        <v>132</v>
      </c>
      <c r="H896" t="s">
        <v>297</v>
      </c>
      <c r="I896" t="s">
        <v>77</v>
      </c>
      <c r="J896" t="s">
        <v>409</v>
      </c>
      <c r="K896" t="s">
        <v>57</v>
      </c>
    </row>
    <row r="897" spans="1:11" x14ac:dyDescent="0.35">
      <c r="A897" t="s">
        <v>1311</v>
      </c>
      <c r="B897">
        <v>2024</v>
      </c>
      <c r="C897" t="s">
        <v>1051</v>
      </c>
      <c r="D897" t="s">
        <v>85</v>
      </c>
      <c r="E897" t="s">
        <v>120</v>
      </c>
      <c r="F897" t="s">
        <v>131</v>
      </c>
      <c r="G897" t="s">
        <v>130</v>
      </c>
      <c r="H897" t="s">
        <v>285</v>
      </c>
      <c r="I897" t="s">
        <v>77</v>
      </c>
      <c r="J897" t="s">
        <v>286</v>
      </c>
      <c r="K897" t="s">
        <v>57</v>
      </c>
    </row>
    <row r="898" spans="1:11" x14ac:dyDescent="0.35">
      <c r="A898" t="s">
        <v>1312</v>
      </c>
      <c r="B898">
        <v>2024</v>
      </c>
      <c r="C898" t="s">
        <v>1051</v>
      </c>
      <c r="D898" t="s">
        <v>85</v>
      </c>
      <c r="E898" t="s">
        <v>120</v>
      </c>
      <c r="F898" t="s">
        <v>129</v>
      </c>
      <c r="G898" t="s">
        <v>130</v>
      </c>
      <c r="H898" t="s">
        <v>285</v>
      </c>
      <c r="I898" t="s">
        <v>77</v>
      </c>
      <c r="J898" t="s">
        <v>286</v>
      </c>
      <c r="K898" t="s">
        <v>57</v>
      </c>
    </row>
    <row r="899" spans="1:11" x14ac:dyDescent="0.35">
      <c r="A899" t="s">
        <v>1313</v>
      </c>
      <c r="B899">
        <v>2024</v>
      </c>
      <c r="C899" t="s">
        <v>1051</v>
      </c>
      <c r="D899" t="s">
        <v>76</v>
      </c>
      <c r="E899" t="s">
        <v>107</v>
      </c>
      <c r="F899" t="s">
        <v>125</v>
      </c>
      <c r="G899" t="s">
        <v>128</v>
      </c>
      <c r="H899" t="s">
        <v>285</v>
      </c>
      <c r="I899" t="s">
        <v>77</v>
      </c>
      <c r="J899" t="s">
        <v>286</v>
      </c>
      <c r="K899" t="s">
        <v>57</v>
      </c>
    </row>
    <row r="900" spans="1:11" x14ac:dyDescent="0.35">
      <c r="A900" t="s">
        <v>1314</v>
      </c>
      <c r="B900">
        <v>2024</v>
      </c>
      <c r="C900" t="s">
        <v>1051</v>
      </c>
      <c r="D900" t="s">
        <v>76</v>
      </c>
      <c r="E900" t="s">
        <v>107</v>
      </c>
      <c r="F900" t="s">
        <v>127</v>
      </c>
      <c r="G900" t="s">
        <v>126</v>
      </c>
      <c r="H900" t="s">
        <v>285</v>
      </c>
      <c r="I900" t="s">
        <v>86</v>
      </c>
      <c r="J900" t="s">
        <v>286</v>
      </c>
      <c r="K900" t="s">
        <v>57</v>
      </c>
    </row>
    <row r="901" spans="1:11" x14ac:dyDescent="0.35">
      <c r="A901" t="s">
        <v>1315</v>
      </c>
      <c r="B901">
        <v>2024</v>
      </c>
      <c r="C901" t="s">
        <v>1051</v>
      </c>
      <c r="D901" t="s">
        <v>76</v>
      </c>
      <c r="E901" t="s">
        <v>115</v>
      </c>
      <c r="F901" t="s">
        <v>125</v>
      </c>
      <c r="G901" t="s">
        <v>128</v>
      </c>
      <c r="H901" t="s">
        <v>297</v>
      </c>
      <c r="I901" t="s">
        <v>288</v>
      </c>
      <c r="J901" t="s">
        <v>1316</v>
      </c>
      <c r="K901" t="s">
        <v>42</v>
      </c>
    </row>
    <row r="902" spans="1:11" x14ac:dyDescent="0.35">
      <c r="A902" t="s">
        <v>1317</v>
      </c>
      <c r="B902">
        <v>2024</v>
      </c>
      <c r="C902" t="s">
        <v>1051</v>
      </c>
      <c r="D902" t="s">
        <v>76</v>
      </c>
      <c r="E902" t="s">
        <v>108</v>
      </c>
      <c r="F902" t="s">
        <v>125</v>
      </c>
      <c r="G902" t="s">
        <v>132</v>
      </c>
      <c r="H902" t="s">
        <v>285</v>
      </c>
      <c r="I902" t="s">
        <v>77</v>
      </c>
      <c r="J902" t="s">
        <v>288</v>
      </c>
      <c r="K902" t="s">
        <v>57</v>
      </c>
    </row>
    <row r="903" spans="1:11" x14ac:dyDescent="0.35">
      <c r="A903" t="s">
        <v>1318</v>
      </c>
      <c r="B903">
        <v>2024</v>
      </c>
      <c r="C903" t="s">
        <v>1051</v>
      </c>
      <c r="D903" t="s">
        <v>85</v>
      </c>
      <c r="E903" t="s">
        <v>116</v>
      </c>
      <c r="F903" t="s">
        <v>127</v>
      </c>
      <c r="G903" t="s">
        <v>130</v>
      </c>
      <c r="H903" t="s">
        <v>285</v>
      </c>
      <c r="I903" t="s">
        <v>77</v>
      </c>
      <c r="J903" t="s">
        <v>326</v>
      </c>
      <c r="K903" t="s">
        <v>57</v>
      </c>
    </row>
    <row r="904" spans="1:11" x14ac:dyDescent="0.35">
      <c r="A904" t="s">
        <v>1319</v>
      </c>
      <c r="B904">
        <v>2024</v>
      </c>
      <c r="C904" t="s">
        <v>1051</v>
      </c>
      <c r="D904" t="s">
        <v>85</v>
      </c>
      <c r="E904" t="s">
        <v>116</v>
      </c>
      <c r="F904" t="s">
        <v>129</v>
      </c>
      <c r="G904" t="s">
        <v>128</v>
      </c>
      <c r="H904" t="s">
        <v>285</v>
      </c>
      <c r="I904" t="s">
        <v>86</v>
      </c>
      <c r="J904" t="s">
        <v>326</v>
      </c>
      <c r="K904" t="s">
        <v>57</v>
      </c>
    </row>
    <row r="905" spans="1:11" x14ac:dyDescent="0.35">
      <c r="A905" t="s">
        <v>1320</v>
      </c>
      <c r="B905">
        <v>2024</v>
      </c>
      <c r="C905" t="s">
        <v>1051</v>
      </c>
      <c r="D905" t="s">
        <v>76</v>
      </c>
      <c r="E905" t="s">
        <v>119</v>
      </c>
      <c r="F905" t="s">
        <v>125</v>
      </c>
      <c r="G905" t="s">
        <v>132</v>
      </c>
      <c r="H905" t="s">
        <v>285</v>
      </c>
      <c r="I905" t="s">
        <v>86</v>
      </c>
      <c r="J905" t="s">
        <v>286</v>
      </c>
      <c r="K905" t="s">
        <v>57</v>
      </c>
    </row>
    <row r="906" spans="1:11" x14ac:dyDescent="0.35">
      <c r="A906" t="s">
        <v>1321</v>
      </c>
      <c r="B906">
        <v>2024</v>
      </c>
      <c r="C906" t="s">
        <v>1051</v>
      </c>
      <c r="D906" t="s">
        <v>85</v>
      </c>
      <c r="E906" t="s">
        <v>344</v>
      </c>
      <c r="F906" t="s">
        <v>129</v>
      </c>
      <c r="G906" t="s">
        <v>130</v>
      </c>
      <c r="H906" t="s">
        <v>305</v>
      </c>
      <c r="I906" t="s">
        <v>77</v>
      </c>
      <c r="J906" t="s">
        <v>286</v>
      </c>
      <c r="K906" t="s">
        <v>57</v>
      </c>
    </row>
    <row r="907" spans="1:11" x14ac:dyDescent="0.35">
      <c r="A907" t="s">
        <v>1322</v>
      </c>
      <c r="B907">
        <v>2024</v>
      </c>
      <c r="C907" t="s">
        <v>1051</v>
      </c>
      <c r="D907" t="s">
        <v>85</v>
      </c>
      <c r="E907" t="s">
        <v>120</v>
      </c>
      <c r="F907" t="s">
        <v>288</v>
      </c>
      <c r="G907" t="s">
        <v>132</v>
      </c>
      <c r="H907" t="s">
        <v>285</v>
      </c>
      <c r="I907" t="s">
        <v>289</v>
      </c>
      <c r="J907" t="s">
        <v>403</v>
      </c>
      <c r="K907" t="s">
        <v>57</v>
      </c>
    </row>
    <row r="908" spans="1:11" x14ac:dyDescent="0.35">
      <c r="A908" t="s">
        <v>1323</v>
      </c>
      <c r="B908">
        <v>2024</v>
      </c>
      <c r="C908" t="s">
        <v>1051</v>
      </c>
      <c r="D908" t="s">
        <v>85</v>
      </c>
      <c r="E908" t="s">
        <v>344</v>
      </c>
      <c r="F908" t="s">
        <v>131</v>
      </c>
      <c r="G908" t="s">
        <v>130</v>
      </c>
      <c r="H908" t="s">
        <v>285</v>
      </c>
      <c r="I908" t="s">
        <v>77</v>
      </c>
      <c r="J908" t="s">
        <v>295</v>
      </c>
      <c r="K908" t="s">
        <v>57</v>
      </c>
    </row>
    <row r="909" spans="1:11" x14ac:dyDescent="0.35">
      <c r="A909" t="s">
        <v>1324</v>
      </c>
      <c r="B909">
        <v>2024</v>
      </c>
      <c r="C909" t="s">
        <v>1051</v>
      </c>
      <c r="D909" t="s">
        <v>85</v>
      </c>
      <c r="E909" t="s">
        <v>120</v>
      </c>
      <c r="F909" t="s">
        <v>127</v>
      </c>
      <c r="G909" t="s">
        <v>128</v>
      </c>
      <c r="H909" t="s">
        <v>285</v>
      </c>
      <c r="I909" t="s">
        <v>86</v>
      </c>
      <c r="J909" t="s">
        <v>405</v>
      </c>
      <c r="K909" t="s">
        <v>57</v>
      </c>
    </row>
    <row r="910" spans="1:11" x14ac:dyDescent="0.35">
      <c r="A910" t="s">
        <v>1325</v>
      </c>
      <c r="B910">
        <v>2024</v>
      </c>
      <c r="C910" t="s">
        <v>1051</v>
      </c>
      <c r="D910" t="s">
        <v>76</v>
      </c>
      <c r="E910" t="s">
        <v>107</v>
      </c>
      <c r="F910" t="s">
        <v>125</v>
      </c>
      <c r="G910" t="s">
        <v>126</v>
      </c>
      <c r="H910" t="s">
        <v>285</v>
      </c>
      <c r="I910" t="s">
        <v>77</v>
      </c>
      <c r="J910" t="s">
        <v>317</v>
      </c>
      <c r="K910" t="s">
        <v>57</v>
      </c>
    </row>
    <row r="911" spans="1:11" x14ac:dyDescent="0.35">
      <c r="A911" t="s">
        <v>1326</v>
      </c>
      <c r="B911">
        <v>2024</v>
      </c>
      <c r="C911" t="s">
        <v>1051</v>
      </c>
      <c r="D911" t="s">
        <v>85</v>
      </c>
      <c r="E911" t="s">
        <v>120</v>
      </c>
      <c r="F911" t="s">
        <v>127</v>
      </c>
      <c r="G911" t="s">
        <v>128</v>
      </c>
      <c r="H911" t="s">
        <v>357</v>
      </c>
      <c r="I911" t="s">
        <v>86</v>
      </c>
      <c r="J911" t="s">
        <v>347</v>
      </c>
      <c r="K911" t="s">
        <v>57</v>
      </c>
    </row>
    <row r="912" spans="1:11" x14ac:dyDescent="0.35">
      <c r="A912" t="s">
        <v>1327</v>
      </c>
      <c r="B912">
        <v>2024</v>
      </c>
      <c r="C912" t="s">
        <v>1051</v>
      </c>
      <c r="D912" t="s">
        <v>76</v>
      </c>
      <c r="E912" t="s">
        <v>119</v>
      </c>
      <c r="F912" t="s">
        <v>125</v>
      </c>
      <c r="G912" t="s">
        <v>132</v>
      </c>
      <c r="H912" t="s">
        <v>285</v>
      </c>
      <c r="I912" t="s">
        <v>77</v>
      </c>
      <c r="J912" t="s">
        <v>286</v>
      </c>
      <c r="K912" t="s">
        <v>57</v>
      </c>
    </row>
    <row r="913" spans="1:11" x14ac:dyDescent="0.35">
      <c r="A913" t="s">
        <v>1328</v>
      </c>
      <c r="B913">
        <v>2024</v>
      </c>
      <c r="C913" t="s">
        <v>1051</v>
      </c>
      <c r="D913" t="s">
        <v>85</v>
      </c>
      <c r="E913" t="s">
        <v>117</v>
      </c>
      <c r="F913" t="s">
        <v>288</v>
      </c>
      <c r="G913" t="s">
        <v>126</v>
      </c>
      <c r="H913" t="s">
        <v>305</v>
      </c>
      <c r="I913" t="s">
        <v>289</v>
      </c>
      <c r="J913" t="s">
        <v>405</v>
      </c>
      <c r="K913" t="s">
        <v>57</v>
      </c>
    </row>
    <row r="914" spans="1:11" x14ac:dyDescent="0.35">
      <c r="A914" t="s">
        <v>1329</v>
      </c>
      <c r="B914">
        <v>2024</v>
      </c>
      <c r="C914" t="s">
        <v>1051</v>
      </c>
      <c r="D914" t="s">
        <v>85</v>
      </c>
      <c r="E914" t="s">
        <v>117</v>
      </c>
      <c r="F914" t="s">
        <v>288</v>
      </c>
      <c r="G914" t="s">
        <v>132</v>
      </c>
      <c r="H914" t="s">
        <v>305</v>
      </c>
      <c r="I914" t="s">
        <v>86</v>
      </c>
      <c r="J914" t="s">
        <v>1094</v>
      </c>
      <c r="K914" t="s">
        <v>42</v>
      </c>
    </row>
    <row r="915" spans="1:11" x14ac:dyDescent="0.35">
      <c r="A915" t="s">
        <v>1330</v>
      </c>
      <c r="B915">
        <v>2024</v>
      </c>
      <c r="C915" t="s">
        <v>1051</v>
      </c>
      <c r="D915" t="s">
        <v>85</v>
      </c>
      <c r="E915" t="s">
        <v>116</v>
      </c>
      <c r="F915" t="s">
        <v>129</v>
      </c>
      <c r="G915" t="s">
        <v>128</v>
      </c>
      <c r="H915" t="s">
        <v>285</v>
      </c>
      <c r="I915" t="s">
        <v>288</v>
      </c>
      <c r="J915" t="s">
        <v>288</v>
      </c>
      <c r="K915" t="s">
        <v>57</v>
      </c>
    </row>
    <row r="916" spans="1:11" x14ac:dyDescent="0.35">
      <c r="A916" t="s">
        <v>1331</v>
      </c>
      <c r="B916">
        <v>2024</v>
      </c>
      <c r="C916" t="s">
        <v>1051</v>
      </c>
      <c r="D916" t="s">
        <v>85</v>
      </c>
      <c r="E916" t="s">
        <v>116</v>
      </c>
      <c r="F916" t="s">
        <v>129</v>
      </c>
      <c r="G916" t="s">
        <v>130</v>
      </c>
      <c r="H916" t="s">
        <v>285</v>
      </c>
      <c r="I916" t="s">
        <v>77</v>
      </c>
      <c r="J916" t="s">
        <v>286</v>
      </c>
      <c r="K916" t="s">
        <v>57</v>
      </c>
    </row>
    <row r="917" spans="1:11" x14ac:dyDescent="0.35">
      <c r="A917" t="s">
        <v>1332</v>
      </c>
      <c r="B917">
        <v>2024</v>
      </c>
      <c r="C917" t="s">
        <v>1051</v>
      </c>
      <c r="D917" t="s">
        <v>85</v>
      </c>
      <c r="E917" t="s">
        <v>344</v>
      </c>
      <c r="F917" t="s">
        <v>288</v>
      </c>
      <c r="G917" t="s">
        <v>128</v>
      </c>
      <c r="H917" t="s">
        <v>305</v>
      </c>
      <c r="I917" t="s">
        <v>86</v>
      </c>
      <c r="J917" t="s">
        <v>308</v>
      </c>
      <c r="K917" t="s">
        <v>42</v>
      </c>
    </row>
    <row r="918" spans="1:11" x14ac:dyDescent="0.35">
      <c r="A918" t="s">
        <v>1333</v>
      </c>
      <c r="B918">
        <v>2024</v>
      </c>
      <c r="C918" t="s">
        <v>1051</v>
      </c>
      <c r="D918" t="s">
        <v>85</v>
      </c>
      <c r="E918" t="s">
        <v>120</v>
      </c>
      <c r="F918" t="s">
        <v>288</v>
      </c>
      <c r="G918" t="s">
        <v>128</v>
      </c>
      <c r="H918" t="s">
        <v>285</v>
      </c>
      <c r="I918" t="s">
        <v>288</v>
      </c>
      <c r="J918" t="s">
        <v>288</v>
      </c>
      <c r="K918" t="s">
        <v>57</v>
      </c>
    </row>
    <row r="919" spans="1:11" x14ac:dyDescent="0.35">
      <c r="A919" t="s">
        <v>1334</v>
      </c>
      <c r="B919">
        <v>2024</v>
      </c>
      <c r="C919" t="s">
        <v>1051</v>
      </c>
      <c r="D919" t="s">
        <v>85</v>
      </c>
      <c r="E919" t="s">
        <v>120</v>
      </c>
      <c r="F919" t="s">
        <v>134</v>
      </c>
      <c r="G919" t="s">
        <v>132</v>
      </c>
      <c r="H919" t="s">
        <v>305</v>
      </c>
      <c r="I919" t="s">
        <v>77</v>
      </c>
      <c r="J919" t="s">
        <v>295</v>
      </c>
      <c r="K919" t="s">
        <v>57</v>
      </c>
    </row>
    <row r="920" spans="1:11" x14ac:dyDescent="0.35">
      <c r="A920" t="s">
        <v>1335</v>
      </c>
      <c r="B920">
        <v>2024</v>
      </c>
      <c r="C920" t="s">
        <v>1051</v>
      </c>
      <c r="D920" t="s">
        <v>85</v>
      </c>
      <c r="E920" t="s">
        <v>116</v>
      </c>
      <c r="F920" t="s">
        <v>129</v>
      </c>
      <c r="G920" t="s">
        <v>130</v>
      </c>
      <c r="H920" t="s">
        <v>285</v>
      </c>
      <c r="I920" t="s">
        <v>289</v>
      </c>
      <c r="J920" t="s">
        <v>286</v>
      </c>
      <c r="K920" t="s">
        <v>57</v>
      </c>
    </row>
    <row r="921" spans="1:11" x14ac:dyDescent="0.35">
      <c r="A921" t="s">
        <v>1336</v>
      </c>
      <c r="B921">
        <v>2024</v>
      </c>
      <c r="C921" t="s">
        <v>1051</v>
      </c>
      <c r="D921" t="s">
        <v>85</v>
      </c>
      <c r="E921" t="s">
        <v>120</v>
      </c>
      <c r="F921" t="s">
        <v>129</v>
      </c>
      <c r="G921" t="s">
        <v>126</v>
      </c>
      <c r="H921" t="s">
        <v>305</v>
      </c>
      <c r="I921" t="s">
        <v>407</v>
      </c>
      <c r="J921" t="s">
        <v>317</v>
      </c>
      <c r="K921" t="s">
        <v>57</v>
      </c>
    </row>
    <row r="922" spans="1:11" x14ac:dyDescent="0.35">
      <c r="A922" t="s">
        <v>1337</v>
      </c>
      <c r="B922">
        <v>2024</v>
      </c>
      <c r="C922" t="s">
        <v>1051</v>
      </c>
      <c r="D922" t="s">
        <v>76</v>
      </c>
      <c r="E922" t="s">
        <v>110</v>
      </c>
      <c r="F922" t="s">
        <v>129</v>
      </c>
      <c r="G922" t="s">
        <v>130</v>
      </c>
      <c r="H922" t="s">
        <v>285</v>
      </c>
      <c r="I922" t="s">
        <v>86</v>
      </c>
      <c r="J922" t="s">
        <v>326</v>
      </c>
      <c r="K922" t="s">
        <v>57</v>
      </c>
    </row>
    <row r="923" spans="1:11" x14ac:dyDescent="0.35">
      <c r="A923" t="s">
        <v>1338</v>
      </c>
      <c r="B923">
        <v>2024</v>
      </c>
      <c r="C923" t="s">
        <v>1051</v>
      </c>
      <c r="D923" t="s">
        <v>85</v>
      </c>
      <c r="E923" t="s">
        <v>117</v>
      </c>
      <c r="F923" t="s">
        <v>127</v>
      </c>
      <c r="G923" t="s">
        <v>128</v>
      </c>
      <c r="H923" t="s">
        <v>305</v>
      </c>
      <c r="I923" t="s">
        <v>289</v>
      </c>
      <c r="J923" t="s">
        <v>405</v>
      </c>
      <c r="K923" t="s">
        <v>57</v>
      </c>
    </row>
    <row r="924" spans="1:11" x14ac:dyDescent="0.35">
      <c r="A924" t="s">
        <v>1339</v>
      </c>
      <c r="B924">
        <v>2024</v>
      </c>
      <c r="C924" t="s">
        <v>1051</v>
      </c>
      <c r="D924" t="s">
        <v>85</v>
      </c>
      <c r="E924" t="s">
        <v>117</v>
      </c>
      <c r="F924" t="s">
        <v>127</v>
      </c>
      <c r="G924" t="s">
        <v>128</v>
      </c>
      <c r="H924" t="s">
        <v>305</v>
      </c>
      <c r="I924" t="s">
        <v>289</v>
      </c>
      <c r="J924" t="s">
        <v>405</v>
      </c>
      <c r="K924" t="s">
        <v>57</v>
      </c>
    </row>
    <row r="925" spans="1:11" x14ac:dyDescent="0.35">
      <c r="A925" t="s">
        <v>1340</v>
      </c>
      <c r="B925">
        <v>2024</v>
      </c>
      <c r="C925" t="s">
        <v>1051</v>
      </c>
      <c r="D925" t="s">
        <v>85</v>
      </c>
      <c r="E925" t="s">
        <v>117</v>
      </c>
      <c r="F925" t="s">
        <v>127</v>
      </c>
      <c r="G925" t="s">
        <v>128</v>
      </c>
      <c r="H925" t="s">
        <v>305</v>
      </c>
      <c r="I925" t="s">
        <v>289</v>
      </c>
      <c r="J925" t="s">
        <v>405</v>
      </c>
      <c r="K925" t="s">
        <v>57</v>
      </c>
    </row>
    <row r="926" spans="1:11" x14ac:dyDescent="0.35">
      <c r="A926" t="s">
        <v>1341</v>
      </c>
      <c r="B926">
        <v>2024</v>
      </c>
      <c r="C926" t="s">
        <v>1051</v>
      </c>
      <c r="D926" t="s">
        <v>85</v>
      </c>
      <c r="E926" t="s">
        <v>120</v>
      </c>
      <c r="F926" t="s">
        <v>134</v>
      </c>
      <c r="G926" t="s">
        <v>128</v>
      </c>
      <c r="H926" t="s">
        <v>297</v>
      </c>
      <c r="I926" t="s">
        <v>77</v>
      </c>
      <c r="J926" t="s">
        <v>286</v>
      </c>
      <c r="K926" t="s">
        <v>57</v>
      </c>
    </row>
    <row r="927" spans="1:11" x14ac:dyDescent="0.35">
      <c r="A927" t="s">
        <v>1342</v>
      </c>
      <c r="B927">
        <v>2024</v>
      </c>
      <c r="C927" t="s">
        <v>1051</v>
      </c>
      <c r="D927" t="s">
        <v>85</v>
      </c>
      <c r="E927" t="s">
        <v>120</v>
      </c>
      <c r="F927" t="s">
        <v>288</v>
      </c>
      <c r="G927" t="s">
        <v>128</v>
      </c>
      <c r="H927" t="s">
        <v>285</v>
      </c>
      <c r="I927" t="s">
        <v>288</v>
      </c>
      <c r="J927" t="s">
        <v>288</v>
      </c>
      <c r="K927" t="s">
        <v>57</v>
      </c>
    </row>
    <row r="928" spans="1:11" x14ac:dyDescent="0.35">
      <c r="A928" t="s">
        <v>1343</v>
      </c>
      <c r="B928">
        <v>2024</v>
      </c>
      <c r="C928" t="s">
        <v>1051</v>
      </c>
      <c r="D928" t="s">
        <v>76</v>
      </c>
      <c r="E928" t="s">
        <v>119</v>
      </c>
      <c r="F928" t="s">
        <v>127</v>
      </c>
      <c r="G928" t="s">
        <v>128</v>
      </c>
      <c r="H928" t="s">
        <v>285</v>
      </c>
      <c r="I928" t="s">
        <v>86</v>
      </c>
      <c r="J928" t="s">
        <v>317</v>
      </c>
      <c r="K928" t="s">
        <v>57</v>
      </c>
    </row>
    <row r="929" spans="1:11" x14ac:dyDescent="0.35">
      <c r="A929" t="s">
        <v>1344</v>
      </c>
      <c r="B929">
        <v>2024</v>
      </c>
      <c r="C929" t="s">
        <v>1051</v>
      </c>
      <c r="D929" t="s">
        <v>76</v>
      </c>
      <c r="E929" t="s">
        <v>115</v>
      </c>
      <c r="F929" t="s">
        <v>127</v>
      </c>
      <c r="G929" t="s">
        <v>128</v>
      </c>
      <c r="H929" t="s">
        <v>285</v>
      </c>
      <c r="I929" t="s">
        <v>86</v>
      </c>
      <c r="J929" t="s">
        <v>286</v>
      </c>
      <c r="K929" t="s">
        <v>57</v>
      </c>
    </row>
    <row r="930" spans="1:11" x14ac:dyDescent="0.35">
      <c r="A930" t="s">
        <v>1345</v>
      </c>
      <c r="B930">
        <v>2024</v>
      </c>
      <c r="C930" t="s">
        <v>1051</v>
      </c>
      <c r="D930" t="s">
        <v>76</v>
      </c>
      <c r="E930" t="s">
        <v>107</v>
      </c>
      <c r="F930" t="s">
        <v>125</v>
      </c>
      <c r="G930" t="s">
        <v>126</v>
      </c>
      <c r="H930" t="s">
        <v>285</v>
      </c>
      <c r="I930" t="s">
        <v>77</v>
      </c>
      <c r="J930" t="s">
        <v>286</v>
      </c>
      <c r="K930" t="s">
        <v>57</v>
      </c>
    </row>
    <row r="931" spans="1:11" x14ac:dyDescent="0.35">
      <c r="A931" t="s">
        <v>1346</v>
      </c>
      <c r="B931">
        <v>2024</v>
      </c>
      <c r="C931" t="s">
        <v>1051</v>
      </c>
      <c r="D931" t="s">
        <v>85</v>
      </c>
      <c r="E931" t="s">
        <v>117</v>
      </c>
      <c r="F931" t="s">
        <v>129</v>
      </c>
      <c r="G931" t="s">
        <v>126</v>
      </c>
      <c r="H931" t="s">
        <v>305</v>
      </c>
      <c r="I931" t="s">
        <v>86</v>
      </c>
      <c r="J931" t="s">
        <v>1347</v>
      </c>
      <c r="K931" t="s">
        <v>42</v>
      </c>
    </row>
    <row r="932" spans="1:11" x14ac:dyDescent="0.35">
      <c r="A932" t="s">
        <v>1348</v>
      </c>
      <c r="B932">
        <v>2024</v>
      </c>
      <c r="C932" t="s">
        <v>1051</v>
      </c>
      <c r="D932" t="s">
        <v>76</v>
      </c>
      <c r="E932" t="s">
        <v>118</v>
      </c>
      <c r="F932" t="s">
        <v>131</v>
      </c>
      <c r="G932" t="s">
        <v>130</v>
      </c>
      <c r="H932" t="s">
        <v>285</v>
      </c>
      <c r="I932" t="s">
        <v>77</v>
      </c>
      <c r="J932" t="s">
        <v>286</v>
      </c>
      <c r="K932" t="s">
        <v>57</v>
      </c>
    </row>
    <row r="933" spans="1:11" x14ac:dyDescent="0.35">
      <c r="A933" t="s">
        <v>1349</v>
      </c>
      <c r="B933">
        <v>2024</v>
      </c>
      <c r="C933" t="s">
        <v>1051</v>
      </c>
      <c r="D933" t="s">
        <v>85</v>
      </c>
      <c r="E933" t="s">
        <v>120</v>
      </c>
      <c r="F933" t="s">
        <v>133</v>
      </c>
      <c r="G933" t="s">
        <v>128</v>
      </c>
      <c r="H933" t="s">
        <v>285</v>
      </c>
      <c r="I933" t="s">
        <v>77</v>
      </c>
      <c r="J933" t="s">
        <v>361</v>
      </c>
      <c r="K933" t="s">
        <v>57</v>
      </c>
    </row>
    <row r="934" spans="1:11" x14ac:dyDescent="0.35">
      <c r="A934" t="s">
        <v>1350</v>
      </c>
      <c r="B934">
        <v>2024</v>
      </c>
      <c r="C934" t="s">
        <v>1051</v>
      </c>
      <c r="D934" t="s">
        <v>85</v>
      </c>
      <c r="E934" t="s">
        <v>116</v>
      </c>
      <c r="F934" t="s">
        <v>288</v>
      </c>
      <c r="G934" t="s">
        <v>128</v>
      </c>
      <c r="H934" t="s">
        <v>285</v>
      </c>
      <c r="I934" t="s">
        <v>288</v>
      </c>
      <c r="J934" t="s">
        <v>288</v>
      </c>
      <c r="K934" t="s">
        <v>57</v>
      </c>
    </row>
    <row r="935" spans="1:11" x14ac:dyDescent="0.35">
      <c r="A935" t="s">
        <v>1351</v>
      </c>
      <c r="B935">
        <v>2024</v>
      </c>
      <c r="C935" t="s">
        <v>1051</v>
      </c>
      <c r="D935" t="s">
        <v>85</v>
      </c>
      <c r="E935" t="s">
        <v>120</v>
      </c>
      <c r="F935" t="s">
        <v>133</v>
      </c>
      <c r="G935" t="s">
        <v>128</v>
      </c>
      <c r="H935" t="s">
        <v>285</v>
      </c>
      <c r="I935" t="s">
        <v>77</v>
      </c>
      <c r="J935" t="s">
        <v>286</v>
      </c>
      <c r="K935" t="s">
        <v>57</v>
      </c>
    </row>
    <row r="936" spans="1:11" x14ac:dyDescent="0.35">
      <c r="A936" t="s">
        <v>1352</v>
      </c>
      <c r="B936">
        <v>2024</v>
      </c>
      <c r="C936" t="s">
        <v>1051</v>
      </c>
      <c r="D936" t="s">
        <v>85</v>
      </c>
      <c r="E936" t="s">
        <v>116</v>
      </c>
      <c r="F936" t="s">
        <v>125</v>
      </c>
      <c r="G936" t="s">
        <v>126</v>
      </c>
      <c r="H936" t="s">
        <v>285</v>
      </c>
      <c r="I936" t="s">
        <v>77</v>
      </c>
      <c r="J936" t="s">
        <v>286</v>
      </c>
      <c r="K936" t="s">
        <v>57</v>
      </c>
    </row>
    <row r="937" spans="1:11" x14ac:dyDescent="0.35">
      <c r="A937" t="s">
        <v>1353</v>
      </c>
      <c r="B937">
        <v>2024</v>
      </c>
      <c r="C937" t="s">
        <v>1051</v>
      </c>
      <c r="D937" t="s">
        <v>85</v>
      </c>
      <c r="E937" t="s">
        <v>117</v>
      </c>
      <c r="F937" t="s">
        <v>133</v>
      </c>
      <c r="G937" t="s">
        <v>128</v>
      </c>
      <c r="H937" t="s">
        <v>285</v>
      </c>
      <c r="I937" t="s">
        <v>337</v>
      </c>
      <c r="J937" t="s">
        <v>317</v>
      </c>
      <c r="K937" t="s">
        <v>57</v>
      </c>
    </row>
    <row r="938" spans="1:11" x14ac:dyDescent="0.35">
      <c r="A938" t="s">
        <v>1354</v>
      </c>
      <c r="B938">
        <v>2024</v>
      </c>
      <c r="C938" t="s">
        <v>1051</v>
      </c>
      <c r="D938" t="s">
        <v>85</v>
      </c>
      <c r="E938" t="s">
        <v>116</v>
      </c>
      <c r="F938" t="s">
        <v>288</v>
      </c>
      <c r="G938" t="s">
        <v>126</v>
      </c>
      <c r="H938" t="s">
        <v>285</v>
      </c>
      <c r="I938" t="s">
        <v>77</v>
      </c>
      <c r="J938" t="s">
        <v>286</v>
      </c>
      <c r="K938" t="s">
        <v>57</v>
      </c>
    </row>
    <row r="939" spans="1:11" x14ac:dyDescent="0.35">
      <c r="A939" t="s">
        <v>1355</v>
      </c>
      <c r="B939">
        <v>2024</v>
      </c>
      <c r="C939" t="s">
        <v>1051</v>
      </c>
      <c r="D939" t="s">
        <v>85</v>
      </c>
      <c r="E939" t="s">
        <v>120</v>
      </c>
      <c r="F939" t="s">
        <v>131</v>
      </c>
      <c r="G939" t="s">
        <v>128</v>
      </c>
      <c r="H939" t="s">
        <v>285</v>
      </c>
      <c r="I939" t="s">
        <v>77</v>
      </c>
      <c r="J939" t="s">
        <v>286</v>
      </c>
      <c r="K939" t="s">
        <v>57</v>
      </c>
    </row>
    <row r="940" spans="1:11" x14ac:dyDescent="0.35">
      <c r="A940" t="s">
        <v>1356</v>
      </c>
      <c r="B940">
        <v>2024</v>
      </c>
      <c r="C940" t="s">
        <v>1051</v>
      </c>
      <c r="D940" t="s">
        <v>85</v>
      </c>
      <c r="E940" t="s">
        <v>116</v>
      </c>
      <c r="F940" t="s">
        <v>127</v>
      </c>
      <c r="G940" t="s">
        <v>128</v>
      </c>
      <c r="H940" t="s">
        <v>285</v>
      </c>
      <c r="I940" t="s">
        <v>86</v>
      </c>
      <c r="J940" t="s">
        <v>566</v>
      </c>
      <c r="K940" t="s">
        <v>42</v>
      </c>
    </row>
    <row r="941" spans="1:11" x14ac:dyDescent="0.35">
      <c r="A941" t="s">
        <v>1357</v>
      </c>
      <c r="B941">
        <v>2024</v>
      </c>
      <c r="C941" t="s">
        <v>1051</v>
      </c>
      <c r="D941" t="s">
        <v>76</v>
      </c>
      <c r="E941" t="s">
        <v>107</v>
      </c>
      <c r="F941" t="s">
        <v>127</v>
      </c>
      <c r="G941" t="s">
        <v>128</v>
      </c>
      <c r="H941" t="s">
        <v>285</v>
      </c>
      <c r="I941" t="s">
        <v>86</v>
      </c>
      <c r="J941" t="s">
        <v>308</v>
      </c>
      <c r="K941" t="s">
        <v>42</v>
      </c>
    </row>
    <row r="942" spans="1:11" x14ac:dyDescent="0.35">
      <c r="A942" t="s">
        <v>1358</v>
      </c>
      <c r="B942">
        <v>2024</v>
      </c>
      <c r="C942" t="s">
        <v>1051</v>
      </c>
      <c r="D942" t="s">
        <v>76</v>
      </c>
      <c r="E942" t="s">
        <v>109</v>
      </c>
      <c r="F942" t="s">
        <v>127</v>
      </c>
      <c r="G942" t="s">
        <v>130</v>
      </c>
      <c r="H942" t="s">
        <v>285</v>
      </c>
      <c r="I942" t="s">
        <v>288</v>
      </c>
      <c r="J942" t="s">
        <v>288</v>
      </c>
      <c r="K942" t="s">
        <v>57</v>
      </c>
    </row>
    <row r="943" spans="1:11" x14ac:dyDescent="0.35">
      <c r="A943" t="s">
        <v>1359</v>
      </c>
      <c r="B943">
        <v>2024</v>
      </c>
      <c r="C943" t="s">
        <v>1051</v>
      </c>
      <c r="D943" t="s">
        <v>85</v>
      </c>
      <c r="E943" t="s">
        <v>116</v>
      </c>
      <c r="F943" t="s">
        <v>127</v>
      </c>
      <c r="G943" t="s">
        <v>132</v>
      </c>
      <c r="H943" t="s">
        <v>285</v>
      </c>
      <c r="I943" t="s">
        <v>289</v>
      </c>
      <c r="J943" t="s">
        <v>412</v>
      </c>
      <c r="K943" t="s">
        <v>57</v>
      </c>
    </row>
    <row r="944" spans="1:11" x14ac:dyDescent="0.35">
      <c r="A944" t="s">
        <v>1360</v>
      </c>
      <c r="B944">
        <v>2024</v>
      </c>
      <c r="C944" t="s">
        <v>1051</v>
      </c>
      <c r="D944" t="s">
        <v>85</v>
      </c>
      <c r="E944" t="s">
        <v>116</v>
      </c>
      <c r="F944" t="s">
        <v>129</v>
      </c>
      <c r="G944" t="s">
        <v>128</v>
      </c>
      <c r="H944" t="s">
        <v>285</v>
      </c>
      <c r="I944" t="s">
        <v>289</v>
      </c>
      <c r="J944" t="s">
        <v>286</v>
      </c>
      <c r="K944" t="s">
        <v>57</v>
      </c>
    </row>
    <row r="945" spans="1:11" x14ac:dyDescent="0.35">
      <c r="A945" t="s">
        <v>1361</v>
      </c>
      <c r="B945">
        <v>2024</v>
      </c>
      <c r="C945" t="s">
        <v>1051</v>
      </c>
      <c r="D945" t="s">
        <v>85</v>
      </c>
      <c r="E945" t="s">
        <v>120</v>
      </c>
      <c r="F945" t="s">
        <v>288</v>
      </c>
      <c r="G945" t="s">
        <v>126</v>
      </c>
      <c r="H945" t="s">
        <v>285</v>
      </c>
      <c r="I945" t="s">
        <v>288</v>
      </c>
      <c r="J945" t="s">
        <v>288</v>
      </c>
      <c r="K945" t="s">
        <v>57</v>
      </c>
    </row>
    <row r="946" spans="1:11" x14ac:dyDescent="0.35">
      <c r="A946" t="s">
        <v>1362</v>
      </c>
      <c r="B946">
        <v>2024</v>
      </c>
      <c r="C946" t="s">
        <v>1051</v>
      </c>
      <c r="D946" t="s">
        <v>85</v>
      </c>
      <c r="E946" t="s">
        <v>116</v>
      </c>
      <c r="F946" t="s">
        <v>129</v>
      </c>
      <c r="G946" t="s">
        <v>130</v>
      </c>
      <c r="H946" t="s">
        <v>285</v>
      </c>
      <c r="I946" t="s">
        <v>289</v>
      </c>
      <c r="J946" t="s">
        <v>326</v>
      </c>
      <c r="K946" t="s">
        <v>57</v>
      </c>
    </row>
    <row r="947" spans="1:11" x14ac:dyDescent="0.35">
      <c r="A947" t="s">
        <v>1363</v>
      </c>
      <c r="B947">
        <v>2024</v>
      </c>
      <c r="C947" t="s">
        <v>1051</v>
      </c>
      <c r="D947" t="s">
        <v>85</v>
      </c>
      <c r="E947" t="s">
        <v>116</v>
      </c>
      <c r="F947" t="s">
        <v>131</v>
      </c>
      <c r="G947" t="s">
        <v>128</v>
      </c>
      <c r="H947" t="s">
        <v>285</v>
      </c>
      <c r="I947" t="s">
        <v>1077</v>
      </c>
      <c r="J947" t="s">
        <v>515</v>
      </c>
      <c r="K947" t="s">
        <v>57</v>
      </c>
    </row>
    <row r="948" spans="1:11" x14ac:dyDescent="0.35">
      <c r="A948" t="s">
        <v>1364</v>
      </c>
      <c r="B948">
        <v>2024</v>
      </c>
      <c r="C948" t="s">
        <v>1051</v>
      </c>
      <c r="D948" t="s">
        <v>76</v>
      </c>
      <c r="E948" t="s">
        <v>115</v>
      </c>
      <c r="F948" t="s">
        <v>127</v>
      </c>
      <c r="G948" t="s">
        <v>132</v>
      </c>
      <c r="H948" t="s">
        <v>285</v>
      </c>
      <c r="I948" t="s">
        <v>86</v>
      </c>
      <c r="J948" t="s">
        <v>317</v>
      </c>
      <c r="K948" t="s">
        <v>57</v>
      </c>
    </row>
    <row r="949" spans="1:11" x14ac:dyDescent="0.35">
      <c r="A949" t="s">
        <v>1365</v>
      </c>
      <c r="B949">
        <v>2024</v>
      </c>
      <c r="C949" t="s">
        <v>1051</v>
      </c>
      <c r="D949" t="s">
        <v>76</v>
      </c>
      <c r="E949" t="s">
        <v>113</v>
      </c>
      <c r="F949" t="s">
        <v>129</v>
      </c>
      <c r="G949" t="s">
        <v>126</v>
      </c>
      <c r="H949" t="s">
        <v>285</v>
      </c>
      <c r="I949" t="s">
        <v>77</v>
      </c>
      <c r="J949" t="s">
        <v>286</v>
      </c>
      <c r="K949" t="s">
        <v>57</v>
      </c>
    </row>
    <row r="950" spans="1:11" x14ac:dyDescent="0.35">
      <c r="A950" t="s">
        <v>1366</v>
      </c>
      <c r="B950">
        <v>2024</v>
      </c>
      <c r="C950" t="s">
        <v>1051</v>
      </c>
      <c r="D950" t="s">
        <v>76</v>
      </c>
      <c r="E950" t="s">
        <v>114</v>
      </c>
      <c r="F950" t="s">
        <v>125</v>
      </c>
      <c r="G950" t="s">
        <v>126</v>
      </c>
      <c r="H950" t="s">
        <v>285</v>
      </c>
      <c r="I950" t="s">
        <v>86</v>
      </c>
      <c r="J950" t="s">
        <v>286</v>
      </c>
      <c r="K950" t="s">
        <v>57</v>
      </c>
    </row>
    <row r="951" spans="1:11" x14ac:dyDescent="0.35">
      <c r="A951" t="s">
        <v>1367</v>
      </c>
      <c r="B951">
        <v>2024</v>
      </c>
      <c r="C951" t="s">
        <v>1051</v>
      </c>
      <c r="D951" t="s">
        <v>85</v>
      </c>
      <c r="E951" t="s">
        <v>116</v>
      </c>
      <c r="F951" t="s">
        <v>127</v>
      </c>
      <c r="G951" t="s">
        <v>132</v>
      </c>
      <c r="H951" t="s">
        <v>285</v>
      </c>
      <c r="I951" t="s">
        <v>289</v>
      </c>
      <c r="J951" t="s">
        <v>405</v>
      </c>
      <c r="K951" t="s">
        <v>57</v>
      </c>
    </row>
    <row r="952" spans="1:11" x14ac:dyDescent="0.35">
      <c r="A952" t="s">
        <v>1368</v>
      </c>
      <c r="B952">
        <v>2024</v>
      </c>
      <c r="C952" t="s">
        <v>1051</v>
      </c>
      <c r="D952" t="s">
        <v>76</v>
      </c>
      <c r="E952" t="s">
        <v>110</v>
      </c>
      <c r="F952" t="s">
        <v>125</v>
      </c>
      <c r="G952" t="s">
        <v>132</v>
      </c>
      <c r="H952" t="s">
        <v>305</v>
      </c>
      <c r="I952" t="s">
        <v>86</v>
      </c>
      <c r="J952" t="s">
        <v>312</v>
      </c>
      <c r="K952" t="s">
        <v>42</v>
      </c>
    </row>
    <row r="953" spans="1:11" x14ac:dyDescent="0.35">
      <c r="A953" t="s">
        <v>1369</v>
      </c>
      <c r="B953">
        <v>2024</v>
      </c>
      <c r="C953" t="s">
        <v>1051</v>
      </c>
      <c r="D953" t="s">
        <v>85</v>
      </c>
      <c r="E953" t="s">
        <v>120</v>
      </c>
      <c r="F953" t="s">
        <v>125</v>
      </c>
      <c r="G953" t="s">
        <v>126</v>
      </c>
      <c r="H953" t="s">
        <v>285</v>
      </c>
      <c r="I953" t="s">
        <v>77</v>
      </c>
      <c r="J953" t="s">
        <v>286</v>
      </c>
      <c r="K953" t="s">
        <v>57</v>
      </c>
    </row>
    <row r="954" spans="1:11" x14ac:dyDescent="0.35">
      <c r="A954" t="s">
        <v>1370</v>
      </c>
      <c r="B954">
        <v>2024</v>
      </c>
      <c r="C954" t="s">
        <v>1051</v>
      </c>
      <c r="D954" t="s">
        <v>76</v>
      </c>
      <c r="E954" t="s">
        <v>109</v>
      </c>
      <c r="F954" t="s">
        <v>127</v>
      </c>
      <c r="G954" t="s">
        <v>128</v>
      </c>
      <c r="H954" t="s">
        <v>285</v>
      </c>
      <c r="I954" t="s">
        <v>288</v>
      </c>
      <c r="J954" t="s">
        <v>286</v>
      </c>
      <c r="K954" t="s">
        <v>57</v>
      </c>
    </row>
    <row r="955" spans="1:11" x14ac:dyDescent="0.35">
      <c r="A955" t="s">
        <v>1371</v>
      </c>
      <c r="B955">
        <v>2024</v>
      </c>
      <c r="C955" t="s">
        <v>1051</v>
      </c>
      <c r="D955" t="s">
        <v>76</v>
      </c>
      <c r="E955" t="s">
        <v>107</v>
      </c>
      <c r="F955" t="s">
        <v>125</v>
      </c>
      <c r="G955" t="s">
        <v>126</v>
      </c>
      <c r="H955" t="s">
        <v>285</v>
      </c>
      <c r="I955" t="s">
        <v>77</v>
      </c>
      <c r="J955" t="s">
        <v>286</v>
      </c>
      <c r="K955" t="s">
        <v>57</v>
      </c>
    </row>
    <row r="956" spans="1:11" x14ac:dyDescent="0.35">
      <c r="A956" t="s">
        <v>1372</v>
      </c>
      <c r="B956">
        <v>2024</v>
      </c>
      <c r="C956" t="s">
        <v>1051</v>
      </c>
      <c r="D956" t="s">
        <v>85</v>
      </c>
      <c r="E956" t="s">
        <v>117</v>
      </c>
      <c r="F956" t="s">
        <v>131</v>
      </c>
      <c r="G956" t="s">
        <v>128</v>
      </c>
      <c r="H956" t="s">
        <v>285</v>
      </c>
      <c r="I956" t="s">
        <v>289</v>
      </c>
      <c r="J956" t="s">
        <v>317</v>
      </c>
      <c r="K956" t="s">
        <v>57</v>
      </c>
    </row>
    <row r="957" spans="1:11" x14ac:dyDescent="0.35">
      <c r="A957" t="s">
        <v>1373</v>
      </c>
      <c r="B957">
        <v>2024</v>
      </c>
      <c r="C957" t="s">
        <v>1051</v>
      </c>
      <c r="D957" t="s">
        <v>85</v>
      </c>
      <c r="E957" t="s">
        <v>116</v>
      </c>
      <c r="F957" t="s">
        <v>127</v>
      </c>
      <c r="G957" t="s">
        <v>128</v>
      </c>
      <c r="H957" t="s">
        <v>285</v>
      </c>
      <c r="I957" t="s">
        <v>86</v>
      </c>
      <c r="J957" t="s">
        <v>295</v>
      </c>
      <c r="K957" t="s">
        <v>57</v>
      </c>
    </row>
    <row r="958" spans="1:11" x14ac:dyDescent="0.35">
      <c r="A958" t="s">
        <v>1374</v>
      </c>
      <c r="B958">
        <v>2024</v>
      </c>
      <c r="C958" t="s">
        <v>1051</v>
      </c>
      <c r="D958" t="s">
        <v>76</v>
      </c>
      <c r="E958" t="s">
        <v>114</v>
      </c>
      <c r="F958" t="s">
        <v>125</v>
      </c>
      <c r="G958" t="s">
        <v>126</v>
      </c>
      <c r="H958" t="s">
        <v>285</v>
      </c>
      <c r="I958" t="s">
        <v>86</v>
      </c>
      <c r="J958" t="s">
        <v>312</v>
      </c>
      <c r="K958" t="s">
        <v>42</v>
      </c>
    </row>
    <row r="959" spans="1:11" x14ac:dyDescent="0.35">
      <c r="A959" t="s">
        <v>1375</v>
      </c>
      <c r="B959">
        <v>2024</v>
      </c>
      <c r="C959" t="s">
        <v>1051</v>
      </c>
      <c r="D959" t="s">
        <v>76</v>
      </c>
      <c r="E959" t="s">
        <v>115</v>
      </c>
      <c r="F959" t="s">
        <v>125</v>
      </c>
      <c r="G959" t="s">
        <v>132</v>
      </c>
      <c r="H959" t="s">
        <v>285</v>
      </c>
      <c r="I959" t="s">
        <v>86</v>
      </c>
      <c r="J959" t="s">
        <v>288</v>
      </c>
      <c r="K959" t="s">
        <v>57</v>
      </c>
    </row>
    <row r="960" spans="1:11" x14ac:dyDescent="0.35">
      <c r="A960" t="s">
        <v>1376</v>
      </c>
      <c r="B960">
        <v>2024</v>
      </c>
      <c r="C960" t="s">
        <v>1051</v>
      </c>
      <c r="D960" t="s">
        <v>85</v>
      </c>
      <c r="E960" t="s">
        <v>116</v>
      </c>
      <c r="F960" t="s">
        <v>129</v>
      </c>
      <c r="G960" t="s">
        <v>128</v>
      </c>
      <c r="H960" t="s">
        <v>285</v>
      </c>
      <c r="I960" t="s">
        <v>288</v>
      </c>
      <c r="J960" t="s">
        <v>286</v>
      </c>
      <c r="K960" t="s">
        <v>57</v>
      </c>
    </row>
    <row r="961" spans="1:11" x14ac:dyDescent="0.35">
      <c r="A961" t="s">
        <v>1377</v>
      </c>
      <c r="B961">
        <v>2024</v>
      </c>
      <c r="C961" t="s">
        <v>1051</v>
      </c>
      <c r="D961" t="s">
        <v>76</v>
      </c>
      <c r="E961" t="s">
        <v>115</v>
      </c>
      <c r="F961" t="s">
        <v>127</v>
      </c>
      <c r="G961" t="s">
        <v>128</v>
      </c>
      <c r="H961" t="s">
        <v>285</v>
      </c>
      <c r="I961" t="s">
        <v>86</v>
      </c>
      <c r="J961" t="s">
        <v>405</v>
      </c>
      <c r="K961" t="s">
        <v>57</v>
      </c>
    </row>
    <row r="962" spans="1:11" x14ac:dyDescent="0.35">
      <c r="A962" t="s">
        <v>1378</v>
      </c>
      <c r="B962">
        <v>2024</v>
      </c>
      <c r="C962" t="s">
        <v>1051</v>
      </c>
      <c r="D962" t="s">
        <v>85</v>
      </c>
      <c r="E962" t="s">
        <v>117</v>
      </c>
      <c r="F962" t="s">
        <v>288</v>
      </c>
      <c r="G962" t="s">
        <v>130</v>
      </c>
      <c r="H962" t="s">
        <v>285</v>
      </c>
      <c r="I962" t="s">
        <v>86</v>
      </c>
      <c r="J962" t="s">
        <v>288</v>
      </c>
      <c r="K962" t="s">
        <v>57</v>
      </c>
    </row>
    <row r="963" spans="1:11" x14ac:dyDescent="0.35">
      <c r="A963" t="s">
        <v>1379</v>
      </c>
      <c r="B963">
        <v>2024</v>
      </c>
      <c r="C963" t="s">
        <v>1051</v>
      </c>
      <c r="D963" t="s">
        <v>85</v>
      </c>
      <c r="E963" t="s">
        <v>116</v>
      </c>
      <c r="F963" t="s">
        <v>125</v>
      </c>
      <c r="G963" t="s">
        <v>130</v>
      </c>
      <c r="H963" t="s">
        <v>285</v>
      </c>
      <c r="I963" t="s">
        <v>289</v>
      </c>
      <c r="J963" t="s">
        <v>286</v>
      </c>
      <c r="K963" t="s">
        <v>57</v>
      </c>
    </row>
    <row r="964" spans="1:11" x14ac:dyDescent="0.35">
      <c r="A964" t="s">
        <v>1380</v>
      </c>
      <c r="B964">
        <v>2024</v>
      </c>
      <c r="C964" t="s">
        <v>1051</v>
      </c>
      <c r="D964" t="s">
        <v>76</v>
      </c>
      <c r="E964" t="s">
        <v>119</v>
      </c>
      <c r="F964" t="s">
        <v>125</v>
      </c>
      <c r="G964" t="s">
        <v>130</v>
      </c>
      <c r="H964" t="s">
        <v>285</v>
      </c>
      <c r="I964" t="s">
        <v>77</v>
      </c>
      <c r="J964" t="s">
        <v>317</v>
      </c>
      <c r="K964" t="s">
        <v>57</v>
      </c>
    </row>
    <row r="965" spans="1:11" x14ac:dyDescent="0.35">
      <c r="A965" t="s">
        <v>1381</v>
      </c>
      <c r="B965">
        <v>2024</v>
      </c>
      <c r="C965" t="s">
        <v>1051</v>
      </c>
      <c r="D965" t="s">
        <v>85</v>
      </c>
      <c r="E965" t="s">
        <v>117</v>
      </c>
      <c r="F965" t="s">
        <v>288</v>
      </c>
      <c r="G965" t="s">
        <v>128</v>
      </c>
      <c r="H965" t="s">
        <v>305</v>
      </c>
      <c r="I965" t="s">
        <v>337</v>
      </c>
      <c r="J965" t="s">
        <v>403</v>
      </c>
      <c r="K965" t="s">
        <v>57</v>
      </c>
    </row>
    <row r="966" spans="1:11" x14ac:dyDescent="0.35">
      <c r="A966" t="s">
        <v>1382</v>
      </c>
      <c r="B966">
        <v>2024</v>
      </c>
      <c r="C966" t="s">
        <v>1051</v>
      </c>
      <c r="D966" t="s">
        <v>85</v>
      </c>
      <c r="E966" t="s">
        <v>116</v>
      </c>
      <c r="F966" t="s">
        <v>125</v>
      </c>
      <c r="G966" t="s">
        <v>128</v>
      </c>
      <c r="H966" t="s">
        <v>285</v>
      </c>
      <c r="I966" t="s">
        <v>638</v>
      </c>
      <c r="J966" t="s">
        <v>286</v>
      </c>
      <c r="K966" t="s">
        <v>57</v>
      </c>
    </row>
    <row r="967" spans="1:11" x14ac:dyDescent="0.35">
      <c r="A967" t="s">
        <v>1383</v>
      </c>
      <c r="B967">
        <v>2024</v>
      </c>
      <c r="C967" t="s">
        <v>1051</v>
      </c>
      <c r="D967" t="s">
        <v>85</v>
      </c>
      <c r="E967" t="s">
        <v>116</v>
      </c>
      <c r="F967" t="s">
        <v>125</v>
      </c>
      <c r="G967" t="s">
        <v>130</v>
      </c>
      <c r="H967" t="s">
        <v>305</v>
      </c>
      <c r="I967" t="s">
        <v>86</v>
      </c>
      <c r="J967" t="s">
        <v>288</v>
      </c>
      <c r="K967" t="s">
        <v>57</v>
      </c>
    </row>
    <row r="968" spans="1:11" x14ac:dyDescent="0.35">
      <c r="A968" t="s">
        <v>1384</v>
      </c>
      <c r="B968">
        <v>2024</v>
      </c>
      <c r="C968" t="s">
        <v>1051</v>
      </c>
      <c r="D968" t="s">
        <v>85</v>
      </c>
      <c r="E968" t="s">
        <v>377</v>
      </c>
      <c r="F968" t="s">
        <v>288</v>
      </c>
      <c r="G968" t="s">
        <v>128</v>
      </c>
      <c r="H968" t="s">
        <v>285</v>
      </c>
      <c r="I968" t="s">
        <v>77</v>
      </c>
      <c r="J968" t="s">
        <v>317</v>
      </c>
      <c r="K968" t="s">
        <v>57</v>
      </c>
    </row>
    <row r="969" spans="1:11" x14ac:dyDescent="0.35">
      <c r="A969" t="s">
        <v>1385</v>
      </c>
      <c r="B969">
        <v>2024</v>
      </c>
      <c r="C969" t="s">
        <v>1051</v>
      </c>
      <c r="D969" t="s">
        <v>85</v>
      </c>
      <c r="E969" t="s">
        <v>116</v>
      </c>
      <c r="F969" t="s">
        <v>127</v>
      </c>
      <c r="G969" t="s">
        <v>128</v>
      </c>
      <c r="H969" t="s">
        <v>285</v>
      </c>
      <c r="I969" t="s">
        <v>77</v>
      </c>
      <c r="J969" t="s">
        <v>326</v>
      </c>
      <c r="K969" t="s">
        <v>57</v>
      </c>
    </row>
    <row r="970" spans="1:11" x14ac:dyDescent="0.35">
      <c r="A970" t="s">
        <v>1386</v>
      </c>
      <c r="B970">
        <v>2024</v>
      </c>
      <c r="C970" t="s">
        <v>1051</v>
      </c>
      <c r="D970" t="s">
        <v>76</v>
      </c>
      <c r="E970" t="s">
        <v>115</v>
      </c>
      <c r="F970" t="s">
        <v>125</v>
      </c>
      <c r="G970" t="s">
        <v>128</v>
      </c>
      <c r="H970" t="s">
        <v>357</v>
      </c>
      <c r="I970" t="s">
        <v>77</v>
      </c>
      <c r="J970" t="s">
        <v>286</v>
      </c>
      <c r="K970" t="s">
        <v>57</v>
      </c>
    </row>
    <row r="971" spans="1:11" x14ac:dyDescent="0.35">
      <c r="A971" t="s">
        <v>1387</v>
      </c>
      <c r="B971">
        <v>2024</v>
      </c>
      <c r="C971" t="s">
        <v>1051</v>
      </c>
      <c r="D971" t="s">
        <v>76</v>
      </c>
      <c r="E971" t="s">
        <v>110</v>
      </c>
      <c r="F971" t="s">
        <v>125</v>
      </c>
      <c r="G971" t="s">
        <v>126</v>
      </c>
      <c r="H971" t="s">
        <v>285</v>
      </c>
      <c r="I971" t="s">
        <v>288</v>
      </c>
      <c r="J971" t="s">
        <v>286</v>
      </c>
      <c r="K971" t="s">
        <v>57</v>
      </c>
    </row>
    <row r="972" spans="1:11" x14ac:dyDescent="0.35">
      <c r="A972" t="s">
        <v>1388</v>
      </c>
      <c r="B972">
        <v>2024</v>
      </c>
      <c r="C972" t="s">
        <v>1051</v>
      </c>
      <c r="D972" t="s">
        <v>85</v>
      </c>
      <c r="E972" t="s">
        <v>120</v>
      </c>
      <c r="F972" t="s">
        <v>288</v>
      </c>
      <c r="G972" t="s">
        <v>130</v>
      </c>
      <c r="H972" t="s">
        <v>305</v>
      </c>
      <c r="I972" t="s">
        <v>289</v>
      </c>
      <c r="J972" t="s">
        <v>286</v>
      </c>
      <c r="K972" t="s">
        <v>57</v>
      </c>
    </row>
    <row r="973" spans="1:11" x14ac:dyDescent="0.35">
      <c r="A973" t="s">
        <v>1389</v>
      </c>
      <c r="B973">
        <v>2024</v>
      </c>
      <c r="C973" t="s">
        <v>1051</v>
      </c>
      <c r="D973" t="s">
        <v>85</v>
      </c>
      <c r="E973" t="s">
        <v>117</v>
      </c>
      <c r="F973" t="s">
        <v>288</v>
      </c>
      <c r="G973" t="s">
        <v>128</v>
      </c>
      <c r="H973" t="s">
        <v>305</v>
      </c>
      <c r="I973" t="s">
        <v>289</v>
      </c>
      <c r="J973" t="s">
        <v>367</v>
      </c>
      <c r="K973" t="s">
        <v>42</v>
      </c>
    </row>
    <row r="974" spans="1:11" x14ac:dyDescent="0.35">
      <c r="A974" t="s">
        <v>1390</v>
      </c>
      <c r="B974">
        <v>2024</v>
      </c>
      <c r="C974" t="s">
        <v>1051</v>
      </c>
      <c r="D974" t="s">
        <v>85</v>
      </c>
      <c r="E974" t="s">
        <v>120</v>
      </c>
      <c r="F974" t="s">
        <v>288</v>
      </c>
      <c r="G974" t="s">
        <v>130</v>
      </c>
      <c r="H974" t="s">
        <v>305</v>
      </c>
      <c r="I974" t="s">
        <v>333</v>
      </c>
      <c r="J974" t="s">
        <v>288</v>
      </c>
      <c r="K974" t="s">
        <v>57</v>
      </c>
    </row>
    <row r="975" spans="1:11" x14ac:dyDescent="0.35">
      <c r="A975" t="s">
        <v>1391</v>
      </c>
      <c r="B975">
        <v>2024</v>
      </c>
      <c r="C975" t="s">
        <v>1051</v>
      </c>
      <c r="D975" t="s">
        <v>85</v>
      </c>
      <c r="E975" t="s">
        <v>116</v>
      </c>
      <c r="F975" t="s">
        <v>129</v>
      </c>
      <c r="G975" t="s">
        <v>128</v>
      </c>
      <c r="H975" t="s">
        <v>305</v>
      </c>
      <c r="I975" t="s">
        <v>289</v>
      </c>
      <c r="J975" t="s">
        <v>566</v>
      </c>
      <c r="K975" t="s">
        <v>42</v>
      </c>
    </row>
    <row r="976" spans="1:11" x14ac:dyDescent="0.35">
      <c r="A976" t="s">
        <v>1392</v>
      </c>
      <c r="B976">
        <v>2024</v>
      </c>
      <c r="C976" t="s">
        <v>1051</v>
      </c>
      <c r="D976" t="s">
        <v>85</v>
      </c>
      <c r="E976" t="s">
        <v>117</v>
      </c>
      <c r="F976" t="s">
        <v>288</v>
      </c>
      <c r="G976" t="s">
        <v>126</v>
      </c>
      <c r="H976" t="s">
        <v>305</v>
      </c>
      <c r="I976" t="s">
        <v>86</v>
      </c>
      <c r="J976" t="s">
        <v>317</v>
      </c>
      <c r="K976" t="s">
        <v>57</v>
      </c>
    </row>
    <row r="977" spans="1:11" x14ac:dyDescent="0.35">
      <c r="A977" t="s">
        <v>1393</v>
      </c>
      <c r="B977">
        <v>2024</v>
      </c>
      <c r="C977" t="s">
        <v>1051</v>
      </c>
      <c r="D977" t="s">
        <v>76</v>
      </c>
      <c r="E977" t="s">
        <v>108</v>
      </c>
      <c r="F977" t="s">
        <v>125</v>
      </c>
      <c r="G977" t="s">
        <v>130</v>
      </c>
      <c r="H977" t="s">
        <v>285</v>
      </c>
      <c r="I977" t="s">
        <v>86</v>
      </c>
      <c r="J977" t="s">
        <v>405</v>
      </c>
      <c r="K977" t="s">
        <v>57</v>
      </c>
    </row>
    <row r="978" spans="1:11" x14ac:dyDescent="0.35">
      <c r="A978" t="s">
        <v>1394</v>
      </c>
      <c r="B978">
        <v>2024</v>
      </c>
      <c r="C978" t="s">
        <v>1051</v>
      </c>
      <c r="D978" t="s">
        <v>76</v>
      </c>
      <c r="E978" t="s">
        <v>107</v>
      </c>
      <c r="F978" t="s">
        <v>125</v>
      </c>
      <c r="G978" t="s">
        <v>130</v>
      </c>
      <c r="H978" t="s">
        <v>285</v>
      </c>
      <c r="I978" t="s">
        <v>77</v>
      </c>
      <c r="J978" t="s">
        <v>286</v>
      </c>
      <c r="K978" t="s">
        <v>57</v>
      </c>
    </row>
    <row r="979" spans="1:11" x14ac:dyDescent="0.35">
      <c r="A979" t="s">
        <v>1395</v>
      </c>
      <c r="B979">
        <v>2024</v>
      </c>
      <c r="C979" t="s">
        <v>1051</v>
      </c>
      <c r="D979" t="s">
        <v>85</v>
      </c>
      <c r="E979" t="s">
        <v>116</v>
      </c>
      <c r="F979" t="s">
        <v>127</v>
      </c>
      <c r="G979" t="s">
        <v>130</v>
      </c>
      <c r="H979" t="s">
        <v>285</v>
      </c>
      <c r="I979" t="s">
        <v>86</v>
      </c>
      <c r="J979" t="s">
        <v>405</v>
      </c>
      <c r="K979" t="s">
        <v>57</v>
      </c>
    </row>
    <row r="980" spans="1:11" x14ac:dyDescent="0.35">
      <c r="A980" t="s">
        <v>1396</v>
      </c>
      <c r="B980">
        <v>2024</v>
      </c>
      <c r="C980" t="s">
        <v>1051</v>
      </c>
      <c r="D980" t="s">
        <v>85</v>
      </c>
      <c r="E980" t="s">
        <v>116</v>
      </c>
      <c r="F980" t="s">
        <v>129</v>
      </c>
      <c r="G980" t="s">
        <v>130</v>
      </c>
      <c r="H980" t="s">
        <v>285</v>
      </c>
      <c r="I980" t="s">
        <v>289</v>
      </c>
      <c r="J980" t="s">
        <v>286</v>
      </c>
      <c r="K980" t="s">
        <v>57</v>
      </c>
    </row>
    <row r="981" spans="1:11" x14ac:dyDescent="0.35">
      <c r="A981" t="s">
        <v>1397</v>
      </c>
      <c r="B981">
        <v>2024</v>
      </c>
      <c r="C981" t="s">
        <v>1398</v>
      </c>
      <c r="D981" t="s">
        <v>85</v>
      </c>
      <c r="E981" t="s">
        <v>377</v>
      </c>
      <c r="F981" t="s">
        <v>131</v>
      </c>
      <c r="G981" t="s">
        <v>126</v>
      </c>
      <c r="H981" t="s">
        <v>305</v>
      </c>
      <c r="I981" t="s">
        <v>333</v>
      </c>
      <c r="J981" t="s">
        <v>317</v>
      </c>
      <c r="K981" t="s">
        <v>57</v>
      </c>
    </row>
    <row r="982" spans="1:11" x14ac:dyDescent="0.35">
      <c r="A982" t="s">
        <v>1399</v>
      </c>
      <c r="B982">
        <v>2024</v>
      </c>
      <c r="C982" t="s">
        <v>1398</v>
      </c>
      <c r="D982" t="s">
        <v>76</v>
      </c>
      <c r="E982" t="s">
        <v>111</v>
      </c>
      <c r="F982" t="s">
        <v>125</v>
      </c>
      <c r="G982" t="s">
        <v>130</v>
      </c>
      <c r="H982" t="s">
        <v>285</v>
      </c>
      <c r="I982" t="s">
        <v>86</v>
      </c>
      <c r="J982" t="s">
        <v>308</v>
      </c>
      <c r="K982" t="s">
        <v>42</v>
      </c>
    </row>
    <row r="983" spans="1:11" x14ac:dyDescent="0.35">
      <c r="A983" t="s">
        <v>1400</v>
      </c>
      <c r="B983">
        <v>2024</v>
      </c>
      <c r="C983" t="s">
        <v>1398</v>
      </c>
      <c r="D983" t="s">
        <v>85</v>
      </c>
      <c r="E983" t="s">
        <v>117</v>
      </c>
      <c r="F983" t="s">
        <v>131</v>
      </c>
      <c r="G983" t="s">
        <v>128</v>
      </c>
      <c r="H983" t="s">
        <v>305</v>
      </c>
      <c r="I983" t="s">
        <v>289</v>
      </c>
      <c r="J983" t="s">
        <v>347</v>
      </c>
      <c r="K983" t="s">
        <v>57</v>
      </c>
    </row>
    <row r="984" spans="1:11" x14ac:dyDescent="0.35">
      <c r="A984" t="s">
        <v>1401</v>
      </c>
      <c r="B984">
        <v>2024</v>
      </c>
      <c r="C984" t="s">
        <v>1398</v>
      </c>
      <c r="D984" t="s">
        <v>85</v>
      </c>
      <c r="E984" t="s">
        <v>117</v>
      </c>
      <c r="F984" t="s">
        <v>127</v>
      </c>
      <c r="G984" t="s">
        <v>132</v>
      </c>
      <c r="H984" t="s">
        <v>305</v>
      </c>
      <c r="I984" t="s">
        <v>86</v>
      </c>
      <c r="J984" t="s">
        <v>347</v>
      </c>
      <c r="K984" t="s">
        <v>57</v>
      </c>
    </row>
    <row r="985" spans="1:11" x14ac:dyDescent="0.35">
      <c r="A985" t="s">
        <v>1402</v>
      </c>
      <c r="B985">
        <v>2024</v>
      </c>
      <c r="C985" t="s">
        <v>1398</v>
      </c>
      <c r="D985" t="s">
        <v>85</v>
      </c>
      <c r="E985" t="s">
        <v>120</v>
      </c>
      <c r="F985" t="s">
        <v>133</v>
      </c>
      <c r="G985" t="s">
        <v>128</v>
      </c>
      <c r="H985" t="s">
        <v>285</v>
      </c>
      <c r="I985" t="s">
        <v>86</v>
      </c>
      <c r="J985" t="s">
        <v>515</v>
      </c>
      <c r="K985" t="s">
        <v>57</v>
      </c>
    </row>
    <row r="986" spans="1:11" x14ac:dyDescent="0.35">
      <c r="A986" t="s">
        <v>1403</v>
      </c>
      <c r="B986">
        <v>2024</v>
      </c>
      <c r="C986" t="s">
        <v>1398</v>
      </c>
      <c r="D986" t="s">
        <v>76</v>
      </c>
      <c r="E986" t="s">
        <v>360</v>
      </c>
      <c r="F986" t="s">
        <v>133</v>
      </c>
      <c r="G986" t="s">
        <v>128</v>
      </c>
      <c r="H986" t="s">
        <v>285</v>
      </c>
      <c r="I986" t="s">
        <v>86</v>
      </c>
      <c r="J986" t="s">
        <v>515</v>
      </c>
      <c r="K986" t="s">
        <v>57</v>
      </c>
    </row>
    <row r="987" spans="1:11" x14ac:dyDescent="0.35">
      <c r="A987" t="s">
        <v>1404</v>
      </c>
      <c r="B987">
        <v>2024</v>
      </c>
      <c r="C987" t="s">
        <v>1398</v>
      </c>
      <c r="D987" t="s">
        <v>85</v>
      </c>
      <c r="E987" t="s">
        <v>116</v>
      </c>
      <c r="F987" t="s">
        <v>129</v>
      </c>
      <c r="G987" t="s">
        <v>128</v>
      </c>
      <c r="H987" t="s">
        <v>285</v>
      </c>
      <c r="I987" t="s">
        <v>86</v>
      </c>
      <c r="J987" t="s">
        <v>286</v>
      </c>
      <c r="K987" t="s">
        <v>57</v>
      </c>
    </row>
    <row r="988" spans="1:11" x14ac:dyDescent="0.35">
      <c r="A988" t="s">
        <v>1405</v>
      </c>
      <c r="B988">
        <v>2024</v>
      </c>
      <c r="C988" t="s">
        <v>1398</v>
      </c>
      <c r="D988" t="s">
        <v>85</v>
      </c>
      <c r="E988" t="s">
        <v>117</v>
      </c>
      <c r="F988" t="s">
        <v>288</v>
      </c>
      <c r="G988" t="s">
        <v>128</v>
      </c>
      <c r="H988" t="s">
        <v>305</v>
      </c>
      <c r="I988" t="s">
        <v>289</v>
      </c>
      <c r="J988" t="s">
        <v>286</v>
      </c>
      <c r="K988" t="s">
        <v>57</v>
      </c>
    </row>
    <row r="989" spans="1:11" x14ac:dyDescent="0.35">
      <c r="A989" t="s">
        <v>1406</v>
      </c>
      <c r="B989">
        <v>2024</v>
      </c>
      <c r="C989" t="s">
        <v>1398</v>
      </c>
      <c r="D989" t="s">
        <v>76</v>
      </c>
      <c r="E989" t="s">
        <v>109</v>
      </c>
      <c r="F989" t="s">
        <v>125</v>
      </c>
      <c r="G989" t="s">
        <v>126</v>
      </c>
      <c r="H989" t="s">
        <v>285</v>
      </c>
      <c r="I989" t="s">
        <v>77</v>
      </c>
      <c r="J989" t="s">
        <v>286</v>
      </c>
      <c r="K989" t="s">
        <v>57</v>
      </c>
    </row>
    <row r="990" spans="1:11" x14ac:dyDescent="0.35">
      <c r="A990" t="s">
        <v>1407</v>
      </c>
      <c r="B990">
        <v>2024</v>
      </c>
      <c r="C990" t="s">
        <v>1398</v>
      </c>
      <c r="D990" t="s">
        <v>76</v>
      </c>
      <c r="E990" t="s">
        <v>107</v>
      </c>
      <c r="F990" t="s">
        <v>125</v>
      </c>
      <c r="G990" t="s">
        <v>126</v>
      </c>
      <c r="H990" t="s">
        <v>285</v>
      </c>
      <c r="I990" t="s">
        <v>288</v>
      </c>
      <c r="J990" t="s">
        <v>286</v>
      </c>
      <c r="K990" t="s">
        <v>57</v>
      </c>
    </row>
    <row r="991" spans="1:11" x14ac:dyDescent="0.35">
      <c r="A991" t="s">
        <v>1408</v>
      </c>
      <c r="B991">
        <v>2024</v>
      </c>
      <c r="C991" t="s">
        <v>1398</v>
      </c>
      <c r="D991" t="s">
        <v>85</v>
      </c>
      <c r="E991" t="s">
        <v>116</v>
      </c>
      <c r="F991" t="s">
        <v>129</v>
      </c>
      <c r="G991" t="s">
        <v>132</v>
      </c>
      <c r="H991" t="s">
        <v>285</v>
      </c>
      <c r="I991" t="s">
        <v>288</v>
      </c>
      <c r="J991" t="s">
        <v>286</v>
      </c>
      <c r="K991" t="s">
        <v>57</v>
      </c>
    </row>
    <row r="992" spans="1:11" x14ac:dyDescent="0.35">
      <c r="A992" t="s">
        <v>1409</v>
      </c>
      <c r="B992">
        <v>2024</v>
      </c>
      <c r="C992" t="s">
        <v>1398</v>
      </c>
      <c r="D992" t="s">
        <v>76</v>
      </c>
      <c r="E992" t="s">
        <v>107</v>
      </c>
      <c r="F992" t="s">
        <v>125</v>
      </c>
      <c r="G992" t="s">
        <v>126</v>
      </c>
      <c r="H992" t="s">
        <v>285</v>
      </c>
      <c r="I992" t="s">
        <v>77</v>
      </c>
      <c r="J992" t="s">
        <v>286</v>
      </c>
      <c r="K992" t="s">
        <v>57</v>
      </c>
    </row>
    <row r="993" spans="1:11" x14ac:dyDescent="0.35">
      <c r="A993" t="s">
        <v>1410</v>
      </c>
      <c r="B993">
        <v>2024</v>
      </c>
      <c r="C993" t="s">
        <v>1398</v>
      </c>
      <c r="D993" t="s">
        <v>85</v>
      </c>
      <c r="E993" t="s">
        <v>117</v>
      </c>
      <c r="F993" t="s">
        <v>288</v>
      </c>
      <c r="G993" t="s">
        <v>132</v>
      </c>
      <c r="H993" t="s">
        <v>305</v>
      </c>
      <c r="I993" t="s">
        <v>288</v>
      </c>
      <c r="J993" t="s">
        <v>331</v>
      </c>
      <c r="K993" t="s">
        <v>42</v>
      </c>
    </row>
    <row r="994" spans="1:11" x14ac:dyDescent="0.35">
      <c r="A994" t="s">
        <v>1411</v>
      </c>
      <c r="B994">
        <v>2024</v>
      </c>
      <c r="C994" t="s">
        <v>1398</v>
      </c>
      <c r="D994" t="s">
        <v>76</v>
      </c>
      <c r="E994" t="s">
        <v>109</v>
      </c>
      <c r="F994" t="s">
        <v>129</v>
      </c>
      <c r="G994" t="s">
        <v>126</v>
      </c>
      <c r="H994" t="s">
        <v>285</v>
      </c>
      <c r="I994" t="s">
        <v>77</v>
      </c>
      <c r="J994" t="s">
        <v>286</v>
      </c>
      <c r="K994" t="s">
        <v>57</v>
      </c>
    </row>
    <row r="995" spans="1:11" x14ac:dyDescent="0.35">
      <c r="A995" t="s">
        <v>1412</v>
      </c>
      <c r="B995">
        <v>2024</v>
      </c>
      <c r="C995" t="s">
        <v>1398</v>
      </c>
      <c r="D995" t="s">
        <v>76</v>
      </c>
      <c r="E995" t="s">
        <v>110</v>
      </c>
      <c r="F995" t="s">
        <v>125</v>
      </c>
      <c r="G995" t="s">
        <v>128</v>
      </c>
      <c r="H995" t="s">
        <v>285</v>
      </c>
      <c r="I995" t="s">
        <v>77</v>
      </c>
      <c r="J995" t="s">
        <v>447</v>
      </c>
      <c r="K995" t="s">
        <v>57</v>
      </c>
    </row>
    <row r="996" spans="1:11" x14ac:dyDescent="0.35">
      <c r="A996" t="s">
        <v>1413</v>
      </c>
      <c r="B996">
        <v>2024</v>
      </c>
      <c r="C996" t="s">
        <v>1398</v>
      </c>
      <c r="D996" t="s">
        <v>76</v>
      </c>
      <c r="E996" t="s">
        <v>118</v>
      </c>
      <c r="F996" t="s">
        <v>125</v>
      </c>
      <c r="G996" t="s">
        <v>132</v>
      </c>
      <c r="H996" t="s">
        <v>285</v>
      </c>
      <c r="I996" t="s">
        <v>86</v>
      </c>
      <c r="J996" t="s">
        <v>326</v>
      </c>
      <c r="K996" t="s">
        <v>57</v>
      </c>
    </row>
    <row r="997" spans="1:11" x14ac:dyDescent="0.35">
      <c r="A997" t="s">
        <v>1414</v>
      </c>
      <c r="B997">
        <v>2024</v>
      </c>
      <c r="C997" t="s">
        <v>1398</v>
      </c>
      <c r="D997" t="s">
        <v>85</v>
      </c>
      <c r="E997" t="s">
        <v>120</v>
      </c>
      <c r="F997" t="s">
        <v>288</v>
      </c>
      <c r="G997" t="s">
        <v>128</v>
      </c>
      <c r="H997" t="s">
        <v>285</v>
      </c>
      <c r="I997" t="s">
        <v>77</v>
      </c>
      <c r="J997" t="s">
        <v>317</v>
      </c>
      <c r="K997" t="s">
        <v>57</v>
      </c>
    </row>
    <row r="998" spans="1:11" x14ac:dyDescent="0.35">
      <c r="A998" t="s">
        <v>1415</v>
      </c>
      <c r="B998">
        <v>2024</v>
      </c>
      <c r="C998" t="s">
        <v>1398</v>
      </c>
      <c r="D998" t="s">
        <v>85</v>
      </c>
      <c r="E998" t="s">
        <v>120</v>
      </c>
      <c r="F998" t="s">
        <v>129</v>
      </c>
      <c r="G998" t="s">
        <v>128</v>
      </c>
      <c r="H998" t="s">
        <v>285</v>
      </c>
      <c r="I998" t="s">
        <v>86</v>
      </c>
      <c r="J998" t="s">
        <v>347</v>
      </c>
      <c r="K998" t="s">
        <v>57</v>
      </c>
    </row>
    <row r="999" spans="1:11" x14ac:dyDescent="0.35">
      <c r="A999" t="s">
        <v>1416</v>
      </c>
      <c r="B999">
        <v>2024</v>
      </c>
      <c r="C999" t="s">
        <v>1398</v>
      </c>
      <c r="D999" t="s">
        <v>76</v>
      </c>
      <c r="E999" t="s">
        <v>107</v>
      </c>
      <c r="F999" t="s">
        <v>125</v>
      </c>
      <c r="G999" t="s">
        <v>128</v>
      </c>
      <c r="H999" t="s">
        <v>285</v>
      </c>
      <c r="I999" t="s">
        <v>288</v>
      </c>
      <c r="J999" t="s">
        <v>409</v>
      </c>
      <c r="K999" t="s">
        <v>57</v>
      </c>
    </row>
    <row r="1000" spans="1:11" x14ac:dyDescent="0.35">
      <c r="A1000" t="s">
        <v>1417</v>
      </c>
      <c r="B1000">
        <v>2024</v>
      </c>
      <c r="C1000" t="s">
        <v>1398</v>
      </c>
      <c r="D1000" t="s">
        <v>85</v>
      </c>
      <c r="E1000" t="s">
        <v>116</v>
      </c>
      <c r="F1000" t="s">
        <v>129</v>
      </c>
      <c r="G1000" t="s">
        <v>126</v>
      </c>
      <c r="H1000" t="s">
        <v>285</v>
      </c>
      <c r="I1000" t="s">
        <v>288</v>
      </c>
      <c r="J1000" t="s">
        <v>295</v>
      </c>
      <c r="K1000" t="s">
        <v>57</v>
      </c>
    </row>
    <row r="1001" spans="1:11" x14ac:dyDescent="0.35">
      <c r="A1001" t="s">
        <v>1418</v>
      </c>
      <c r="B1001">
        <v>2024</v>
      </c>
      <c r="C1001" t="s">
        <v>1398</v>
      </c>
      <c r="D1001" t="s">
        <v>85</v>
      </c>
      <c r="E1001" t="s">
        <v>120</v>
      </c>
      <c r="F1001" t="s">
        <v>288</v>
      </c>
      <c r="G1001" t="s">
        <v>128</v>
      </c>
      <c r="H1001" t="s">
        <v>285</v>
      </c>
      <c r="I1001" t="s">
        <v>407</v>
      </c>
      <c r="J1001" t="s">
        <v>326</v>
      </c>
      <c r="K1001" t="s">
        <v>57</v>
      </c>
    </row>
    <row r="1002" spans="1:11" x14ac:dyDescent="0.35">
      <c r="A1002" t="s">
        <v>1419</v>
      </c>
      <c r="B1002">
        <v>2024</v>
      </c>
      <c r="C1002" t="s">
        <v>1398</v>
      </c>
      <c r="D1002" t="s">
        <v>76</v>
      </c>
      <c r="E1002" t="s">
        <v>115</v>
      </c>
      <c r="F1002" t="s">
        <v>127</v>
      </c>
      <c r="G1002" t="s">
        <v>130</v>
      </c>
      <c r="H1002" t="s">
        <v>357</v>
      </c>
      <c r="I1002" t="s">
        <v>289</v>
      </c>
      <c r="J1002" t="s">
        <v>1420</v>
      </c>
      <c r="K1002" t="s">
        <v>42</v>
      </c>
    </row>
    <row r="1003" spans="1:11" x14ac:dyDescent="0.35">
      <c r="A1003" t="s">
        <v>1421</v>
      </c>
      <c r="B1003">
        <v>2024</v>
      </c>
      <c r="C1003" t="s">
        <v>1398</v>
      </c>
      <c r="D1003" t="s">
        <v>76</v>
      </c>
      <c r="E1003" t="s">
        <v>112</v>
      </c>
      <c r="F1003" t="s">
        <v>127</v>
      </c>
      <c r="G1003" t="s">
        <v>126</v>
      </c>
      <c r="H1003" t="s">
        <v>305</v>
      </c>
      <c r="I1003" t="s">
        <v>289</v>
      </c>
      <c r="J1003" t="s">
        <v>571</v>
      </c>
      <c r="K1003" t="s">
        <v>42</v>
      </c>
    </row>
    <row r="1004" spans="1:11" x14ac:dyDescent="0.35">
      <c r="A1004" t="s">
        <v>1422</v>
      </c>
      <c r="B1004">
        <v>2024</v>
      </c>
      <c r="C1004" t="s">
        <v>1398</v>
      </c>
      <c r="D1004" t="s">
        <v>76</v>
      </c>
      <c r="E1004" t="s">
        <v>113</v>
      </c>
      <c r="F1004" t="s">
        <v>125</v>
      </c>
      <c r="G1004" t="s">
        <v>128</v>
      </c>
      <c r="H1004" t="s">
        <v>285</v>
      </c>
      <c r="I1004" t="s">
        <v>86</v>
      </c>
      <c r="J1004" t="s">
        <v>288</v>
      </c>
      <c r="K1004" t="s">
        <v>57</v>
      </c>
    </row>
    <row r="1005" spans="1:11" x14ac:dyDescent="0.35">
      <c r="A1005" t="s">
        <v>1423</v>
      </c>
      <c r="B1005">
        <v>2024</v>
      </c>
      <c r="C1005" t="s">
        <v>1398</v>
      </c>
      <c r="D1005" t="s">
        <v>85</v>
      </c>
      <c r="E1005" t="s">
        <v>116</v>
      </c>
      <c r="F1005" t="s">
        <v>129</v>
      </c>
      <c r="G1005" t="s">
        <v>126</v>
      </c>
      <c r="H1005" t="s">
        <v>285</v>
      </c>
      <c r="I1005" t="s">
        <v>288</v>
      </c>
      <c r="J1005" t="s">
        <v>288</v>
      </c>
      <c r="K1005" t="s">
        <v>57</v>
      </c>
    </row>
    <row r="1006" spans="1:11" x14ac:dyDescent="0.35">
      <c r="A1006" t="s">
        <v>1424</v>
      </c>
      <c r="B1006">
        <v>2024</v>
      </c>
      <c r="C1006" t="s">
        <v>1398</v>
      </c>
      <c r="D1006" t="s">
        <v>76</v>
      </c>
      <c r="E1006" t="s">
        <v>118</v>
      </c>
      <c r="F1006" t="s">
        <v>127</v>
      </c>
      <c r="G1006" t="s">
        <v>128</v>
      </c>
      <c r="H1006" t="s">
        <v>285</v>
      </c>
      <c r="I1006" t="s">
        <v>86</v>
      </c>
      <c r="J1006" t="s">
        <v>1081</v>
      </c>
      <c r="K1006" t="s">
        <v>42</v>
      </c>
    </row>
    <row r="1007" spans="1:11" x14ac:dyDescent="0.35">
      <c r="A1007" t="s">
        <v>1425</v>
      </c>
      <c r="B1007">
        <v>2024</v>
      </c>
      <c r="C1007" t="s">
        <v>1398</v>
      </c>
      <c r="D1007" t="s">
        <v>85</v>
      </c>
      <c r="E1007" t="s">
        <v>120</v>
      </c>
      <c r="F1007" t="s">
        <v>129</v>
      </c>
      <c r="G1007" t="s">
        <v>128</v>
      </c>
      <c r="H1007" t="s">
        <v>285</v>
      </c>
      <c r="I1007" t="s">
        <v>86</v>
      </c>
      <c r="J1007" t="s">
        <v>403</v>
      </c>
      <c r="K1007" t="s">
        <v>57</v>
      </c>
    </row>
    <row r="1008" spans="1:11" x14ac:dyDescent="0.35">
      <c r="A1008" t="s">
        <v>1426</v>
      </c>
      <c r="B1008">
        <v>2024</v>
      </c>
      <c r="C1008" t="s">
        <v>1398</v>
      </c>
      <c r="D1008" t="s">
        <v>85</v>
      </c>
      <c r="E1008" t="s">
        <v>120</v>
      </c>
      <c r="F1008" t="s">
        <v>129</v>
      </c>
      <c r="G1008" t="s">
        <v>128</v>
      </c>
      <c r="H1008" t="s">
        <v>285</v>
      </c>
      <c r="I1008" t="s">
        <v>86</v>
      </c>
      <c r="J1008" t="s">
        <v>403</v>
      </c>
      <c r="K1008" t="s">
        <v>57</v>
      </c>
    </row>
    <row r="1009" spans="1:11" x14ac:dyDescent="0.35">
      <c r="A1009" t="s">
        <v>1427</v>
      </c>
      <c r="B1009">
        <v>2024</v>
      </c>
      <c r="C1009" t="s">
        <v>1398</v>
      </c>
      <c r="D1009" t="s">
        <v>85</v>
      </c>
      <c r="E1009" t="s">
        <v>120</v>
      </c>
      <c r="F1009" t="s">
        <v>129</v>
      </c>
      <c r="G1009" t="s">
        <v>128</v>
      </c>
      <c r="H1009" t="s">
        <v>285</v>
      </c>
      <c r="I1009" t="s">
        <v>86</v>
      </c>
      <c r="J1009" t="s">
        <v>403</v>
      </c>
      <c r="K1009" t="s">
        <v>57</v>
      </c>
    </row>
    <row r="1010" spans="1:11" x14ac:dyDescent="0.35">
      <c r="A1010" t="s">
        <v>273</v>
      </c>
      <c r="B1010">
        <v>2024</v>
      </c>
      <c r="C1010" t="s">
        <v>1398</v>
      </c>
      <c r="D1010" t="s">
        <v>76</v>
      </c>
      <c r="E1010" t="s">
        <v>119</v>
      </c>
      <c r="F1010" t="s">
        <v>129</v>
      </c>
      <c r="G1010" t="s">
        <v>132</v>
      </c>
      <c r="H1010" t="s">
        <v>285</v>
      </c>
      <c r="I1010" t="s">
        <v>499</v>
      </c>
      <c r="J1010" t="s">
        <v>317</v>
      </c>
      <c r="K1010" t="s">
        <v>57</v>
      </c>
    </row>
    <row r="1011" spans="1:11" x14ac:dyDescent="0.35">
      <c r="A1011" t="s">
        <v>1428</v>
      </c>
      <c r="B1011">
        <v>2024</v>
      </c>
      <c r="C1011" t="s">
        <v>1398</v>
      </c>
      <c r="D1011" t="s">
        <v>76</v>
      </c>
      <c r="E1011" t="s">
        <v>119</v>
      </c>
      <c r="F1011" t="s">
        <v>129</v>
      </c>
      <c r="G1011" t="s">
        <v>128</v>
      </c>
      <c r="H1011" t="s">
        <v>357</v>
      </c>
      <c r="I1011" t="s">
        <v>333</v>
      </c>
      <c r="J1011" t="s">
        <v>515</v>
      </c>
      <c r="K1011" t="s">
        <v>57</v>
      </c>
    </row>
    <row r="1012" spans="1:11" x14ac:dyDescent="0.35">
      <c r="A1012" t="s">
        <v>1429</v>
      </c>
      <c r="B1012">
        <v>2024</v>
      </c>
      <c r="C1012" t="s">
        <v>1398</v>
      </c>
      <c r="D1012" t="s">
        <v>85</v>
      </c>
      <c r="E1012" t="s">
        <v>120</v>
      </c>
      <c r="F1012" t="s">
        <v>127</v>
      </c>
      <c r="G1012" t="s">
        <v>130</v>
      </c>
      <c r="H1012" t="s">
        <v>285</v>
      </c>
      <c r="I1012" t="s">
        <v>289</v>
      </c>
      <c r="J1012" t="s">
        <v>947</v>
      </c>
      <c r="K1012" t="s">
        <v>57</v>
      </c>
    </row>
    <row r="1013" spans="1:11" x14ac:dyDescent="0.35">
      <c r="A1013" t="s">
        <v>1430</v>
      </c>
      <c r="B1013">
        <v>2024</v>
      </c>
      <c r="C1013" t="s">
        <v>1398</v>
      </c>
      <c r="D1013" t="s">
        <v>85</v>
      </c>
      <c r="E1013" t="s">
        <v>116</v>
      </c>
      <c r="F1013" t="s">
        <v>129</v>
      </c>
      <c r="G1013" t="s">
        <v>130</v>
      </c>
      <c r="H1013" t="s">
        <v>285</v>
      </c>
      <c r="I1013" t="s">
        <v>289</v>
      </c>
      <c r="J1013" t="s">
        <v>286</v>
      </c>
      <c r="K1013" t="s">
        <v>57</v>
      </c>
    </row>
    <row r="1014" spans="1:11" x14ac:dyDescent="0.35">
      <c r="A1014" t="s">
        <v>1431</v>
      </c>
      <c r="B1014">
        <v>2024</v>
      </c>
      <c r="C1014" t="s">
        <v>1398</v>
      </c>
      <c r="D1014" t="s">
        <v>76</v>
      </c>
      <c r="E1014" t="s">
        <v>119</v>
      </c>
      <c r="F1014" t="s">
        <v>129</v>
      </c>
      <c r="G1014" t="s">
        <v>130</v>
      </c>
      <c r="H1014" t="s">
        <v>285</v>
      </c>
      <c r="I1014" t="s">
        <v>288</v>
      </c>
      <c r="J1014" t="s">
        <v>361</v>
      </c>
      <c r="K1014" t="s">
        <v>57</v>
      </c>
    </row>
    <row r="1015" spans="1:11" x14ac:dyDescent="0.35">
      <c r="A1015" t="s">
        <v>1432</v>
      </c>
      <c r="B1015">
        <v>2024</v>
      </c>
      <c r="C1015" t="s">
        <v>1398</v>
      </c>
      <c r="D1015" t="s">
        <v>85</v>
      </c>
      <c r="E1015" t="s">
        <v>120</v>
      </c>
      <c r="F1015" t="s">
        <v>288</v>
      </c>
      <c r="G1015" t="s">
        <v>126</v>
      </c>
      <c r="H1015" t="s">
        <v>285</v>
      </c>
      <c r="I1015" t="s">
        <v>288</v>
      </c>
      <c r="J1015" t="s">
        <v>288</v>
      </c>
      <c r="K1015" t="s">
        <v>57</v>
      </c>
    </row>
    <row r="1016" spans="1:11" x14ac:dyDescent="0.35">
      <c r="A1016" t="s">
        <v>1433</v>
      </c>
      <c r="B1016">
        <v>2024</v>
      </c>
      <c r="C1016" t="s">
        <v>1398</v>
      </c>
      <c r="D1016" t="s">
        <v>85</v>
      </c>
      <c r="E1016" t="s">
        <v>120</v>
      </c>
      <c r="F1016" t="s">
        <v>129</v>
      </c>
      <c r="G1016" t="s">
        <v>128</v>
      </c>
      <c r="H1016" t="s">
        <v>285</v>
      </c>
      <c r="I1016" t="s">
        <v>77</v>
      </c>
      <c r="J1016" t="s">
        <v>326</v>
      </c>
      <c r="K1016" t="s">
        <v>57</v>
      </c>
    </row>
    <row r="1017" spans="1:11" x14ac:dyDescent="0.35">
      <c r="A1017" t="s">
        <v>1434</v>
      </c>
      <c r="B1017">
        <v>2024</v>
      </c>
      <c r="C1017" t="s">
        <v>1398</v>
      </c>
      <c r="D1017" t="s">
        <v>85</v>
      </c>
      <c r="E1017" t="s">
        <v>116</v>
      </c>
      <c r="F1017" t="s">
        <v>125</v>
      </c>
      <c r="G1017" t="s">
        <v>128</v>
      </c>
      <c r="H1017" t="s">
        <v>285</v>
      </c>
      <c r="I1017" t="s">
        <v>77</v>
      </c>
      <c r="J1017" t="s">
        <v>947</v>
      </c>
      <c r="K1017" t="s">
        <v>57</v>
      </c>
    </row>
    <row r="1018" spans="1:11" x14ac:dyDescent="0.35">
      <c r="A1018" t="s">
        <v>1435</v>
      </c>
      <c r="B1018">
        <v>2024</v>
      </c>
      <c r="C1018" t="s">
        <v>1398</v>
      </c>
      <c r="D1018" t="s">
        <v>76</v>
      </c>
      <c r="E1018" t="s">
        <v>109</v>
      </c>
      <c r="F1018" t="s">
        <v>129</v>
      </c>
      <c r="G1018" t="s">
        <v>128</v>
      </c>
      <c r="H1018" t="s">
        <v>285</v>
      </c>
      <c r="I1018" t="s">
        <v>1436</v>
      </c>
      <c r="J1018" t="s">
        <v>286</v>
      </c>
      <c r="K1018" t="s">
        <v>57</v>
      </c>
    </row>
    <row r="1019" spans="1:11" x14ac:dyDescent="0.35">
      <c r="A1019" t="s">
        <v>1437</v>
      </c>
      <c r="B1019">
        <v>2024</v>
      </c>
      <c r="C1019" t="s">
        <v>1398</v>
      </c>
      <c r="D1019" t="s">
        <v>85</v>
      </c>
      <c r="E1019" t="s">
        <v>116</v>
      </c>
      <c r="F1019" t="s">
        <v>131</v>
      </c>
      <c r="G1019" t="s">
        <v>132</v>
      </c>
      <c r="H1019" t="s">
        <v>285</v>
      </c>
      <c r="I1019" t="s">
        <v>77</v>
      </c>
      <c r="J1019" t="s">
        <v>286</v>
      </c>
      <c r="K1019" t="s">
        <v>57</v>
      </c>
    </row>
    <row r="1020" spans="1:11" x14ac:dyDescent="0.35">
      <c r="A1020" t="s">
        <v>1438</v>
      </c>
      <c r="B1020">
        <v>2024</v>
      </c>
      <c r="C1020" t="s">
        <v>1398</v>
      </c>
      <c r="D1020" t="s">
        <v>76</v>
      </c>
      <c r="E1020" t="s">
        <v>108</v>
      </c>
      <c r="F1020" t="s">
        <v>125</v>
      </c>
      <c r="G1020" t="s">
        <v>130</v>
      </c>
      <c r="H1020" t="s">
        <v>285</v>
      </c>
      <c r="I1020" t="s">
        <v>86</v>
      </c>
      <c r="J1020" t="s">
        <v>412</v>
      </c>
      <c r="K1020" t="s">
        <v>57</v>
      </c>
    </row>
    <row r="1021" spans="1:11" x14ac:dyDescent="0.35">
      <c r="A1021" t="s">
        <v>1439</v>
      </c>
      <c r="B1021">
        <v>2024</v>
      </c>
      <c r="C1021" t="s">
        <v>1398</v>
      </c>
      <c r="D1021" t="s">
        <v>85</v>
      </c>
      <c r="E1021" t="s">
        <v>116</v>
      </c>
      <c r="F1021" t="s">
        <v>288</v>
      </c>
      <c r="G1021" t="s">
        <v>126</v>
      </c>
      <c r="H1021" t="s">
        <v>285</v>
      </c>
      <c r="I1021" t="s">
        <v>351</v>
      </c>
      <c r="J1021" t="s">
        <v>295</v>
      </c>
      <c r="K1021" t="s">
        <v>57</v>
      </c>
    </row>
    <row r="1022" spans="1:11" x14ac:dyDescent="0.35">
      <c r="A1022" t="s">
        <v>1440</v>
      </c>
      <c r="B1022">
        <v>2024</v>
      </c>
      <c r="C1022" t="s">
        <v>1398</v>
      </c>
      <c r="D1022" t="s">
        <v>85</v>
      </c>
      <c r="E1022" t="s">
        <v>117</v>
      </c>
      <c r="F1022" t="s">
        <v>125</v>
      </c>
      <c r="G1022" t="s">
        <v>132</v>
      </c>
      <c r="H1022" t="s">
        <v>285</v>
      </c>
      <c r="I1022" t="s">
        <v>86</v>
      </c>
      <c r="J1022" t="s">
        <v>347</v>
      </c>
      <c r="K1022" t="s">
        <v>57</v>
      </c>
    </row>
    <row r="1023" spans="1:11" x14ac:dyDescent="0.35">
      <c r="A1023" t="s">
        <v>1441</v>
      </c>
      <c r="B1023">
        <v>2024</v>
      </c>
      <c r="C1023" t="s">
        <v>1398</v>
      </c>
      <c r="D1023" t="s">
        <v>76</v>
      </c>
      <c r="E1023" t="s">
        <v>109</v>
      </c>
      <c r="F1023" t="s">
        <v>129</v>
      </c>
      <c r="G1023" t="s">
        <v>126</v>
      </c>
      <c r="H1023" t="s">
        <v>285</v>
      </c>
      <c r="I1023" t="s">
        <v>86</v>
      </c>
      <c r="J1023" t="s">
        <v>286</v>
      </c>
      <c r="K1023" t="s">
        <v>57</v>
      </c>
    </row>
    <row r="1024" spans="1:11" x14ac:dyDescent="0.35">
      <c r="A1024" t="s">
        <v>1442</v>
      </c>
      <c r="B1024">
        <v>2024</v>
      </c>
      <c r="C1024" t="s">
        <v>1398</v>
      </c>
      <c r="D1024" t="s">
        <v>76</v>
      </c>
      <c r="E1024" t="s">
        <v>109</v>
      </c>
      <c r="F1024" t="s">
        <v>129</v>
      </c>
      <c r="G1024" t="s">
        <v>126</v>
      </c>
      <c r="H1024" t="s">
        <v>285</v>
      </c>
      <c r="I1024" t="s">
        <v>86</v>
      </c>
      <c r="J1024" t="s">
        <v>286</v>
      </c>
      <c r="K1024" t="s">
        <v>57</v>
      </c>
    </row>
    <row r="1025" spans="1:11" x14ac:dyDescent="0.35">
      <c r="A1025" t="s">
        <v>1443</v>
      </c>
      <c r="B1025">
        <v>2024</v>
      </c>
      <c r="C1025" t="s">
        <v>1398</v>
      </c>
      <c r="D1025" t="s">
        <v>76</v>
      </c>
      <c r="E1025" t="s">
        <v>107</v>
      </c>
      <c r="F1025" t="s">
        <v>125</v>
      </c>
      <c r="G1025" t="s">
        <v>130</v>
      </c>
      <c r="H1025" t="s">
        <v>285</v>
      </c>
      <c r="I1025" t="s">
        <v>1444</v>
      </c>
      <c r="J1025" t="s">
        <v>286</v>
      </c>
      <c r="K1025" t="s">
        <v>57</v>
      </c>
    </row>
    <row r="1026" spans="1:11" x14ac:dyDescent="0.35">
      <c r="A1026" t="s">
        <v>1445</v>
      </c>
      <c r="B1026">
        <v>2024</v>
      </c>
      <c r="C1026" t="s">
        <v>1398</v>
      </c>
      <c r="D1026" t="s">
        <v>85</v>
      </c>
      <c r="E1026" t="s">
        <v>116</v>
      </c>
      <c r="F1026" t="s">
        <v>127</v>
      </c>
      <c r="G1026" t="s">
        <v>128</v>
      </c>
      <c r="H1026" t="s">
        <v>285</v>
      </c>
      <c r="I1026" t="s">
        <v>289</v>
      </c>
      <c r="J1026" t="s">
        <v>403</v>
      </c>
      <c r="K1026" t="s">
        <v>57</v>
      </c>
    </row>
    <row r="1027" spans="1:11" x14ac:dyDescent="0.35">
      <c r="A1027" t="s">
        <v>1446</v>
      </c>
      <c r="B1027">
        <v>2024</v>
      </c>
      <c r="C1027" t="s">
        <v>1398</v>
      </c>
      <c r="D1027" t="s">
        <v>85</v>
      </c>
      <c r="E1027" t="s">
        <v>117</v>
      </c>
      <c r="F1027" t="s">
        <v>127</v>
      </c>
      <c r="G1027" t="s">
        <v>128</v>
      </c>
      <c r="H1027" t="s">
        <v>305</v>
      </c>
      <c r="I1027" t="s">
        <v>86</v>
      </c>
      <c r="J1027" t="s">
        <v>1447</v>
      </c>
      <c r="K1027" t="s">
        <v>42</v>
      </c>
    </row>
    <row r="1028" spans="1:11" x14ac:dyDescent="0.35">
      <c r="A1028" t="s">
        <v>1448</v>
      </c>
      <c r="B1028">
        <v>2024</v>
      </c>
      <c r="C1028" t="s">
        <v>1398</v>
      </c>
      <c r="D1028" t="s">
        <v>85</v>
      </c>
      <c r="E1028" t="s">
        <v>117</v>
      </c>
      <c r="F1028" t="s">
        <v>288</v>
      </c>
      <c r="G1028" t="s">
        <v>128</v>
      </c>
      <c r="H1028" t="s">
        <v>305</v>
      </c>
      <c r="I1028" t="s">
        <v>86</v>
      </c>
      <c r="J1028" t="s">
        <v>288</v>
      </c>
      <c r="K1028" t="s">
        <v>57</v>
      </c>
    </row>
    <row r="1029" spans="1:11" x14ac:dyDescent="0.35">
      <c r="A1029" t="s">
        <v>1449</v>
      </c>
      <c r="B1029">
        <v>2024</v>
      </c>
      <c r="C1029" t="s">
        <v>1398</v>
      </c>
      <c r="D1029" t="s">
        <v>76</v>
      </c>
      <c r="E1029" t="s">
        <v>107</v>
      </c>
      <c r="F1029" t="s">
        <v>288</v>
      </c>
      <c r="G1029" t="s">
        <v>128</v>
      </c>
      <c r="H1029" t="s">
        <v>285</v>
      </c>
      <c r="I1029" t="s">
        <v>1450</v>
      </c>
      <c r="J1029" t="s">
        <v>286</v>
      </c>
      <c r="K1029" t="s">
        <v>57</v>
      </c>
    </row>
    <row r="1030" spans="1:11" x14ac:dyDescent="0.35">
      <c r="A1030" t="s">
        <v>1451</v>
      </c>
      <c r="B1030">
        <v>2024</v>
      </c>
      <c r="C1030" t="s">
        <v>1398</v>
      </c>
      <c r="D1030" t="s">
        <v>76</v>
      </c>
      <c r="E1030" t="s">
        <v>360</v>
      </c>
      <c r="F1030" t="s">
        <v>125</v>
      </c>
      <c r="G1030" t="s">
        <v>128</v>
      </c>
      <c r="H1030" t="s">
        <v>285</v>
      </c>
      <c r="I1030" t="s">
        <v>77</v>
      </c>
      <c r="J1030" t="s">
        <v>286</v>
      </c>
      <c r="K1030" t="s">
        <v>57</v>
      </c>
    </row>
    <row r="1031" spans="1:11" x14ac:dyDescent="0.35">
      <c r="A1031" t="s">
        <v>1452</v>
      </c>
      <c r="B1031">
        <v>2024</v>
      </c>
      <c r="C1031" t="s">
        <v>1398</v>
      </c>
      <c r="D1031" t="s">
        <v>76</v>
      </c>
      <c r="E1031" t="s">
        <v>119</v>
      </c>
      <c r="F1031" t="s">
        <v>125</v>
      </c>
      <c r="G1031" t="s">
        <v>130</v>
      </c>
      <c r="H1031" t="s">
        <v>285</v>
      </c>
      <c r="I1031" t="s">
        <v>77</v>
      </c>
      <c r="J1031" t="s">
        <v>286</v>
      </c>
      <c r="K1031" t="s">
        <v>57</v>
      </c>
    </row>
    <row r="1032" spans="1:11" x14ac:dyDescent="0.35">
      <c r="A1032" t="s">
        <v>1453</v>
      </c>
      <c r="B1032">
        <v>2024</v>
      </c>
      <c r="C1032" t="s">
        <v>1398</v>
      </c>
      <c r="D1032" t="s">
        <v>85</v>
      </c>
      <c r="E1032" t="s">
        <v>117</v>
      </c>
      <c r="F1032" t="s">
        <v>133</v>
      </c>
      <c r="G1032" t="s">
        <v>132</v>
      </c>
      <c r="H1032" t="s">
        <v>285</v>
      </c>
      <c r="I1032" t="s">
        <v>337</v>
      </c>
      <c r="J1032" t="s">
        <v>317</v>
      </c>
      <c r="K1032" t="s">
        <v>57</v>
      </c>
    </row>
    <row r="1033" spans="1:11" x14ac:dyDescent="0.35">
      <c r="A1033" t="s">
        <v>1454</v>
      </c>
      <c r="B1033">
        <v>2024</v>
      </c>
      <c r="C1033" t="s">
        <v>1398</v>
      </c>
      <c r="D1033" t="s">
        <v>85</v>
      </c>
      <c r="E1033" t="s">
        <v>120</v>
      </c>
      <c r="F1033" t="s">
        <v>127</v>
      </c>
      <c r="G1033" t="s">
        <v>132</v>
      </c>
      <c r="H1033" t="s">
        <v>305</v>
      </c>
      <c r="I1033" t="s">
        <v>86</v>
      </c>
      <c r="J1033" t="s">
        <v>317</v>
      </c>
      <c r="K1033" t="s">
        <v>57</v>
      </c>
    </row>
    <row r="1034" spans="1:11" x14ac:dyDescent="0.35">
      <c r="A1034" t="s">
        <v>1455</v>
      </c>
      <c r="B1034">
        <v>2024</v>
      </c>
      <c r="C1034" t="s">
        <v>1398</v>
      </c>
      <c r="D1034" t="s">
        <v>76</v>
      </c>
      <c r="E1034" t="s">
        <v>110</v>
      </c>
      <c r="F1034" t="s">
        <v>125</v>
      </c>
      <c r="G1034" t="s">
        <v>130</v>
      </c>
      <c r="H1034" t="s">
        <v>285</v>
      </c>
      <c r="I1034" t="s">
        <v>319</v>
      </c>
      <c r="J1034" t="s">
        <v>308</v>
      </c>
      <c r="K1034" t="s">
        <v>42</v>
      </c>
    </row>
    <row r="1035" spans="1:11" x14ac:dyDescent="0.35">
      <c r="A1035" t="s">
        <v>1456</v>
      </c>
      <c r="B1035">
        <v>2024</v>
      </c>
      <c r="C1035" t="s">
        <v>1398</v>
      </c>
      <c r="D1035" t="s">
        <v>76</v>
      </c>
      <c r="E1035" t="s">
        <v>107</v>
      </c>
      <c r="F1035" t="s">
        <v>125</v>
      </c>
      <c r="G1035" t="s">
        <v>132</v>
      </c>
      <c r="H1035" t="s">
        <v>285</v>
      </c>
      <c r="I1035" t="s">
        <v>77</v>
      </c>
      <c r="J1035" t="s">
        <v>286</v>
      </c>
      <c r="K1035" t="s">
        <v>57</v>
      </c>
    </row>
    <row r="1036" spans="1:11" x14ac:dyDescent="0.35">
      <c r="A1036" t="s">
        <v>1457</v>
      </c>
      <c r="B1036">
        <v>2024</v>
      </c>
      <c r="C1036" t="s">
        <v>1398</v>
      </c>
      <c r="D1036" t="s">
        <v>85</v>
      </c>
      <c r="E1036" t="s">
        <v>120</v>
      </c>
      <c r="F1036" t="s">
        <v>125</v>
      </c>
      <c r="G1036" t="s">
        <v>130</v>
      </c>
      <c r="H1036" t="s">
        <v>305</v>
      </c>
      <c r="I1036" t="s">
        <v>86</v>
      </c>
      <c r="J1036" t="s">
        <v>286</v>
      </c>
      <c r="K1036" t="s">
        <v>57</v>
      </c>
    </row>
    <row r="1037" spans="1:11" x14ac:dyDescent="0.35">
      <c r="A1037" t="s">
        <v>1458</v>
      </c>
      <c r="B1037">
        <v>2024</v>
      </c>
      <c r="C1037" t="s">
        <v>1398</v>
      </c>
      <c r="D1037" t="s">
        <v>76</v>
      </c>
      <c r="E1037" t="s">
        <v>107</v>
      </c>
      <c r="F1037" t="s">
        <v>125</v>
      </c>
      <c r="G1037" t="s">
        <v>128</v>
      </c>
      <c r="H1037" t="s">
        <v>285</v>
      </c>
      <c r="I1037" t="s">
        <v>86</v>
      </c>
      <c r="J1037" t="s">
        <v>308</v>
      </c>
      <c r="K1037" t="s">
        <v>42</v>
      </c>
    </row>
    <row r="1038" spans="1:11" x14ac:dyDescent="0.35">
      <c r="A1038" t="s">
        <v>1459</v>
      </c>
      <c r="B1038">
        <v>2024</v>
      </c>
      <c r="C1038" t="s">
        <v>1398</v>
      </c>
      <c r="D1038" t="s">
        <v>76</v>
      </c>
      <c r="E1038" t="s">
        <v>110</v>
      </c>
      <c r="F1038" t="s">
        <v>288</v>
      </c>
      <c r="G1038" t="s">
        <v>132</v>
      </c>
      <c r="H1038" t="s">
        <v>285</v>
      </c>
      <c r="I1038" t="s">
        <v>86</v>
      </c>
      <c r="J1038" t="s">
        <v>286</v>
      </c>
      <c r="K1038" t="s">
        <v>57</v>
      </c>
    </row>
    <row r="1039" spans="1:11" x14ac:dyDescent="0.35">
      <c r="A1039" t="s">
        <v>1460</v>
      </c>
      <c r="B1039">
        <v>2024</v>
      </c>
      <c r="C1039" t="s">
        <v>1398</v>
      </c>
      <c r="D1039" t="s">
        <v>76</v>
      </c>
      <c r="E1039" t="s">
        <v>115</v>
      </c>
      <c r="F1039" t="s">
        <v>288</v>
      </c>
      <c r="G1039" t="s">
        <v>130</v>
      </c>
      <c r="H1039" t="s">
        <v>285</v>
      </c>
      <c r="I1039" t="s">
        <v>77</v>
      </c>
      <c r="J1039" t="s">
        <v>286</v>
      </c>
      <c r="K1039" t="s">
        <v>57</v>
      </c>
    </row>
    <row r="1040" spans="1:11" x14ac:dyDescent="0.35">
      <c r="A1040" t="s">
        <v>1461</v>
      </c>
      <c r="B1040">
        <v>2024</v>
      </c>
      <c r="C1040" t="s">
        <v>1398</v>
      </c>
      <c r="D1040" t="s">
        <v>85</v>
      </c>
      <c r="E1040" t="s">
        <v>116</v>
      </c>
      <c r="F1040" t="s">
        <v>131</v>
      </c>
      <c r="G1040" t="s">
        <v>130</v>
      </c>
      <c r="H1040" t="s">
        <v>305</v>
      </c>
      <c r="I1040" t="s">
        <v>86</v>
      </c>
      <c r="J1040" t="s">
        <v>308</v>
      </c>
      <c r="K1040" t="s">
        <v>42</v>
      </c>
    </row>
    <row r="1041" spans="1:11" x14ac:dyDescent="0.35">
      <c r="A1041" t="s">
        <v>1462</v>
      </c>
      <c r="B1041">
        <v>2024</v>
      </c>
      <c r="C1041" t="s">
        <v>1398</v>
      </c>
      <c r="D1041" t="s">
        <v>76</v>
      </c>
      <c r="E1041" t="s">
        <v>119</v>
      </c>
      <c r="F1041" t="s">
        <v>129</v>
      </c>
      <c r="G1041" t="s">
        <v>132</v>
      </c>
      <c r="H1041" t="s">
        <v>285</v>
      </c>
      <c r="I1041" t="s">
        <v>288</v>
      </c>
      <c r="J1041" t="s">
        <v>286</v>
      </c>
      <c r="K1041" t="s">
        <v>57</v>
      </c>
    </row>
    <row r="1042" spans="1:11" x14ac:dyDescent="0.35">
      <c r="A1042" t="s">
        <v>1463</v>
      </c>
      <c r="B1042">
        <v>2024</v>
      </c>
      <c r="C1042" t="s">
        <v>1398</v>
      </c>
      <c r="D1042" t="s">
        <v>85</v>
      </c>
      <c r="E1042" t="s">
        <v>117</v>
      </c>
      <c r="F1042" t="s">
        <v>127</v>
      </c>
      <c r="G1042" t="s">
        <v>132</v>
      </c>
      <c r="H1042" t="s">
        <v>305</v>
      </c>
      <c r="I1042" t="s">
        <v>86</v>
      </c>
      <c r="J1042" t="s">
        <v>403</v>
      </c>
      <c r="K1042" t="s">
        <v>57</v>
      </c>
    </row>
    <row r="1043" spans="1:11" x14ac:dyDescent="0.35">
      <c r="A1043" t="s">
        <v>1464</v>
      </c>
      <c r="B1043">
        <v>2024</v>
      </c>
      <c r="C1043" t="s">
        <v>1398</v>
      </c>
      <c r="D1043" t="s">
        <v>85</v>
      </c>
      <c r="E1043" t="s">
        <v>344</v>
      </c>
      <c r="F1043" t="s">
        <v>129</v>
      </c>
      <c r="G1043" t="s">
        <v>128</v>
      </c>
      <c r="H1043" t="s">
        <v>305</v>
      </c>
      <c r="I1043" t="s">
        <v>77</v>
      </c>
      <c r="J1043" t="s">
        <v>295</v>
      </c>
      <c r="K1043" t="s">
        <v>57</v>
      </c>
    </row>
    <row r="1044" spans="1:11" x14ac:dyDescent="0.35">
      <c r="A1044" t="s">
        <v>1465</v>
      </c>
      <c r="B1044">
        <v>2024</v>
      </c>
      <c r="C1044" t="s">
        <v>1398</v>
      </c>
      <c r="D1044" t="s">
        <v>85</v>
      </c>
      <c r="E1044" t="s">
        <v>117</v>
      </c>
      <c r="F1044" t="s">
        <v>131</v>
      </c>
      <c r="G1044" t="s">
        <v>128</v>
      </c>
      <c r="H1044" t="s">
        <v>305</v>
      </c>
      <c r="I1044" t="s">
        <v>289</v>
      </c>
      <c r="J1044" t="s">
        <v>403</v>
      </c>
      <c r="K1044" t="s">
        <v>57</v>
      </c>
    </row>
    <row r="1045" spans="1:11" x14ac:dyDescent="0.35">
      <c r="A1045" t="s">
        <v>1466</v>
      </c>
      <c r="B1045">
        <v>2024</v>
      </c>
      <c r="C1045" t="s">
        <v>1398</v>
      </c>
      <c r="D1045" t="s">
        <v>85</v>
      </c>
      <c r="E1045" t="s">
        <v>117</v>
      </c>
      <c r="F1045" t="s">
        <v>131</v>
      </c>
      <c r="G1045" t="s">
        <v>128</v>
      </c>
      <c r="H1045" t="s">
        <v>305</v>
      </c>
      <c r="I1045" t="s">
        <v>77</v>
      </c>
      <c r="J1045" t="s">
        <v>326</v>
      </c>
      <c r="K1045" t="s">
        <v>57</v>
      </c>
    </row>
    <row r="1046" spans="1:11" x14ac:dyDescent="0.35">
      <c r="A1046" t="s">
        <v>1467</v>
      </c>
      <c r="B1046">
        <v>2024</v>
      </c>
      <c r="C1046" t="s">
        <v>1398</v>
      </c>
      <c r="D1046" t="s">
        <v>76</v>
      </c>
      <c r="E1046" t="s">
        <v>119</v>
      </c>
      <c r="F1046" t="s">
        <v>125</v>
      </c>
      <c r="G1046" t="s">
        <v>128</v>
      </c>
      <c r="H1046" t="s">
        <v>285</v>
      </c>
      <c r="I1046" t="s">
        <v>86</v>
      </c>
      <c r="J1046" t="s">
        <v>286</v>
      </c>
      <c r="K1046" t="s">
        <v>57</v>
      </c>
    </row>
    <row r="1047" spans="1:11" x14ac:dyDescent="0.35">
      <c r="A1047" t="s">
        <v>1468</v>
      </c>
      <c r="B1047">
        <v>2024</v>
      </c>
      <c r="C1047" t="s">
        <v>1398</v>
      </c>
      <c r="D1047" t="s">
        <v>76</v>
      </c>
      <c r="E1047" t="s">
        <v>119</v>
      </c>
      <c r="F1047" t="s">
        <v>125</v>
      </c>
      <c r="G1047" t="s">
        <v>126</v>
      </c>
      <c r="H1047" t="s">
        <v>305</v>
      </c>
      <c r="I1047" t="s">
        <v>77</v>
      </c>
      <c r="J1047" t="s">
        <v>286</v>
      </c>
      <c r="K1047" t="s">
        <v>57</v>
      </c>
    </row>
    <row r="1048" spans="1:11" x14ac:dyDescent="0.35">
      <c r="A1048" t="s">
        <v>1469</v>
      </c>
      <c r="B1048">
        <v>2024</v>
      </c>
      <c r="C1048" t="s">
        <v>1398</v>
      </c>
      <c r="D1048" t="s">
        <v>85</v>
      </c>
      <c r="E1048" t="s">
        <v>116</v>
      </c>
      <c r="F1048" t="s">
        <v>288</v>
      </c>
      <c r="G1048" t="s">
        <v>128</v>
      </c>
      <c r="H1048" t="s">
        <v>285</v>
      </c>
      <c r="I1048" t="s">
        <v>86</v>
      </c>
      <c r="J1048" t="s">
        <v>286</v>
      </c>
      <c r="K1048" t="s">
        <v>57</v>
      </c>
    </row>
    <row r="1049" spans="1:11" x14ac:dyDescent="0.35">
      <c r="A1049" t="s">
        <v>1470</v>
      </c>
      <c r="B1049">
        <v>2024</v>
      </c>
      <c r="C1049" t="s">
        <v>1398</v>
      </c>
      <c r="D1049" t="s">
        <v>85</v>
      </c>
      <c r="E1049" t="s">
        <v>377</v>
      </c>
      <c r="F1049" t="s">
        <v>133</v>
      </c>
      <c r="G1049" t="s">
        <v>132</v>
      </c>
      <c r="H1049" t="s">
        <v>285</v>
      </c>
      <c r="I1049" t="s">
        <v>77</v>
      </c>
      <c r="J1049" t="s">
        <v>286</v>
      </c>
      <c r="K1049" t="s">
        <v>57</v>
      </c>
    </row>
    <row r="1050" spans="1:11" x14ac:dyDescent="0.35">
      <c r="A1050" t="s">
        <v>1471</v>
      </c>
      <c r="B1050">
        <v>2024</v>
      </c>
      <c r="C1050" t="s">
        <v>1398</v>
      </c>
      <c r="D1050" t="s">
        <v>76</v>
      </c>
      <c r="E1050" t="s">
        <v>107</v>
      </c>
      <c r="F1050" t="s">
        <v>129</v>
      </c>
      <c r="G1050" t="s">
        <v>128</v>
      </c>
      <c r="H1050" t="s">
        <v>285</v>
      </c>
      <c r="I1050" t="s">
        <v>632</v>
      </c>
      <c r="J1050" t="s">
        <v>288</v>
      </c>
      <c r="K1050" t="s">
        <v>57</v>
      </c>
    </row>
    <row r="1051" spans="1:11" x14ac:dyDescent="0.35">
      <c r="A1051" t="s">
        <v>1472</v>
      </c>
      <c r="B1051">
        <v>2024</v>
      </c>
      <c r="C1051" t="s">
        <v>1398</v>
      </c>
      <c r="D1051" t="s">
        <v>85</v>
      </c>
      <c r="E1051" t="s">
        <v>117</v>
      </c>
      <c r="F1051" t="s">
        <v>127</v>
      </c>
      <c r="G1051" t="s">
        <v>128</v>
      </c>
      <c r="H1051" t="s">
        <v>285</v>
      </c>
      <c r="I1051" t="s">
        <v>289</v>
      </c>
      <c r="J1051" t="s">
        <v>286</v>
      </c>
      <c r="K1051" t="s">
        <v>57</v>
      </c>
    </row>
    <row r="1052" spans="1:11" x14ac:dyDescent="0.35">
      <c r="A1052" t="s">
        <v>1473</v>
      </c>
      <c r="B1052">
        <v>2024</v>
      </c>
      <c r="C1052" t="s">
        <v>1398</v>
      </c>
      <c r="D1052" t="s">
        <v>85</v>
      </c>
      <c r="E1052" t="s">
        <v>120</v>
      </c>
      <c r="F1052" t="s">
        <v>133</v>
      </c>
      <c r="G1052" t="s">
        <v>130</v>
      </c>
      <c r="H1052" t="s">
        <v>305</v>
      </c>
      <c r="I1052" t="s">
        <v>333</v>
      </c>
      <c r="J1052" t="s">
        <v>326</v>
      </c>
      <c r="K1052" t="s">
        <v>57</v>
      </c>
    </row>
    <row r="1053" spans="1:11" x14ac:dyDescent="0.35">
      <c r="A1053" t="s">
        <v>1474</v>
      </c>
      <c r="B1053">
        <v>2024</v>
      </c>
      <c r="C1053" t="s">
        <v>1398</v>
      </c>
      <c r="D1053" t="s">
        <v>85</v>
      </c>
      <c r="E1053" t="s">
        <v>116</v>
      </c>
      <c r="F1053" t="s">
        <v>129</v>
      </c>
      <c r="G1053" t="s">
        <v>128</v>
      </c>
      <c r="H1053" t="s">
        <v>285</v>
      </c>
      <c r="I1053" t="s">
        <v>77</v>
      </c>
      <c r="J1053" t="s">
        <v>286</v>
      </c>
      <c r="K1053" t="s">
        <v>57</v>
      </c>
    </row>
    <row r="1054" spans="1:11" x14ac:dyDescent="0.35">
      <c r="A1054" t="s">
        <v>1475</v>
      </c>
      <c r="B1054">
        <v>2024</v>
      </c>
      <c r="C1054" t="s">
        <v>1398</v>
      </c>
      <c r="D1054" t="s">
        <v>85</v>
      </c>
      <c r="E1054" t="s">
        <v>116</v>
      </c>
      <c r="F1054" t="s">
        <v>129</v>
      </c>
      <c r="G1054" t="s">
        <v>130</v>
      </c>
      <c r="H1054" t="s">
        <v>285</v>
      </c>
      <c r="I1054" t="s">
        <v>289</v>
      </c>
      <c r="J1054" t="s">
        <v>403</v>
      </c>
      <c r="K1054" t="s">
        <v>57</v>
      </c>
    </row>
    <row r="1055" spans="1:11" x14ac:dyDescent="0.35">
      <c r="A1055" t="s">
        <v>1476</v>
      </c>
      <c r="B1055">
        <v>2024</v>
      </c>
      <c r="C1055" t="s">
        <v>1398</v>
      </c>
      <c r="D1055" t="s">
        <v>85</v>
      </c>
      <c r="E1055" t="s">
        <v>117</v>
      </c>
      <c r="F1055" t="s">
        <v>288</v>
      </c>
      <c r="G1055" t="s">
        <v>130</v>
      </c>
      <c r="H1055" t="s">
        <v>305</v>
      </c>
      <c r="I1055" t="s">
        <v>86</v>
      </c>
      <c r="J1055" t="s">
        <v>326</v>
      </c>
      <c r="K1055" t="s">
        <v>57</v>
      </c>
    </row>
    <row r="1056" spans="1:11" x14ac:dyDescent="0.35">
      <c r="A1056" t="s">
        <v>1477</v>
      </c>
      <c r="B1056">
        <v>2024</v>
      </c>
      <c r="C1056" t="s">
        <v>1398</v>
      </c>
      <c r="D1056" t="s">
        <v>85</v>
      </c>
      <c r="E1056" t="s">
        <v>377</v>
      </c>
      <c r="F1056" t="s">
        <v>129</v>
      </c>
      <c r="G1056" t="s">
        <v>130</v>
      </c>
      <c r="H1056" t="s">
        <v>285</v>
      </c>
      <c r="I1056" t="s">
        <v>86</v>
      </c>
      <c r="J1056" t="s">
        <v>288</v>
      </c>
      <c r="K1056" t="s">
        <v>57</v>
      </c>
    </row>
    <row r="1057" spans="1:11" x14ac:dyDescent="0.35">
      <c r="A1057" t="s">
        <v>1478</v>
      </c>
      <c r="B1057">
        <v>2024</v>
      </c>
      <c r="C1057" t="s">
        <v>1398</v>
      </c>
      <c r="D1057" t="s">
        <v>76</v>
      </c>
      <c r="E1057" t="s">
        <v>109</v>
      </c>
      <c r="F1057" t="s">
        <v>131</v>
      </c>
      <c r="G1057" t="s">
        <v>126</v>
      </c>
      <c r="H1057" t="s">
        <v>285</v>
      </c>
      <c r="I1057" t="s">
        <v>86</v>
      </c>
      <c r="J1057" t="s">
        <v>286</v>
      </c>
      <c r="K1057" t="s">
        <v>57</v>
      </c>
    </row>
    <row r="1058" spans="1:11" x14ac:dyDescent="0.35">
      <c r="A1058" t="s">
        <v>1479</v>
      </c>
      <c r="B1058">
        <v>2024</v>
      </c>
      <c r="C1058" t="s">
        <v>1398</v>
      </c>
      <c r="D1058" t="s">
        <v>85</v>
      </c>
      <c r="E1058" t="s">
        <v>116</v>
      </c>
      <c r="F1058" t="s">
        <v>129</v>
      </c>
      <c r="G1058" t="s">
        <v>130</v>
      </c>
      <c r="H1058" t="s">
        <v>285</v>
      </c>
      <c r="I1058" t="s">
        <v>288</v>
      </c>
      <c r="J1058" t="s">
        <v>286</v>
      </c>
      <c r="K1058" t="s">
        <v>57</v>
      </c>
    </row>
    <row r="1059" spans="1:11" x14ac:dyDescent="0.35">
      <c r="A1059" t="s">
        <v>1480</v>
      </c>
      <c r="B1059">
        <v>2024</v>
      </c>
      <c r="C1059" t="s">
        <v>1398</v>
      </c>
      <c r="D1059" t="s">
        <v>85</v>
      </c>
      <c r="E1059" t="s">
        <v>116</v>
      </c>
      <c r="F1059" t="s">
        <v>125</v>
      </c>
      <c r="G1059" t="s">
        <v>126</v>
      </c>
      <c r="H1059" t="s">
        <v>285</v>
      </c>
      <c r="I1059" t="s">
        <v>77</v>
      </c>
      <c r="J1059" t="s">
        <v>317</v>
      </c>
      <c r="K1059" t="s">
        <v>57</v>
      </c>
    </row>
    <row r="1060" spans="1:11" x14ac:dyDescent="0.35">
      <c r="A1060" t="s">
        <v>1481</v>
      </c>
      <c r="B1060">
        <v>2024</v>
      </c>
      <c r="C1060" t="s">
        <v>1398</v>
      </c>
      <c r="D1060" t="s">
        <v>85</v>
      </c>
      <c r="E1060" t="s">
        <v>117</v>
      </c>
      <c r="F1060" t="s">
        <v>288</v>
      </c>
      <c r="G1060" t="s">
        <v>126</v>
      </c>
      <c r="H1060" t="s">
        <v>305</v>
      </c>
      <c r="I1060" t="s">
        <v>288</v>
      </c>
      <c r="J1060" t="s">
        <v>288</v>
      </c>
      <c r="K1060" t="s">
        <v>57</v>
      </c>
    </row>
    <row r="1061" spans="1:11" x14ac:dyDescent="0.35">
      <c r="A1061" t="s">
        <v>1482</v>
      </c>
      <c r="B1061">
        <v>2024</v>
      </c>
      <c r="C1061" t="s">
        <v>1398</v>
      </c>
      <c r="D1061" t="s">
        <v>76</v>
      </c>
      <c r="E1061" t="s">
        <v>118</v>
      </c>
      <c r="F1061" t="s">
        <v>125</v>
      </c>
      <c r="G1061" t="s">
        <v>126</v>
      </c>
      <c r="H1061" t="s">
        <v>285</v>
      </c>
      <c r="I1061" t="s">
        <v>86</v>
      </c>
      <c r="J1061" t="s">
        <v>317</v>
      </c>
      <c r="K1061" t="s">
        <v>57</v>
      </c>
    </row>
    <row r="1062" spans="1:11" x14ac:dyDescent="0.35">
      <c r="A1062" t="s">
        <v>1483</v>
      </c>
      <c r="B1062">
        <v>2024</v>
      </c>
      <c r="C1062" t="s">
        <v>1398</v>
      </c>
      <c r="D1062" t="s">
        <v>85</v>
      </c>
      <c r="E1062" t="s">
        <v>116</v>
      </c>
      <c r="F1062" t="s">
        <v>129</v>
      </c>
      <c r="G1062" t="s">
        <v>130</v>
      </c>
      <c r="H1062" t="s">
        <v>285</v>
      </c>
      <c r="I1062" t="s">
        <v>337</v>
      </c>
      <c r="J1062" t="s">
        <v>403</v>
      </c>
      <c r="K1062" t="s">
        <v>57</v>
      </c>
    </row>
    <row r="1063" spans="1:11" x14ac:dyDescent="0.35">
      <c r="A1063" t="s">
        <v>1484</v>
      </c>
      <c r="B1063">
        <v>2024</v>
      </c>
      <c r="C1063" t="s">
        <v>1398</v>
      </c>
      <c r="D1063" t="s">
        <v>85</v>
      </c>
      <c r="E1063" t="s">
        <v>117</v>
      </c>
      <c r="F1063" t="s">
        <v>131</v>
      </c>
      <c r="G1063" t="s">
        <v>130</v>
      </c>
      <c r="H1063" t="s">
        <v>285</v>
      </c>
      <c r="I1063" t="s">
        <v>86</v>
      </c>
      <c r="J1063" t="s">
        <v>347</v>
      </c>
      <c r="K1063" t="s">
        <v>57</v>
      </c>
    </row>
    <row r="1064" spans="1:11" x14ac:dyDescent="0.35">
      <c r="A1064" t="s">
        <v>1485</v>
      </c>
      <c r="B1064">
        <v>2024</v>
      </c>
      <c r="C1064" t="s">
        <v>1398</v>
      </c>
      <c r="D1064" t="s">
        <v>85</v>
      </c>
      <c r="E1064" t="s">
        <v>1486</v>
      </c>
      <c r="F1064" t="s">
        <v>127</v>
      </c>
      <c r="G1064" t="s">
        <v>132</v>
      </c>
      <c r="H1064" t="s">
        <v>285</v>
      </c>
      <c r="I1064" t="s">
        <v>407</v>
      </c>
      <c r="J1064" t="s">
        <v>286</v>
      </c>
      <c r="K1064" t="s">
        <v>57</v>
      </c>
    </row>
    <row r="1065" spans="1:11" x14ac:dyDescent="0.35">
      <c r="A1065" t="s">
        <v>1487</v>
      </c>
      <c r="B1065">
        <v>2024</v>
      </c>
      <c r="C1065" t="s">
        <v>1398</v>
      </c>
      <c r="D1065" t="s">
        <v>85</v>
      </c>
      <c r="E1065" t="s">
        <v>377</v>
      </c>
      <c r="F1065" t="s">
        <v>288</v>
      </c>
      <c r="G1065" t="s">
        <v>130</v>
      </c>
      <c r="H1065" t="s">
        <v>285</v>
      </c>
      <c r="I1065" t="s">
        <v>77</v>
      </c>
      <c r="J1065" t="s">
        <v>317</v>
      </c>
      <c r="K1065" t="s">
        <v>57</v>
      </c>
    </row>
    <row r="1066" spans="1:11" x14ac:dyDescent="0.35">
      <c r="A1066" t="s">
        <v>1488</v>
      </c>
      <c r="B1066">
        <v>2024</v>
      </c>
      <c r="C1066" t="s">
        <v>1398</v>
      </c>
      <c r="D1066" t="s">
        <v>85</v>
      </c>
      <c r="E1066" t="s">
        <v>344</v>
      </c>
      <c r="F1066" t="s">
        <v>131</v>
      </c>
      <c r="G1066" t="s">
        <v>128</v>
      </c>
      <c r="H1066" t="s">
        <v>285</v>
      </c>
      <c r="I1066" t="s">
        <v>77</v>
      </c>
      <c r="J1066" t="s">
        <v>317</v>
      </c>
      <c r="K1066" t="s">
        <v>57</v>
      </c>
    </row>
    <row r="1067" spans="1:11" x14ac:dyDescent="0.35">
      <c r="A1067" t="s">
        <v>1489</v>
      </c>
      <c r="B1067">
        <v>2024</v>
      </c>
      <c r="C1067" t="s">
        <v>1398</v>
      </c>
      <c r="D1067" t="s">
        <v>76</v>
      </c>
      <c r="E1067" t="s">
        <v>109</v>
      </c>
      <c r="F1067" t="s">
        <v>131</v>
      </c>
      <c r="G1067" t="s">
        <v>126</v>
      </c>
      <c r="H1067" t="s">
        <v>285</v>
      </c>
      <c r="I1067" t="s">
        <v>86</v>
      </c>
      <c r="J1067" t="s">
        <v>286</v>
      </c>
      <c r="K1067" t="s">
        <v>57</v>
      </c>
    </row>
    <row r="1068" spans="1:11" x14ac:dyDescent="0.35">
      <c r="A1068" t="s">
        <v>1490</v>
      </c>
      <c r="B1068">
        <v>2024</v>
      </c>
      <c r="C1068" t="s">
        <v>1398</v>
      </c>
      <c r="D1068" t="s">
        <v>76</v>
      </c>
      <c r="E1068" t="s">
        <v>113</v>
      </c>
      <c r="F1068" t="s">
        <v>127</v>
      </c>
      <c r="G1068" t="s">
        <v>130</v>
      </c>
      <c r="H1068" t="s">
        <v>285</v>
      </c>
      <c r="I1068" t="s">
        <v>86</v>
      </c>
      <c r="J1068" t="s">
        <v>308</v>
      </c>
      <c r="K1068" t="s">
        <v>42</v>
      </c>
    </row>
    <row r="1069" spans="1:11" x14ac:dyDescent="0.35">
      <c r="A1069" t="s">
        <v>1491</v>
      </c>
      <c r="B1069">
        <v>2024</v>
      </c>
      <c r="C1069" t="s">
        <v>1398</v>
      </c>
      <c r="D1069" t="s">
        <v>76</v>
      </c>
      <c r="E1069" t="s">
        <v>119</v>
      </c>
      <c r="F1069" t="s">
        <v>288</v>
      </c>
      <c r="G1069" t="s">
        <v>132</v>
      </c>
      <c r="H1069" t="s">
        <v>305</v>
      </c>
      <c r="I1069" t="s">
        <v>288</v>
      </c>
      <c r="J1069" t="s">
        <v>288</v>
      </c>
      <c r="K1069" t="s">
        <v>57</v>
      </c>
    </row>
    <row r="1070" spans="1:11" x14ac:dyDescent="0.35">
      <c r="A1070" t="s">
        <v>1492</v>
      </c>
      <c r="B1070">
        <v>2024</v>
      </c>
      <c r="C1070" t="s">
        <v>1398</v>
      </c>
      <c r="D1070" t="s">
        <v>76</v>
      </c>
      <c r="E1070" t="s">
        <v>109</v>
      </c>
      <c r="F1070" t="s">
        <v>129</v>
      </c>
      <c r="G1070" t="s">
        <v>128</v>
      </c>
      <c r="H1070" t="s">
        <v>285</v>
      </c>
      <c r="I1070" t="s">
        <v>77</v>
      </c>
      <c r="J1070" t="s">
        <v>286</v>
      </c>
      <c r="K1070" t="s">
        <v>57</v>
      </c>
    </row>
    <row r="1071" spans="1:11" x14ac:dyDescent="0.35">
      <c r="A1071" t="s">
        <v>1493</v>
      </c>
      <c r="B1071">
        <v>2024</v>
      </c>
      <c r="C1071" t="s">
        <v>1398</v>
      </c>
      <c r="D1071" t="s">
        <v>85</v>
      </c>
      <c r="E1071" t="s">
        <v>117</v>
      </c>
      <c r="F1071" t="s">
        <v>127</v>
      </c>
      <c r="G1071" t="s">
        <v>132</v>
      </c>
      <c r="H1071" t="s">
        <v>285</v>
      </c>
      <c r="I1071" t="s">
        <v>86</v>
      </c>
      <c r="J1071" t="s">
        <v>409</v>
      </c>
      <c r="K1071" t="s">
        <v>57</v>
      </c>
    </row>
    <row r="1072" spans="1:11" x14ac:dyDescent="0.35">
      <c r="A1072" t="s">
        <v>1494</v>
      </c>
      <c r="B1072">
        <v>2024</v>
      </c>
      <c r="C1072" t="s">
        <v>1398</v>
      </c>
      <c r="D1072" t="s">
        <v>76</v>
      </c>
      <c r="E1072" t="s">
        <v>113</v>
      </c>
      <c r="F1072" t="s">
        <v>127</v>
      </c>
      <c r="G1072" t="s">
        <v>130</v>
      </c>
      <c r="H1072" t="s">
        <v>285</v>
      </c>
      <c r="I1072" t="s">
        <v>86</v>
      </c>
      <c r="J1072" t="s">
        <v>405</v>
      </c>
      <c r="K1072" t="s">
        <v>57</v>
      </c>
    </row>
    <row r="1073" spans="1:11" x14ac:dyDescent="0.35">
      <c r="A1073" t="s">
        <v>1495</v>
      </c>
      <c r="B1073">
        <v>2024</v>
      </c>
      <c r="C1073" t="s">
        <v>1398</v>
      </c>
      <c r="D1073" t="s">
        <v>76</v>
      </c>
      <c r="E1073" t="s">
        <v>108</v>
      </c>
      <c r="F1073" t="s">
        <v>125</v>
      </c>
      <c r="G1073" t="s">
        <v>128</v>
      </c>
      <c r="H1073" t="s">
        <v>285</v>
      </c>
      <c r="I1073" t="s">
        <v>86</v>
      </c>
      <c r="J1073" t="s">
        <v>308</v>
      </c>
      <c r="K1073" t="s">
        <v>42</v>
      </c>
    </row>
    <row r="1074" spans="1:11" x14ac:dyDescent="0.35">
      <c r="A1074" t="s">
        <v>1496</v>
      </c>
      <c r="B1074">
        <v>2024</v>
      </c>
      <c r="C1074" t="s">
        <v>1398</v>
      </c>
      <c r="D1074" t="s">
        <v>85</v>
      </c>
      <c r="E1074" t="s">
        <v>116</v>
      </c>
      <c r="F1074" t="s">
        <v>129</v>
      </c>
      <c r="G1074" t="s">
        <v>128</v>
      </c>
      <c r="H1074" t="s">
        <v>285</v>
      </c>
      <c r="I1074" t="s">
        <v>289</v>
      </c>
      <c r="J1074" t="s">
        <v>286</v>
      </c>
      <c r="K1074" t="s">
        <v>57</v>
      </c>
    </row>
    <row r="1075" spans="1:11" x14ac:dyDescent="0.35">
      <c r="A1075" t="s">
        <v>1497</v>
      </c>
      <c r="B1075">
        <v>2024</v>
      </c>
      <c r="C1075" t="s">
        <v>1398</v>
      </c>
      <c r="D1075" t="s">
        <v>76</v>
      </c>
      <c r="E1075" t="s">
        <v>118</v>
      </c>
      <c r="F1075" t="s">
        <v>134</v>
      </c>
      <c r="G1075" t="s">
        <v>128</v>
      </c>
      <c r="H1075" t="s">
        <v>285</v>
      </c>
      <c r="I1075" t="s">
        <v>333</v>
      </c>
      <c r="J1075" t="s">
        <v>447</v>
      </c>
      <c r="K1075" t="s">
        <v>57</v>
      </c>
    </row>
    <row r="1076" spans="1:11" x14ac:dyDescent="0.35">
      <c r="A1076" t="s">
        <v>1498</v>
      </c>
      <c r="B1076">
        <v>2024</v>
      </c>
      <c r="C1076" t="s">
        <v>1398</v>
      </c>
      <c r="D1076" t="s">
        <v>76</v>
      </c>
      <c r="E1076" t="s">
        <v>115</v>
      </c>
      <c r="F1076" t="s">
        <v>125</v>
      </c>
      <c r="G1076" t="s">
        <v>130</v>
      </c>
      <c r="H1076" t="s">
        <v>285</v>
      </c>
      <c r="I1076" t="s">
        <v>288</v>
      </c>
      <c r="J1076" t="s">
        <v>286</v>
      </c>
      <c r="K1076" t="s">
        <v>57</v>
      </c>
    </row>
    <row r="1077" spans="1:11" x14ac:dyDescent="0.35">
      <c r="A1077" t="s">
        <v>1499</v>
      </c>
      <c r="B1077">
        <v>2024</v>
      </c>
      <c r="C1077" t="s">
        <v>1398</v>
      </c>
      <c r="D1077" t="s">
        <v>76</v>
      </c>
      <c r="E1077" t="s">
        <v>115</v>
      </c>
      <c r="F1077" t="s">
        <v>127</v>
      </c>
      <c r="G1077" t="s">
        <v>130</v>
      </c>
      <c r="H1077" t="s">
        <v>285</v>
      </c>
      <c r="I1077" t="s">
        <v>86</v>
      </c>
      <c r="J1077" t="s">
        <v>286</v>
      </c>
      <c r="K1077" t="s">
        <v>57</v>
      </c>
    </row>
    <row r="1078" spans="1:11" x14ac:dyDescent="0.35">
      <c r="A1078" t="s">
        <v>1500</v>
      </c>
      <c r="B1078">
        <v>2024</v>
      </c>
      <c r="C1078" t="s">
        <v>1398</v>
      </c>
      <c r="D1078" t="s">
        <v>76</v>
      </c>
      <c r="E1078" t="s">
        <v>107</v>
      </c>
      <c r="F1078" t="s">
        <v>125</v>
      </c>
      <c r="G1078" t="s">
        <v>128</v>
      </c>
      <c r="H1078" t="s">
        <v>285</v>
      </c>
      <c r="I1078" t="s">
        <v>86</v>
      </c>
      <c r="J1078" t="s">
        <v>286</v>
      </c>
      <c r="K1078" t="s">
        <v>57</v>
      </c>
    </row>
    <row r="1079" spans="1:11" x14ac:dyDescent="0.35">
      <c r="A1079" t="s">
        <v>1501</v>
      </c>
      <c r="B1079">
        <v>2024</v>
      </c>
      <c r="C1079" t="s">
        <v>1398</v>
      </c>
      <c r="D1079" t="s">
        <v>76</v>
      </c>
      <c r="E1079" t="s">
        <v>113</v>
      </c>
      <c r="F1079" t="s">
        <v>127</v>
      </c>
      <c r="G1079" t="s">
        <v>130</v>
      </c>
      <c r="H1079" t="s">
        <v>285</v>
      </c>
      <c r="I1079" t="s">
        <v>86</v>
      </c>
      <c r="J1079" t="s">
        <v>566</v>
      </c>
      <c r="K1079" t="s">
        <v>42</v>
      </c>
    </row>
    <row r="1080" spans="1:11" x14ac:dyDescent="0.35">
      <c r="A1080" t="s">
        <v>1502</v>
      </c>
      <c r="B1080">
        <v>2024</v>
      </c>
      <c r="C1080" t="s">
        <v>1398</v>
      </c>
      <c r="D1080" t="s">
        <v>76</v>
      </c>
      <c r="E1080" t="s">
        <v>119</v>
      </c>
      <c r="F1080" t="s">
        <v>129</v>
      </c>
      <c r="G1080" t="s">
        <v>128</v>
      </c>
      <c r="H1080" t="s">
        <v>285</v>
      </c>
      <c r="I1080" t="s">
        <v>86</v>
      </c>
      <c r="J1080" t="s">
        <v>286</v>
      </c>
      <c r="K1080" t="s">
        <v>57</v>
      </c>
    </row>
    <row r="1081" spans="1:11" x14ac:dyDescent="0.35">
      <c r="A1081" t="s">
        <v>1503</v>
      </c>
      <c r="B1081">
        <v>2024</v>
      </c>
      <c r="C1081" t="s">
        <v>1398</v>
      </c>
      <c r="D1081" t="s">
        <v>85</v>
      </c>
      <c r="E1081" t="s">
        <v>120</v>
      </c>
      <c r="F1081" t="s">
        <v>129</v>
      </c>
      <c r="G1081" t="s">
        <v>128</v>
      </c>
      <c r="H1081" t="s">
        <v>305</v>
      </c>
      <c r="I1081" t="s">
        <v>77</v>
      </c>
      <c r="J1081" t="s">
        <v>295</v>
      </c>
      <c r="K1081" t="s">
        <v>57</v>
      </c>
    </row>
    <row r="1082" spans="1:11" x14ac:dyDescent="0.35">
      <c r="A1082" t="s">
        <v>1504</v>
      </c>
      <c r="B1082">
        <v>2024</v>
      </c>
      <c r="C1082" t="s">
        <v>1398</v>
      </c>
      <c r="D1082" t="s">
        <v>85</v>
      </c>
      <c r="E1082" t="s">
        <v>116</v>
      </c>
      <c r="F1082" t="s">
        <v>129</v>
      </c>
      <c r="G1082" t="s">
        <v>126</v>
      </c>
      <c r="H1082" t="s">
        <v>285</v>
      </c>
      <c r="I1082" t="s">
        <v>86</v>
      </c>
      <c r="J1082" t="s">
        <v>1505</v>
      </c>
      <c r="K1082" t="s">
        <v>42</v>
      </c>
    </row>
    <row r="1083" spans="1:11" x14ac:dyDescent="0.35">
      <c r="A1083" t="s">
        <v>1506</v>
      </c>
      <c r="B1083">
        <v>2024</v>
      </c>
      <c r="C1083" t="s">
        <v>1398</v>
      </c>
      <c r="D1083" t="s">
        <v>85</v>
      </c>
      <c r="E1083" t="s">
        <v>377</v>
      </c>
      <c r="F1083" t="s">
        <v>125</v>
      </c>
      <c r="G1083" t="s">
        <v>126</v>
      </c>
      <c r="H1083" t="s">
        <v>305</v>
      </c>
      <c r="I1083" t="s">
        <v>77</v>
      </c>
      <c r="J1083" t="s">
        <v>317</v>
      </c>
      <c r="K1083" t="s">
        <v>57</v>
      </c>
    </row>
    <row r="1084" spans="1:11" x14ac:dyDescent="0.35">
      <c r="A1084" t="s">
        <v>1507</v>
      </c>
      <c r="B1084">
        <v>2024</v>
      </c>
      <c r="C1084" t="s">
        <v>1398</v>
      </c>
      <c r="D1084" t="s">
        <v>85</v>
      </c>
      <c r="E1084" t="s">
        <v>377</v>
      </c>
      <c r="F1084" t="s">
        <v>127</v>
      </c>
      <c r="G1084" t="s">
        <v>130</v>
      </c>
      <c r="H1084" t="s">
        <v>305</v>
      </c>
      <c r="I1084" t="s">
        <v>77</v>
      </c>
      <c r="J1084" t="s">
        <v>409</v>
      </c>
      <c r="K1084" t="s">
        <v>57</v>
      </c>
    </row>
    <row r="1085" spans="1:11" x14ac:dyDescent="0.35">
      <c r="A1085" t="s">
        <v>1508</v>
      </c>
      <c r="B1085">
        <v>2024</v>
      </c>
      <c r="C1085" t="s">
        <v>1398</v>
      </c>
      <c r="D1085" t="s">
        <v>76</v>
      </c>
      <c r="E1085" t="s">
        <v>113</v>
      </c>
      <c r="F1085" t="s">
        <v>125</v>
      </c>
      <c r="G1085" t="s">
        <v>128</v>
      </c>
      <c r="H1085" t="s">
        <v>285</v>
      </c>
      <c r="I1085" t="s">
        <v>288</v>
      </c>
      <c r="J1085" t="s">
        <v>1509</v>
      </c>
      <c r="K1085" t="s">
        <v>42</v>
      </c>
    </row>
    <row r="1086" spans="1:11" x14ac:dyDescent="0.35">
      <c r="A1086" t="s">
        <v>1510</v>
      </c>
      <c r="B1086">
        <v>2024</v>
      </c>
      <c r="C1086" t="s">
        <v>1398</v>
      </c>
      <c r="D1086" t="s">
        <v>85</v>
      </c>
      <c r="E1086" t="s">
        <v>116</v>
      </c>
      <c r="F1086" t="s">
        <v>129</v>
      </c>
      <c r="G1086" t="s">
        <v>128</v>
      </c>
      <c r="H1086" t="s">
        <v>285</v>
      </c>
      <c r="I1086" t="s">
        <v>289</v>
      </c>
      <c r="J1086" t="s">
        <v>412</v>
      </c>
      <c r="K1086" t="s">
        <v>57</v>
      </c>
    </row>
    <row r="1087" spans="1:11" x14ac:dyDescent="0.35">
      <c r="A1087" t="s">
        <v>1511</v>
      </c>
      <c r="B1087">
        <v>2024</v>
      </c>
      <c r="C1087" t="s">
        <v>1398</v>
      </c>
      <c r="D1087" t="s">
        <v>85</v>
      </c>
      <c r="E1087" t="s">
        <v>115</v>
      </c>
      <c r="F1087" t="s">
        <v>129</v>
      </c>
      <c r="G1087" t="s">
        <v>128</v>
      </c>
      <c r="H1087" t="s">
        <v>305</v>
      </c>
      <c r="I1087" t="s">
        <v>77</v>
      </c>
      <c r="J1087" t="s">
        <v>286</v>
      </c>
      <c r="K1087" t="s">
        <v>57</v>
      </c>
    </row>
    <row r="1088" spans="1:11" x14ac:dyDescent="0.35">
      <c r="A1088" t="s">
        <v>1512</v>
      </c>
      <c r="B1088">
        <v>2024</v>
      </c>
      <c r="C1088" t="s">
        <v>1398</v>
      </c>
      <c r="D1088" t="s">
        <v>85</v>
      </c>
      <c r="E1088" t="s">
        <v>120</v>
      </c>
      <c r="F1088" t="s">
        <v>288</v>
      </c>
      <c r="G1088" t="s">
        <v>128</v>
      </c>
      <c r="H1088" t="s">
        <v>305</v>
      </c>
      <c r="I1088" t="s">
        <v>77</v>
      </c>
      <c r="J1088" t="s">
        <v>286</v>
      </c>
      <c r="K1088" t="s">
        <v>57</v>
      </c>
    </row>
    <row r="1089" spans="1:11" x14ac:dyDescent="0.35">
      <c r="A1089" t="s">
        <v>1513</v>
      </c>
      <c r="B1089">
        <v>2024</v>
      </c>
      <c r="C1089" t="s">
        <v>1398</v>
      </c>
      <c r="D1089" t="s">
        <v>76</v>
      </c>
      <c r="E1089" t="s">
        <v>119</v>
      </c>
      <c r="F1089" t="s">
        <v>288</v>
      </c>
      <c r="G1089" t="s">
        <v>132</v>
      </c>
      <c r="H1089" t="s">
        <v>285</v>
      </c>
      <c r="I1089" t="s">
        <v>77</v>
      </c>
      <c r="J1089" t="s">
        <v>317</v>
      </c>
      <c r="K1089" t="s">
        <v>57</v>
      </c>
    </row>
    <row r="1090" spans="1:11" x14ac:dyDescent="0.35">
      <c r="A1090" t="s">
        <v>1514</v>
      </c>
      <c r="B1090">
        <v>2024</v>
      </c>
      <c r="C1090" t="s">
        <v>1398</v>
      </c>
      <c r="D1090" t="s">
        <v>76</v>
      </c>
      <c r="E1090" t="s">
        <v>108</v>
      </c>
      <c r="F1090" t="s">
        <v>125</v>
      </c>
      <c r="G1090" t="s">
        <v>126</v>
      </c>
      <c r="H1090" t="s">
        <v>285</v>
      </c>
      <c r="I1090" t="s">
        <v>288</v>
      </c>
      <c r="J1090" t="s">
        <v>286</v>
      </c>
      <c r="K1090" t="s">
        <v>57</v>
      </c>
    </row>
    <row r="1091" spans="1:11" x14ac:dyDescent="0.35">
      <c r="A1091" t="s">
        <v>1515</v>
      </c>
      <c r="B1091">
        <v>2024</v>
      </c>
      <c r="C1091" t="s">
        <v>1398</v>
      </c>
      <c r="D1091" t="s">
        <v>76</v>
      </c>
      <c r="E1091" t="s">
        <v>119</v>
      </c>
      <c r="F1091" t="s">
        <v>125</v>
      </c>
      <c r="G1091" t="s">
        <v>128</v>
      </c>
      <c r="H1091" t="s">
        <v>285</v>
      </c>
      <c r="I1091" t="s">
        <v>77</v>
      </c>
      <c r="J1091" t="s">
        <v>288</v>
      </c>
      <c r="K1091" t="s">
        <v>57</v>
      </c>
    </row>
    <row r="1092" spans="1:11" x14ac:dyDescent="0.35">
      <c r="A1092" t="s">
        <v>1516</v>
      </c>
      <c r="B1092">
        <v>2024</v>
      </c>
      <c r="C1092" t="s">
        <v>1398</v>
      </c>
      <c r="D1092" t="s">
        <v>76</v>
      </c>
      <c r="E1092" t="s">
        <v>107</v>
      </c>
      <c r="F1092" t="s">
        <v>127</v>
      </c>
      <c r="G1092" t="s">
        <v>128</v>
      </c>
      <c r="H1092" t="s">
        <v>285</v>
      </c>
      <c r="I1092" t="s">
        <v>86</v>
      </c>
      <c r="J1092" t="s">
        <v>317</v>
      </c>
      <c r="K1092" t="s">
        <v>57</v>
      </c>
    </row>
    <row r="1093" spans="1:11" x14ac:dyDescent="0.35">
      <c r="A1093" t="s">
        <v>1517</v>
      </c>
      <c r="B1093">
        <v>2024</v>
      </c>
      <c r="C1093" t="s">
        <v>1398</v>
      </c>
      <c r="D1093" t="s">
        <v>85</v>
      </c>
      <c r="E1093" t="s">
        <v>377</v>
      </c>
      <c r="F1093" t="s">
        <v>131</v>
      </c>
      <c r="G1093" t="s">
        <v>128</v>
      </c>
      <c r="H1093" t="s">
        <v>305</v>
      </c>
      <c r="I1093" t="s">
        <v>289</v>
      </c>
      <c r="J1093" t="s">
        <v>1518</v>
      </c>
      <c r="K1093" t="s">
        <v>42</v>
      </c>
    </row>
    <row r="1094" spans="1:11" x14ac:dyDescent="0.35">
      <c r="A1094" t="s">
        <v>1519</v>
      </c>
      <c r="B1094">
        <v>2024</v>
      </c>
      <c r="C1094" t="s">
        <v>1398</v>
      </c>
      <c r="D1094" t="s">
        <v>85</v>
      </c>
      <c r="E1094" t="s">
        <v>116</v>
      </c>
      <c r="F1094" t="s">
        <v>288</v>
      </c>
      <c r="G1094" t="s">
        <v>128</v>
      </c>
      <c r="H1094" t="s">
        <v>285</v>
      </c>
      <c r="I1094" t="s">
        <v>288</v>
      </c>
      <c r="J1094" t="s">
        <v>288</v>
      </c>
      <c r="K1094" t="s">
        <v>57</v>
      </c>
    </row>
    <row r="1095" spans="1:11" x14ac:dyDescent="0.35">
      <c r="A1095" t="s">
        <v>1520</v>
      </c>
      <c r="B1095">
        <v>2024</v>
      </c>
      <c r="C1095" t="s">
        <v>1398</v>
      </c>
      <c r="D1095" t="s">
        <v>85</v>
      </c>
      <c r="E1095" t="s">
        <v>116</v>
      </c>
      <c r="F1095" t="s">
        <v>129</v>
      </c>
      <c r="G1095" t="s">
        <v>128</v>
      </c>
      <c r="H1095" t="s">
        <v>285</v>
      </c>
      <c r="I1095" t="s">
        <v>86</v>
      </c>
      <c r="J1095" t="s">
        <v>308</v>
      </c>
      <c r="K1095" t="s">
        <v>42</v>
      </c>
    </row>
    <row r="1096" spans="1:11" x14ac:dyDescent="0.35">
      <c r="A1096" t="s">
        <v>1521</v>
      </c>
      <c r="B1096">
        <v>2024</v>
      </c>
      <c r="C1096" t="s">
        <v>1398</v>
      </c>
      <c r="D1096" t="s">
        <v>85</v>
      </c>
      <c r="E1096" t="s">
        <v>120</v>
      </c>
      <c r="F1096" t="s">
        <v>127</v>
      </c>
      <c r="G1096" t="s">
        <v>128</v>
      </c>
      <c r="H1096" t="s">
        <v>305</v>
      </c>
      <c r="I1096" t="s">
        <v>288</v>
      </c>
      <c r="J1096" t="s">
        <v>326</v>
      </c>
      <c r="K1096" t="s">
        <v>57</v>
      </c>
    </row>
    <row r="1097" spans="1:11" x14ac:dyDescent="0.35">
      <c r="A1097" t="s">
        <v>1522</v>
      </c>
      <c r="B1097">
        <v>2024</v>
      </c>
      <c r="C1097" t="s">
        <v>1398</v>
      </c>
      <c r="D1097" t="s">
        <v>85</v>
      </c>
      <c r="E1097" t="s">
        <v>120</v>
      </c>
      <c r="F1097" t="s">
        <v>129</v>
      </c>
      <c r="G1097" t="s">
        <v>130</v>
      </c>
      <c r="H1097" t="s">
        <v>305</v>
      </c>
      <c r="I1097" t="s">
        <v>86</v>
      </c>
      <c r="J1097" t="s">
        <v>326</v>
      </c>
      <c r="K1097" t="s">
        <v>57</v>
      </c>
    </row>
    <row r="1098" spans="1:11" x14ac:dyDescent="0.35">
      <c r="A1098" t="s">
        <v>1523</v>
      </c>
      <c r="B1098">
        <v>2024</v>
      </c>
      <c r="C1098" t="s">
        <v>1398</v>
      </c>
      <c r="D1098" t="s">
        <v>85</v>
      </c>
      <c r="E1098" t="s">
        <v>120</v>
      </c>
      <c r="F1098" t="s">
        <v>129</v>
      </c>
      <c r="G1098" t="s">
        <v>130</v>
      </c>
      <c r="H1098" t="s">
        <v>305</v>
      </c>
      <c r="I1098" t="s">
        <v>86</v>
      </c>
      <c r="J1098" t="s">
        <v>326</v>
      </c>
      <c r="K1098" t="s">
        <v>57</v>
      </c>
    </row>
    <row r="1099" spans="1:11" x14ac:dyDescent="0.35">
      <c r="A1099" t="s">
        <v>1524</v>
      </c>
      <c r="B1099">
        <v>2024</v>
      </c>
      <c r="C1099" t="s">
        <v>1398</v>
      </c>
      <c r="D1099" t="s">
        <v>76</v>
      </c>
      <c r="E1099" t="s">
        <v>118</v>
      </c>
      <c r="F1099" t="s">
        <v>127</v>
      </c>
      <c r="G1099" t="s">
        <v>130</v>
      </c>
      <c r="H1099" t="s">
        <v>285</v>
      </c>
      <c r="I1099" t="s">
        <v>86</v>
      </c>
      <c r="J1099" t="s">
        <v>317</v>
      </c>
      <c r="K1099" t="s">
        <v>57</v>
      </c>
    </row>
    <row r="1100" spans="1:11" x14ac:dyDescent="0.35">
      <c r="A1100" t="s">
        <v>1525</v>
      </c>
      <c r="B1100">
        <v>2024</v>
      </c>
      <c r="C1100" t="s">
        <v>1398</v>
      </c>
      <c r="D1100" t="s">
        <v>76</v>
      </c>
      <c r="E1100" t="s">
        <v>118</v>
      </c>
      <c r="F1100" t="s">
        <v>129</v>
      </c>
      <c r="G1100" t="s">
        <v>130</v>
      </c>
      <c r="H1100" t="s">
        <v>285</v>
      </c>
      <c r="I1100" t="s">
        <v>86</v>
      </c>
      <c r="J1100" t="s">
        <v>317</v>
      </c>
      <c r="K1100" t="s">
        <v>57</v>
      </c>
    </row>
    <row r="1101" spans="1:11" x14ac:dyDescent="0.35">
      <c r="A1101" t="s">
        <v>1526</v>
      </c>
      <c r="B1101">
        <v>2024</v>
      </c>
      <c r="C1101" t="s">
        <v>1398</v>
      </c>
      <c r="D1101" t="s">
        <v>76</v>
      </c>
      <c r="E1101" t="s">
        <v>118</v>
      </c>
      <c r="F1101" t="s">
        <v>129</v>
      </c>
      <c r="G1101" t="s">
        <v>130</v>
      </c>
      <c r="H1101" t="s">
        <v>285</v>
      </c>
      <c r="I1101" t="s">
        <v>86</v>
      </c>
      <c r="J1101" t="s">
        <v>317</v>
      </c>
      <c r="K1101" t="s">
        <v>57</v>
      </c>
    </row>
    <row r="1102" spans="1:11" x14ac:dyDescent="0.35">
      <c r="A1102" t="s">
        <v>1527</v>
      </c>
      <c r="B1102">
        <v>2024</v>
      </c>
      <c r="C1102" t="s">
        <v>1398</v>
      </c>
      <c r="D1102" t="s">
        <v>76</v>
      </c>
      <c r="E1102" t="s">
        <v>118</v>
      </c>
      <c r="F1102" t="s">
        <v>127</v>
      </c>
      <c r="G1102" t="s">
        <v>130</v>
      </c>
      <c r="H1102" t="s">
        <v>285</v>
      </c>
      <c r="I1102" t="s">
        <v>86</v>
      </c>
      <c r="J1102" t="s">
        <v>317</v>
      </c>
      <c r="K1102" t="s">
        <v>57</v>
      </c>
    </row>
    <row r="1103" spans="1:11" x14ac:dyDescent="0.35">
      <c r="A1103" t="s">
        <v>1528</v>
      </c>
      <c r="B1103">
        <v>2024</v>
      </c>
      <c r="C1103" t="s">
        <v>1398</v>
      </c>
      <c r="D1103" t="s">
        <v>76</v>
      </c>
      <c r="E1103" t="s">
        <v>118</v>
      </c>
      <c r="F1103" t="s">
        <v>127</v>
      </c>
      <c r="G1103" t="s">
        <v>130</v>
      </c>
      <c r="H1103" t="s">
        <v>285</v>
      </c>
      <c r="I1103" t="s">
        <v>86</v>
      </c>
      <c r="J1103" t="s">
        <v>317</v>
      </c>
      <c r="K1103" t="s">
        <v>57</v>
      </c>
    </row>
    <row r="1104" spans="1:11" x14ac:dyDescent="0.35">
      <c r="A1104" t="s">
        <v>1529</v>
      </c>
      <c r="B1104">
        <v>2024</v>
      </c>
      <c r="C1104" t="s">
        <v>1398</v>
      </c>
      <c r="D1104" t="s">
        <v>76</v>
      </c>
      <c r="E1104" t="s">
        <v>107</v>
      </c>
      <c r="F1104" t="s">
        <v>125</v>
      </c>
      <c r="G1104" t="s">
        <v>126</v>
      </c>
      <c r="H1104" t="s">
        <v>285</v>
      </c>
      <c r="I1104" t="s">
        <v>86</v>
      </c>
      <c r="J1104" t="s">
        <v>317</v>
      </c>
      <c r="K1104" t="s">
        <v>57</v>
      </c>
    </row>
    <row r="1105" spans="1:11" x14ac:dyDescent="0.35">
      <c r="A1105" t="s">
        <v>1530</v>
      </c>
      <c r="B1105">
        <v>2024</v>
      </c>
      <c r="C1105" t="s">
        <v>1398</v>
      </c>
      <c r="D1105" t="s">
        <v>76</v>
      </c>
      <c r="E1105" t="s">
        <v>107</v>
      </c>
      <c r="F1105" t="s">
        <v>125</v>
      </c>
      <c r="G1105" t="s">
        <v>126</v>
      </c>
      <c r="H1105" t="s">
        <v>285</v>
      </c>
      <c r="I1105" t="s">
        <v>77</v>
      </c>
      <c r="J1105" t="s">
        <v>286</v>
      </c>
      <c r="K1105" t="s">
        <v>57</v>
      </c>
    </row>
    <row r="1106" spans="1:11" x14ac:dyDescent="0.35">
      <c r="A1106" t="s">
        <v>1531</v>
      </c>
      <c r="B1106">
        <v>2024</v>
      </c>
      <c r="C1106" t="s">
        <v>1398</v>
      </c>
      <c r="D1106" t="s">
        <v>85</v>
      </c>
      <c r="E1106" t="s">
        <v>117</v>
      </c>
      <c r="F1106" t="s">
        <v>127</v>
      </c>
      <c r="G1106" t="s">
        <v>128</v>
      </c>
      <c r="H1106" t="s">
        <v>305</v>
      </c>
      <c r="I1106" t="s">
        <v>337</v>
      </c>
      <c r="J1106" t="s">
        <v>295</v>
      </c>
      <c r="K1106" t="s">
        <v>57</v>
      </c>
    </row>
    <row r="1107" spans="1:11" x14ac:dyDescent="0.35">
      <c r="A1107" t="s">
        <v>1532</v>
      </c>
      <c r="B1107">
        <v>2024</v>
      </c>
      <c r="C1107" t="s">
        <v>1398</v>
      </c>
      <c r="D1107" t="s">
        <v>85</v>
      </c>
      <c r="E1107" t="s">
        <v>116</v>
      </c>
      <c r="F1107" t="s">
        <v>129</v>
      </c>
      <c r="G1107" t="s">
        <v>128</v>
      </c>
      <c r="H1107" t="s">
        <v>285</v>
      </c>
      <c r="I1107" t="s">
        <v>77</v>
      </c>
      <c r="J1107" t="s">
        <v>286</v>
      </c>
      <c r="K1107" t="s">
        <v>57</v>
      </c>
    </row>
    <row r="1108" spans="1:11" x14ac:dyDescent="0.35">
      <c r="A1108" t="s">
        <v>1533</v>
      </c>
      <c r="B1108">
        <v>2024</v>
      </c>
      <c r="C1108" t="s">
        <v>1398</v>
      </c>
      <c r="D1108" t="s">
        <v>76</v>
      </c>
      <c r="E1108" t="s">
        <v>113</v>
      </c>
      <c r="F1108" t="s">
        <v>125</v>
      </c>
      <c r="G1108" t="s">
        <v>132</v>
      </c>
      <c r="H1108" t="s">
        <v>285</v>
      </c>
      <c r="I1108" t="s">
        <v>638</v>
      </c>
      <c r="J1108" t="s">
        <v>286</v>
      </c>
      <c r="K1108" t="s">
        <v>57</v>
      </c>
    </row>
    <row r="1109" spans="1:11" x14ac:dyDescent="0.35">
      <c r="A1109" t="s">
        <v>1534</v>
      </c>
      <c r="B1109">
        <v>2024</v>
      </c>
      <c r="C1109" t="s">
        <v>1398</v>
      </c>
      <c r="D1109" t="s">
        <v>85</v>
      </c>
      <c r="E1109" t="s">
        <v>116</v>
      </c>
      <c r="F1109" t="s">
        <v>131</v>
      </c>
      <c r="G1109" t="s">
        <v>128</v>
      </c>
      <c r="H1109" t="s">
        <v>285</v>
      </c>
      <c r="I1109" t="s">
        <v>289</v>
      </c>
      <c r="J1109" t="s">
        <v>326</v>
      </c>
      <c r="K1109" t="s">
        <v>57</v>
      </c>
    </row>
    <row r="1110" spans="1:11" x14ac:dyDescent="0.35">
      <c r="A1110" t="s">
        <v>1535</v>
      </c>
      <c r="B1110">
        <v>2024</v>
      </c>
      <c r="C1110" t="s">
        <v>1398</v>
      </c>
      <c r="D1110" t="s">
        <v>76</v>
      </c>
      <c r="E1110" t="s">
        <v>119</v>
      </c>
      <c r="F1110" t="s">
        <v>125</v>
      </c>
      <c r="G1110" t="s">
        <v>132</v>
      </c>
      <c r="H1110" t="s">
        <v>285</v>
      </c>
      <c r="I1110" t="s">
        <v>1536</v>
      </c>
      <c r="J1110" t="s">
        <v>308</v>
      </c>
      <c r="K1110" t="s">
        <v>42</v>
      </c>
    </row>
    <row r="1111" spans="1:11" x14ac:dyDescent="0.35">
      <c r="A1111" t="s">
        <v>1537</v>
      </c>
      <c r="B1111">
        <v>2024</v>
      </c>
      <c r="C1111" t="s">
        <v>1398</v>
      </c>
      <c r="D1111" t="s">
        <v>76</v>
      </c>
      <c r="E1111" t="s">
        <v>107</v>
      </c>
      <c r="F1111" t="s">
        <v>129</v>
      </c>
      <c r="G1111" t="s">
        <v>130</v>
      </c>
      <c r="H1111" t="s">
        <v>285</v>
      </c>
      <c r="I1111" t="s">
        <v>86</v>
      </c>
      <c r="J1111" t="s">
        <v>286</v>
      </c>
      <c r="K1111" t="s">
        <v>57</v>
      </c>
    </row>
    <row r="1112" spans="1:11" x14ac:dyDescent="0.35">
      <c r="A1112" t="s">
        <v>1538</v>
      </c>
      <c r="B1112">
        <v>2024</v>
      </c>
      <c r="C1112" t="s">
        <v>1398</v>
      </c>
      <c r="D1112" t="s">
        <v>85</v>
      </c>
      <c r="E1112" t="s">
        <v>117</v>
      </c>
      <c r="F1112" t="s">
        <v>127</v>
      </c>
      <c r="G1112" t="s">
        <v>132</v>
      </c>
      <c r="H1112" t="s">
        <v>305</v>
      </c>
      <c r="I1112" t="s">
        <v>86</v>
      </c>
      <c r="J1112" t="s">
        <v>405</v>
      </c>
      <c r="K1112" t="s">
        <v>57</v>
      </c>
    </row>
    <row r="1113" spans="1:11" x14ac:dyDescent="0.35">
      <c r="A1113" t="s">
        <v>1539</v>
      </c>
      <c r="B1113">
        <v>2024</v>
      </c>
      <c r="C1113" t="s">
        <v>1398</v>
      </c>
      <c r="D1113" t="s">
        <v>85</v>
      </c>
      <c r="E1113" t="s">
        <v>117</v>
      </c>
      <c r="F1113" t="s">
        <v>125</v>
      </c>
      <c r="G1113" t="s">
        <v>132</v>
      </c>
      <c r="H1113" t="s">
        <v>305</v>
      </c>
      <c r="I1113" t="s">
        <v>86</v>
      </c>
      <c r="J1113" t="s">
        <v>286</v>
      </c>
      <c r="K1113" t="s">
        <v>57</v>
      </c>
    </row>
    <row r="1114" spans="1:11" x14ac:dyDescent="0.35">
      <c r="A1114" t="s">
        <v>1540</v>
      </c>
      <c r="B1114">
        <v>2024</v>
      </c>
      <c r="C1114" t="s">
        <v>1398</v>
      </c>
      <c r="D1114" t="s">
        <v>85</v>
      </c>
      <c r="E1114" t="s">
        <v>120</v>
      </c>
      <c r="F1114" t="s">
        <v>127</v>
      </c>
      <c r="G1114" t="s">
        <v>128</v>
      </c>
      <c r="H1114" t="s">
        <v>305</v>
      </c>
      <c r="I1114" t="s">
        <v>86</v>
      </c>
      <c r="J1114" t="s">
        <v>347</v>
      </c>
      <c r="K1114" t="s">
        <v>57</v>
      </c>
    </row>
    <row r="1115" spans="1:11" x14ac:dyDescent="0.35">
      <c r="A1115" t="s">
        <v>1541</v>
      </c>
      <c r="B1115">
        <v>2024</v>
      </c>
      <c r="C1115" t="s">
        <v>1398</v>
      </c>
      <c r="D1115" t="s">
        <v>76</v>
      </c>
      <c r="E1115" t="s">
        <v>107</v>
      </c>
      <c r="F1115" t="s">
        <v>127</v>
      </c>
      <c r="G1115" t="s">
        <v>130</v>
      </c>
      <c r="H1115" t="s">
        <v>285</v>
      </c>
      <c r="I1115" t="s">
        <v>77</v>
      </c>
      <c r="J1115" t="s">
        <v>288</v>
      </c>
      <c r="K1115" t="s">
        <v>57</v>
      </c>
    </row>
    <row r="1116" spans="1:11" x14ac:dyDescent="0.35">
      <c r="A1116" t="s">
        <v>1542</v>
      </c>
      <c r="B1116">
        <v>2024</v>
      </c>
      <c r="C1116" t="s">
        <v>1398</v>
      </c>
      <c r="D1116" t="s">
        <v>76</v>
      </c>
      <c r="E1116" t="s">
        <v>119</v>
      </c>
      <c r="F1116" t="s">
        <v>125</v>
      </c>
      <c r="G1116" t="s">
        <v>128</v>
      </c>
      <c r="H1116" t="s">
        <v>285</v>
      </c>
      <c r="I1116" t="s">
        <v>77</v>
      </c>
      <c r="J1116" t="s">
        <v>286</v>
      </c>
      <c r="K1116" t="s">
        <v>57</v>
      </c>
    </row>
    <row r="1117" spans="1:11" x14ac:dyDescent="0.35">
      <c r="A1117" t="s">
        <v>1543</v>
      </c>
      <c r="B1117">
        <v>2024</v>
      </c>
      <c r="C1117" t="s">
        <v>1398</v>
      </c>
      <c r="D1117" t="s">
        <v>85</v>
      </c>
      <c r="E1117" t="s">
        <v>120</v>
      </c>
      <c r="F1117" t="s">
        <v>129</v>
      </c>
      <c r="G1117" t="s">
        <v>132</v>
      </c>
      <c r="H1117" t="s">
        <v>285</v>
      </c>
      <c r="I1117" t="s">
        <v>77</v>
      </c>
      <c r="J1117" t="s">
        <v>317</v>
      </c>
      <c r="K1117" t="s">
        <v>57</v>
      </c>
    </row>
    <row r="1118" spans="1:11" x14ac:dyDescent="0.35">
      <c r="A1118" t="s">
        <v>1544</v>
      </c>
      <c r="B1118">
        <v>2024</v>
      </c>
      <c r="C1118" t="s">
        <v>1398</v>
      </c>
      <c r="D1118" t="s">
        <v>85</v>
      </c>
      <c r="E1118" t="s">
        <v>117</v>
      </c>
      <c r="F1118" t="s">
        <v>133</v>
      </c>
      <c r="G1118" t="s">
        <v>128</v>
      </c>
      <c r="H1118" t="s">
        <v>285</v>
      </c>
      <c r="I1118" t="s">
        <v>319</v>
      </c>
      <c r="J1118" t="s">
        <v>1545</v>
      </c>
      <c r="K1118" t="s">
        <v>42</v>
      </c>
    </row>
    <row r="1119" spans="1:11" x14ac:dyDescent="0.35">
      <c r="A1119" t="s">
        <v>1546</v>
      </c>
      <c r="B1119">
        <v>2024</v>
      </c>
      <c r="C1119" t="s">
        <v>1398</v>
      </c>
      <c r="D1119" t="s">
        <v>76</v>
      </c>
      <c r="E1119" t="s">
        <v>107</v>
      </c>
      <c r="F1119" t="s">
        <v>125</v>
      </c>
      <c r="G1119" t="s">
        <v>128</v>
      </c>
      <c r="H1119" t="s">
        <v>285</v>
      </c>
      <c r="I1119" t="s">
        <v>86</v>
      </c>
      <c r="J1119" t="s">
        <v>286</v>
      </c>
      <c r="K1119" t="s">
        <v>57</v>
      </c>
    </row>
    <row r="1120" spans="1:11" x14ac:dyDescent="0.35">
      <c r="A1120" t="s">
        <v>1547</v>
      </c>
      <c r="B1120">
        <v>2024</v>
      </c>
      <c r="C1120" t="s">
        <v>1398</v>
      </c>
      <c r="D1120" t="s">
        <v>76</v>
      </c>
      <c r="E1120" t="s">
        <v>108</v>
      </c>
      <c r="F1120" t="s">
        <v>125</v>
      </c>
      <c r="G1120" t="s">
        <v>130</v>
      </c>
      <c r="H1120" t="s">
        <v>285</v>
      </c>
      <c r="I1120" t="s">
        <v>77</v>
      </c>
      <c r="J1120" t="s">
        <v>286</v>
      </c>
      <c r="K1120" t="s">
        <v>57</v>
      </c>
    </row>
    <row r="1121" spans="1:11" x14ac:dyDescent="0.35">
      <c r="A1121" t="s">
        <v>1548</v>
      </c>
      <c r="B1121">
        <v>2024</v>
      </c>
      <c r="C1121" t="s">
        <v>1398</v>
      </c>
      <c r="D1121" t="s">
        <v>85</v>
      </c>
      <c r="E1121" t="s">
        <v>116</v>
      </c>
      <c r="F1121" t="s">
        <v>129</v>
      </c>
      <c r="G1121" t="s">
        <v>128</v>
      </c>
      <c r="H1121" t="s">
        <v>285</v>
      </c>
      <c r="I1121" t="s">
        <v>77</v>
      </c>
      <c r="J1121" t="s">
        <v>286</v>
      </c>
      <c r="K1121" t="s">
        <v>57</v>
      </c>
    </row>
    <row r="1122" spans="1:11" x14ac:dyDescent="0.35">
      <c r="A1122" t="s">
        <v>1549</v>
      </c>
      <c r="B1122">
        <v>2024</v>
      </c>
      <c r="C1122" t="s">
        <v>1398</v>
      </c>
      <c r="D1122" t="s">
        <v>76</v>
      </c>
      <c r="E1122" t="s">
        <v>109</v>
      </c>
      <c r="F1122" t="s">
        <v>125</v>
      </c>
      <c r="G1122" t="s">
        <v>126</v>
      </c>
      <c r="H1122" t="s">
        <v>285</v>
      </c>
      <c r="I1122" t="s">
        <v>86</v>
      </c>
      <c r="J1122" t="s">
        <v>286</v>
      </c>
      <c r="K1122" t="s">
        <v>57</v>
      </c>
    </row>
    <row r="1123" spans="1:11" x14ac:dyDescent="0.35">
      <c r="A1123" t="s">
        <v>1550</v>
      </c>
      <c r="B1123">
        <v>2024</v>
      </c>
      <c r="C1123" t="s">
        <v>1398</v>
      </c>
      <c r="D1123" t="s">
        <v>76</v>
      </c>
      <c r="E1123" t="s">
        <v>114</v>
      </c>
      <c r="F1123" t="s">
        <v>127</v>
      </c>
      <c r="G1123" t="s">
        <v>128</v>
      </c>
      <c r="H1123" t="s">
        <v>285</v>
      </c>
      <c r="I1123" t="s">
        <v>86</v>
      </c>
      <c r="J1123" t="s">
        <v>1551</v>
      </c>
      <c r="K1123" t="s">
        <v>42</v>
      </c>
    </row>
    <row r="1124" spans="1:11" x14ac:dyDescent="0.35">
      <c r="A1124" t="s">
        <v>1552</v>
      </c>
      <c r="B1124">
        <v>2024</v>
      </c>
      <c r="C1124" t="s">
        <v>1398</v>
      </c>
      <c r="D1124" t="s">
        <v>85</v>
      </c>
      <c r="E1124" t="s">
        <v>120</v>
      </c>
      <c r="F1124" t="s">
        <v>288</v>
      </c>
      <c r="G1124" t="s">
        <v>128</v>
      </c>
      <c r="H1124" t="s">
        <v>285</v>
      </c>
      <c r="I1124" t="s">
        <v>289</v>
      </c>
      <c r="J1124" t="s">
        <v>286</v>
      </c>
      <c r="K1124" t="s">
        <v>57</v>
      </c>
    </row>
    <row r="1125" spans="1:11" x14ac:dyDescent="0.35">
      <c r="A1125" t="s">
        <v>1553</v>
      </c>
      <c r="B1125">
        <v>2024</v>
      </c>
      <c r="C1125" t="s">
        <v>1398</v>
      </c>
      <c r="D1125" t="s">
        <v>85</v>
      </c>
      <c r="E1125" t="s">
        <v>120</v>
      </c>
      <c r="F1125" t="s">
        <v>288</v>
      </c>
      <c r="G1125" t="s">
        <v>128</v>
      </c>
      <c r="H1125" t="s">
        <v>285</v>
      </c>
      <c r="I1125" t="s">
        <v>77</v>
      </c>
      <c r="J1125" t="s">
        <v>286</v>
      </c>
      <c r="K1125" t="s">
        <v>57</v>
      </c>
    </row>
    <row r="1126" spans="1:11" x14ac:dyDescent="0.35">
      <c r="A1126" t="s">
        <v>1554</v>
      </c>
      <c r="B1126">
        <v>2024</v>
      </c>
      <c r="C1126" t="s">
        <v>1398</v>
      </c>
      <c r="D1126" t="s">
        <v>85</v>
      </c>
      <c r="E1126" t="s">
        <v>116</v>
      </c>
      <c r="F1126" t="s">
        <v>129</v>
      </c>
      <c r="G1126" t="s">
        <v>130</v>
      </c>
      <c r="H1126" t="s">
        <v>285</v>
      </c>
      <c r="I1126" t="s">
        <v>77</v>
      </c>
      <c r="J1126" t="s">
        <v>286</v>
      </c>
      <c r="K1126" t="s">
        <v>57</v>
      </c>
    </row>
    <row r="1127" spans="1:11" x14ac:dyDescent="0.35">
      <c r="A1127" t="s">
        <v>1555</v>
      </c>
      <c r="B1127">
        <v>2024</v>
      </c>
      <c r="C1127" t="s">
        <v>1398</v>
      </c>
      <c r="D1127" t="s">
        <v>85</v>
      </c>
      <c r="E1127" t="s">
        <v>116</v>
      </c>
      <c r="F1127" t="s">
        <v>129</v>
      </c>
      <c r="G1127" t="s">
        <v>126</v>
      </c>
      <c r="H1127" t="s">
        <v>285</v>
      </c>
      <c r="I1127" t="s">
        <v>289</v>
      </c>
      <c r="J1127" t="s">
        <v>286</v>
      </c>
      <c r="K1127" t="s">
        <v>57</v>
      </c>
    </row>
    <row r="1128" spans="1:11" x14ac:dyDescent="0.35">
      <c r="A1128" t="s">
        <v>1556</v>
      </c>
      <c r="B1128">
        <v>2024</v>
      </c>
      <c r="C1128" t="s">
        <v>1398</v>
      </c>
      <c r="D1128" t="s">
        <v>85</v>
      </c>
      <c r="E1128" t="s">
        <v>115</v>
      </c>
      <c r="F1128" t="s">
        <v>288</v>
      </c>
      <c r="G1128" t="s">
        <v>130</v>
      </c>
      <c r="H1128" t="s">
        <v>285</v>
      </c>
      <c r="I1128" t="s">
        <v>288</v>
      </c>
      <c r="J1128" t="s">
        <v>288</v>
      </c>
      <c r="K1128" t="s">
        <v>57</v>
      </c>
    </row>
    <row r="1129" spans="1:11" x14ac:dyDescent="0.35">
      <c r="A1129" t="s">
        <v>1557</v>
      </c>
      <c r="B1129">
        <v>2024</v>
      </c>
      <c r="C1129" t="s">
        <v>1398</v>
      </c>
      <c r="D1129" t="s">
        <v>76</v>
      </c>
      <c r="E1129" t="s">
        <v>119</v>
      </c>
      <c r="F1129" t="s">
        <v>125</v>
      </c>
      <c r="G1129" t="s">
        <v>128</v>
      </c>
      <c r="H1129" t="s">
        <v>285</v>
      </c>
      <c r="I1129" t="s">
        <v>86</v>
      </c>
      <c r="J1129" t="s">
        <v>286</v>
      </c>
      <c r="K1129" t="s">
        <v>57</v>
      </c>
    </row>
    <row r="1130" spans="1:11" x14ac:dyDescent="0.35">
      <c r="A1130" t="s">
        <v>1558</v>
      </c>
      <c r="B1130">
        <v>2024</v>
      </c>
      <c r="C1130" t="s">
        <v>1398</v>
      </c>
      <c r="D1130" t="s">
        <v>76</v>
      </c>
      <c r="E1130" t="s">
        <v>119</v>
      </c>
      <c r="F1130" t="s">
        <v>125</v>
      </c>
      <c r="G1130" t="s">
        <v>128</v>
      </c>
      <c r="H1130" t="s">
        <v>285</v>
      </c>
      <c r="I1130" t="s">
        <v>86</v>
      </c>
      <c r="J1130" t="s">
        <v>286</v>
      </c>
      <c r="K1130" t="s">
        <v>57</v>
      </c>
    </row>
    <row r="1131" spans="1:11" x14ac:dyDescent="0.35">
      <c r="A1131" t="s">
        <v>1559</v>
      </c>
      <c r="B1131">
        <v>2024</v>
      </c>
      <c r="C1131" t="s">
        <v>1398</v>
      </c>
      <c r="D1131" t="s">
        <v>85</v>
      </c>
      <c r="E1131" t="s">
        <v>117</v>
      </c>
      <c r="F1131" t="s">
        <v>129</v>
      </c>
      <c r="G1131" t="s">
        <v>128</v>
      </c>
      <c r="H1131" t="s">
        <v>285</v>
      </c>
      <c r="I1131" t="s">
        <v>86</v>
      </c>
      <c r="J1131" t="s">
        <v>424</v>
      </c>
      <c r="K1131" t="s">
        <v>42</v>
      </c>
    </row>
    <row r="1132" spans="1:11" x14ac:dyDescent="0.35">
      <c r="A1132" t="s">
        <v>1560</v>
      </c>
      <c r="B1132">
        <v>2024</v>
      </c>
      <c r="C1132" t="s">
        <v>1398</v>
      </c>
      <c r="D1132" t="s">
        <v>76</v>
      </c>
      <c r="E1132" t="s">
        <v>107</v>
      </c>
      <c r="F1132" t="s">
        <v>125</v>
      </c>
      <c r="G1132" t="s">
        <v>128</v>
      </c>
      <c r="H1132" t="s">
        <v>285</v>
      </c>
      <c r="I1132" t="s">
        <v>86</v>
      </c>
      <c r="J1132" t="s">
        <v>317</v>
      </c>
      <c r="K1132" t="s">
        <v>57</v>
      </c>
    </row>
    <row r="1133" spans="1:11" x14ac:dyDescent="0.35">
      <c r="A1133" t="s">
        <v>1561</v>
      </c>
      <c r="B1133">
        <v>2024</v>
      </c>
      <c r="C1133" t="s">
        <v>1398</v>
      </c>
      <c r="D1133" t="s">
        <v>76</v>
      </c>
      <c r="E1133" t="s">
        <v>113</v>
      </c>
      <c r="F1133" t="s">
        <v>125</v>
      </c>
      <c r="G1133" t="s">
        <v>128</v>
      </c>
      <c r="H1133" t="s">
        <v>285</v>
      </c>
      <c r="I1133" t="s">
        <v>638</v>
      </c>
      <c r="J1133" t="s">
        <v>308</v>
      </c>
      <c r="K1133" t="s">
        <v>42</v>
      </c>
    </row>
    <row r="1134" spans="1:11" x14ac:dyDescent="0.35">
      <c r="A1134" t="s">
        <v>1562</v>
      </c>
      <c r="B1134">
        <v>2024</v>
      </c>
      <c r="C1134" t="s">
        <v>1398</v>
      </c>
      <c r="D1134" t="s">
        <v>76</v>
      </c>
      <c r="E1134" t="s">
        <v>107</v>
      </c>
      <c r="F1134" t="s">
        <v>125</v>
      </c>
      <c r="G1134" t="s">
        <v>128</v>
      </c>
      <c r="H1134" t="s">
        <v>285</v>
      </c>
      <c r="I1134" t="s">
        <v>426</v>
      </c>
      <c r="J1134" t="s">
        <v>286</v>
      </c>
      <c r="K1134" t="s">
        <v>57</v>
      </c>
    </row>
    <row r="1135" spans="1:11" x14ac:dyDescent="0.35">
      <c r="A1135" t="s">
        <v>1563</v>
      </c>
      <c r="B1135">
        <v>2024</v>
      </c>
      <c r="C1135" t="s">
        <v>1398</v>
      </c>
      <c r="D1135" t="s">
        <v>85</v>
      </c>
      <c r="E1135" t="s">
        <v>116</v>
      </c>
      <c r="F1135" t="s">
        <v>129</v>
      </c>
      <c r="G1135" t="s">
        <v>126</v>
      </c>
      <c r="H1135" t="s">
        <v>285</v>
      </c>
      <c r="I1135" t="s">
        <v>407</v>
      </c>
      <c r="J1135" t="s">
        <v>286</v>
      </c>
      <c r="K1135" t="s">
        <v>57</v>
      </c>
    </row>
    <row r="1136" spans="1:11" x14ac:dyDescent="0.35">
      <c r="A1136" t="s">
        <v>1564</v>
      </c>
      <c r="B1136">
        <v>2024</v>
      </c>
      <c r="C1136" t="s">
        <v>1398</v>
      </c>
      <c r="D1136" t="s">
        <v>76</v>
      </c>
      <c r="E1136" t="s">
        <v>108</v>
      </c>
      <c r="F1136" t="s">
        <v>125</v>
      </c>
      <c r="G1136" t="s">
        <v>130</v>
      </c>
      <c r="H1136" t="s">
        <v>285</v>
      </c>
      <c r="I1136" t="s">
        <v>461</v>
      </c>
      <c r="J1136" t="s">
        <v>286</v>
      </c>
      <c r="K1136" t="s">
        <v>57</v>
      </c>
    </row>
    <row r="1137" spans="1:11" x14ac:dyDescent="0.35">
      <c r="A1137" t="s">
        <v>1565</v>
      </c>
      <c r="B1137">
        <v>2024</v>
      </c>
      <c r="C1137" t="s">
        <v>1398</v>
      </c>
      <c r="D1137" t="s">
        <v>76</v>
      </c>
      <c r="E1137" t="s">
        <v>119</v>
      </c>
      <c r="F1137" t="s">
        <v>125</v>
      </c>
      <c r="G1137" t="s">
        <v>128</v>
      </c>
      <c r="H1137" t="s">
        <v>285</v>
      </c>
      <c r="I1137" t="s">
        <v>288</v>
      </c>
      <c r="J1137" t="s">
        <v>308</v>
      </c>
      <c r="K1137" t="s">
        <v>42</v>
      </c>
    </row>
    <row r="1138" spans="1:11" x14ac:dyDescent="0.35">
      <c r="A1138" t="s">
        <v>1566</v>
      </c>
      <c r="B1138">
        <v>2024</v>
      </c>
      <c r="C1138" t="s">
        <v>1398</v>
      </c>
      <c r="D1138" t="s">
        <v>76</v>
      </c>
      <c r="E1138" t="s">
        <v>108</v>
      </c>
      <c r="F1138" t="s">
        <v>127</v>
      </c>
      <c r="G1138" t="s">
        <v>128</v>
      </c>
      <c r="H1138" t="s">
        <v>285</v>
      </c>
      <c r="I1138" t="s">
        <v>288</v>
      </c>
      <c r="J1138" t="s">
        <v>317</v>
      </c>
      <c r="K1138" t="s">
        <v>57</v>
      </c>
    </row>
    <row r="1139" spans="1:11" x14ac:dyDescent="0.35">
      <c r="A1139" t="s">
        <v>1567</v>
      </c>
      <c r="B1139">
        <v>2024</v>
      </c>
      <c r="C1139" t="s">
        <v>1398</v>
      </c>
      <c r="D1139" t="s">
        <v>76</v>
      </c>
      <c r="E1139" t="s">
        <v>360</v>
      </c>
      <c r="F1139" t="s">
        <v>127</v>
      </c>
      <c r="G1139" t="s">
        <v>130</v>
      </c>
      <c r="H1139" t="s">
        <v>285</v>
      </c>
      <c r="I1139" t="s">
        <v>1568</v>
      </c>
      <c r="J1139" t="s">
        <v>326</v>
      </c>
      <c r="K1139" t="s">
        <v>57</v>
      </c>
    </row>
    <row r="1140" spans="1:11" x14ac:dyDescent="0.35">
      <c r="A1140" t="s">
        <v>1569</v>
      </c>
      <c r="B1140">
        <v>2024</v>
      </c>
      <c r="C1140" t="s">
        <v>1398</v>
      </c>
      <c r="D1140" t="s">
        <v>85</v>
      </c>
      <c r="E1140" t="s">
        <v>117</v>
      </c>
      <c r="F1140" t="s">
        <v>125</v>
      </c>
      <c r="G1140" t="s">
        <v>132</v>
      </c>
      <c r="H1140" t="s">
        <v>305</v>
      </c>
      <c r="I1140" t="s">
        <v>288</v>
      </c>
      <c r="J1140" t="s">
        <v>403</v>
      </c>
      <c r="K1140" t="s">
        <v>57</v>
      </c>
    </row>
    <row r="1141" spans="1:11" x14ac:dyDescent="0.35">
      <c r="A1141" t="s">
        <v>1570</v>
      </c>
      <c r="B1141">
        <v>2024</v>
      </c>
      <c r="C1141" t="s">
        <v>1398</v>
      </c>
      <c r="D1141" t="s">
        <v>85</v>
      </c>
      <c r="E1141" t="s">
        <v>120</v>
      </c>
      <c r="F1141" t="s">
        <v>288</v>
      </c>
      <c r="G1141" t="s">
        <v>126</v>
      </c>
      <c r="H1141" t="s">
        <v>285</v>
      </c>
      <c r="I1141" t="s">
        <v>288</v>
      </c>
      <c r="J1141" t="s">
        <v>347</v>
      </c>
      <c r="K1141" t="s">
        <v>57</v>
      </c>
    </row>
    <row r="1142" spans="1:11" x14ac:dyDescent="0.35">
      <c r="A1142" t="s">
        <v>1571</v>
      </c>
      <c r="B1142">
        <v>2024</v>
      </c>
      <c r="C1142" t="s">
        <v>1398</v>
      </c>
      <c r="D1142" t="s">
        <v>76</v>
      </c>
      <c r="E1142" t="s">
        <v>113</v>
      </c>
      <c r="F1142" t="s">
        <v>125</v>
      </c>
      <c r="G1142" t="s">
        <v>132</v>
      </c>
      <c r="H1142" t="s">
        <v>285</v>
      </c>
      <c r="I1142" t="s">
        <v>86</v>
      </c>
      <c r="J1142" t="s">
        <v>286</v>
      </c>
      <c r="K1142" t="s">
        <v>57</v>
      </c>
    </row>
    <row r="1143" spans="1:11" x14ac:dyDescent="0.35">
      <c r="A1143" t="s">
        <v>1572</v>
      </c>
      <c r="B1143">
        <v>2024</v>
      </c>
      <c r="C1143" t="s">
        <v>1398</v>
      </c>
      <c r="D1143" t="s">
        <v>85</v>
      </c>
      <c r="E1143" t="s">
        <v>116</v>
      </c>
      <c r="F1143" t="s">
        <v>129</v>
      </c>
      <c r="G1143" t="s">
        <v>132</v>
      </c>
      <c r="H1143" t="s">
        <v>285</v>
      </c>
      <c r="I1143" t="s">
        <v>77</v>
      </c>
      <c r="J1143" t="s">
        <v>286</v>
      </c>
      <c r="K1143" t="s">
        <v>57</v>
      </c>
    </row>
    <row r="1144" spans="1:11" x14ac:dyDescent="0.35">
      <c r="A1144" t="s">
        <v>1573</v>
      </c>
      <c r="B1144">
        <v>2024</v>
      </c>
      <c r="C1144" t="s">
        <v>1398</v>
      </c>
      <c r="D1144" t="s">
        <v>76</v>
      </c>
      <c r="E1144" t="s">
        <v>115</v>
      </c>
      <c r="F1144" t="s">
        <v>288</v>
      </c>
      <c r="G1144" t="s">
        <v>130</v>
      </c>
      <c r="H1144" t="s">
        <v>285</v>
      </c>
      <c r="I1144" t="s">
        <v>288</v>
      </c>
      <c r="J1144" t="s">
        <v>288</v>
      </c>
      <c r="K1144" t="s">
        <v>57</v>
      </c>
    </row>
    <row r="1145" spans="1:11" x14ac:dyDescent="0.35">
      <c r="A1145" t="s">
        <v>1574</v>
      </c>
      <c r="B1145">
        <v>2024</v>
      </c>
      <c r="C1145" t="s">
        <v>1398</v>
      </c>
      <c r="D1145" t="s">
        <v>85</v>
      </c>
      <c r="E1145" t="s">
        <v>116</v>
      </c>
      <c r="F1145" t="s">
        <v>131</v>
      </c>
      <c r="G1145" t="s">
        <v>132</v>
      </c>
      <c r="H1145" t="s">
        <v>285</v>
      </c>
      <c r="I1145" t="s">
        <v>289</v>
      </c>
      <c r="J1145" t="s">
        <v>286</v>
      </c>
      <c r="K1145" t="s">
        <v>57</v>
      </c>
    </row>
    <row r="1146" spans="1:11" x14ac:dyDescent="0.35">
      <c r="A1146" t="s">
        <v>1575</v>
      </c>
      <c r="B1146">
        <v>2024</v>
      </c>
      <c r="C1146" t="s">
        <v>1398</v>
      </c>
      <c r="D1146" t="s">
        <v>76</v>
      </c>
      <c r="E1146" t="s">
        <v>107</v>
      </c>
      <c r="F1146" t="s">
        <v>125</v>
      </c>
      <c r="G1146" t="s">
        <v>126</v>
      </c>
      <c r="H1146" t="s">
        <v>285</v>
      </c>
      <c r="I1146" t="s">
        <v>288</v>
      </c>
      <c r="J1146" t="s">
        <v>286</v>
      </c>
      <c r="K1146" t="s">
        <v>57</v>
      </c>
    </row>
    <row r="1147" spans="1:11" x14ac:dyDescent="0.35">
      <c r="A1147" t="s">
        <v>1576</v>
      </c>
      <c r="B1147">
        <v>2024</v>
      </c>
      <c r="C1147" t="s">
        <v>1398</v>
      </c>
      <c r="D1147" t="s">
        <v>85</v>
      </c>
      <c r="E1147" t="s">
        <v>116</v>
      </c>
      <c r="F1147" t="s">
        <v>131</v>
      </c>
      <c r="G1147" t="s">
        <v>128</v>
      </c>
      <c r="H1147" t="s">
        <v>285</v>
      </c>
      <c r="I1147" t="s">
        <v>289</v>
      </c>
      <c r="J1147" t="s">
        <v>286</v>
      </c>
      <c r="K1147" t="s">
        <v>57</v>
      </c>
    </row>
    <row r="1148" spans="1:11" x14ac:dyDescent="0.35">
      <c r="A1148" t="s">
        <v>1577</v>
      </c>
      <c r="B1148">
        <v>2024</v>
      </c>
      <c r="C1148" t="s">
        <v>1398</v>
      </c>
      <c r="D1148" t="s">
        <v>85</v>
      </c>
      <c r="E1148" t="s">
        <v>116</v>
      </c>
      <c r="F1148" t="s">
        <v>131</v>
      </c>
      <c r="G1148" t="s">
        <v>128</v>
      </c>
      <c r="H1148" t="s">
        <v>285</v>
      </c>
      <c r="I1148" t="s">
        <v>77</v>
      </c>
      <c r="J1148" t="s">
        <v>286</v>
      </c>
      <c r="K1148" t="s">
        <v>57</v>
      </c>
    </row>
    <row r="1149" spans="1:11" x14ac:dyDescent="0.35">
      <c r="A1149" t="s">
        <v>1578</v>
      </c>
      <c r="B1149">
        <v>2024</v>
      </c>
      <c r="C1149" t="s">
        <v>1398</v>
      </c>
      <c r="D1149" t="s">
        <v>85</v>
      </c>
      <c r="E1149" t="s">
        <v>117</v>
      </c>
      <c r="F1149" t="s">
        <v>288</v>
      </c>
      <c r="G1149" t="s">
        <v>130</v>
      </c>
      <c r="H1149" t="s">
        <v>285</v>
      </c>
      <c r="I1149" t="s">
        <v>289</v>
      </c>
      <c r="J1149" t="s">
        <v>405</v>
      </c>
      <c r="K1149" t="s">
        <v>57</v>
      </c>
    </row>
    <row r="1150" spans="1:11" x14ac:dyDescent="0.35">
      <c r="A1150" t="s">
        <v>1579</v>
      </c>
      <c r="B1150">
        <v>2024</v>
      </c>
      <c r="C1150" t="s">
        <v>1398</v>
      </c>
      <c r="D1150" t="s">
        <v>85</v>
      </c>
      <c r="E1150" t="s">
        <v>117</v>
      </c>
      <c r="F1150" t="s">
        <v>127</v>
      </c>
      <c r="G1150" t="s">
        <v>128</v>
      </c>
      <c r="H1150" t="s">
        <v>285</v>
      </c>
      <c r="I1150" t="s">
        <v>289</v>
      </c>
      <c r="J1150" t="s">
        <v>464</v>
      </c>
      <c r="K1150" t="s">
        <v>42</v>
      </c>
    </row>
    <row r="1151" spans="1:11" x14ac:dyDescent="0.35">
      <c r="A1151" t="s">
        <v>1580</v>
      </c>
      <c r="B1151">
        <v>2024</v>
      </c>
      <c r="C1151" t="s">
        <v>1398</v>
      </c>
      <c r="D1151" t="s">
        <v>85</v>
      </c>
      <c r="E1151" t="s">
        <v>116</v>
      </c>
      <c r="F1151" t="s">
        <v>131</v>
      </c>
      <c r="G1151" t="s">
        <v>130</v>
      </c>
      <c r="H1151" t="s">
        <v>305</v>
      </c>
      <c r="I1151" t="s">
        <v>289</v>
      </c>
      <c r="J1151" t="s">
        <v>326</v>
      </c>
      <c r="K1151" t="s">
        <v>57</v>
      </c>
    </row>
    <row r="1152" spans="1:11" x14ac:dyDescent="0.35">
      <c r="A1152" t="s">
        <v>1581</v>
      </c>
      <c r="B1152">
        <v>2024</v>
      </c>
      <c r="C1152" t="s">
        <v>1398</v>
      </c>
      <c r="D1152" t="s">
        <v>85</v>
      </c>
      <c r="E1152" t="s">
        <v>117</v>
      </c>
      <c r="F1152" t="s">
        <v>288</v>
      </c>
      <c r="G1152" t="s">
        <v>128</v>
      </c>
      <c r="H1152" t="s">
        <v>305</v>
      </c>
      <c r="I1152" t="s">
        <v>288</v>
      </c>
      <c r="J1152" t="s">
        <v>288</v>
      </c>
      <c r="K1152" t="s">
        <v>57</v>
      </c>
    </row>
    <row r="1153" spans="1:11" x14ac:dyDescent="0.35">
      <c r="A1153" t="s">
        <v>1582</v>
      </c>
      <c r="B1153">
        <v>2024</v>
      </c>
      <c r="C1153" t="s">
        <v>1398</v>
      </c>
      <c r="D1153" t="s">
        <v>85</v>
      </c>
      <c r="E1153" t="s">
        <v>117</v>
      </c>
      <c r="F1153" t="s">
        <v>129</v>
      </c>
      <c r="G1153" t="s">
        <v>130</v>
      </c>
      <c r="H1153" t="s">
        <v>285</v>
      </c>
      <c r="I1153" t="s">
        <v>337</v>
      </c>
      <c r="J1153" t="s">
        <v>1583</v>
      </c>
      <c r="K1153" t="s">
        <v>42</v>
      </c>
    </row>
    <row r="1154" spans="1:11" x14ac:dyDescent="0.35">
      <c r="A1154" t="s">
        <v>1584</v>
      </c>
      <c r="B1154">
        <v>2024</v>
      </c>
      <c r="C1154" t="s">
        <v>1398</v>
      </c>
      <c r="D1154" t="s">
        <v>76</v>
      </c>
      <c r="E1154" t="s">
        <v>109</v>
      </c>
      <c r="F1154" t="s">
        <v>127</v>
      </c>
      <c r="G1154" t="s">
        <v>130</v>
      </c>
      <c r="H1154" t="s">
        <v>285</v>
      </c>
      <c r="I1154" t="s">
        <v>288</v>
      </c>
      <c r="J1154" t="s">
        <v>286</v>
      </c>
      <c r="K1154" t="s">
        <v>57</v>
      </c>
    </row>
    <row r="1155" spans="1:11" x14ac:dyDescent="0.35">
      <c r="A1155" t="s">
        <v>1585</v>
      </c>
      <c r="B1155">
        <v>2024</v>
      </c>
      <c r="C1155" t="s">
        <v>1398</v>
      </c>
      <c r="D1155" t="s">
        <v>85</v>
      </c>
      <c r="E1155" t="s">
        <v>377</v>
      </c>
      <c r="F1155" t="s">
        <v>129</v>
      </c>
      <c r="G1155" t="s">
        <v>130</v>
      </c>
      <c r="H1155" t="s">
        <v>305</v>
      </c>
      <c r="I1155" t="s">
        <v>77</v>
      </c>
      <c r="J1155" t="s">
        <v>317</v>
      </c>
      <c r="K1155" t="s">
        <v>57</v>
      </c>
    </row>
    <row r="1156" spans="1:11" x14ac:dyDescent="0.35">
      <c r="A1156" t="s">
        <v>1586</v>
      </c>
      <c r="B1156">
        <v>2024</v>
      </c>
      <c r="C1156" t="s">
        <v>1398</v>
      </c>
      <c r="D1156" t="s">
        <v>76</v>
      </c>
      <c r="E1156" t="s">
        <v>107</v>
      </c>
      <c r="F1156" t="s">
        <v>125</v>
      </c>
      <c r="G1156" t="s">
        <v>126</v>
      </c>
      <c r="H1156" t="s">
        <v>285</v>
      </c>
      <c r="I1156" t="s">
        <v>86</v>
      </c>
      <c r="J1156" t="s">
        <v>308</v>
      </c>
      <c r="K1156" t="s">
        <v>42</v>
      </c>
    </row>
    <row r="1157" spans="1:11" x14ac:dyDescent="0.35">
      <c r="A1157" t="s">
        <v>1587</v>
      </c>
      <c r="B1157">
        <v>2024</v>
      </c>
      <c r="C1157" t="s">
        <v>1398</v>
      </c>
      <c r="D1157" t="s">
        <v>76</v>
      </c>
      <c r="E1157" t="s">
        <v>115</v>
      </c>
      <c r="F1157" t="s">
        <v>127</v>
      </c>
      <c r="G1157" t="s">
        <v>132</v>
      </c>
      <c r="H1157" t="s">
        <v>285</v>
      </c>
      <c r="I1157" t="s">
        <v>86</v>
      </c>
      <c r="J1157" t="s">
        <v>286</v>
      </c>
      <c r="K1157" t="s">
        <v>57</v>
      </c>
    </row>
    <row r="1158" spans="1:11" x14ac:dyDescent="0.35">
      <c r="A1158" t="s">
        <v>1588</v>
      </c>
      <c r="B1158">
        <v>2024</v>
      </c>
      <c r="C1158" t="s">
        <v>1398</v>
      </c>
      <c r="D1158" t="s">
        <v>76</v>
      </c>
      <c r="E1158" t="s">
        <v>107</v>
      </c>
      <c r="F1158" t="s">
        <v>125</v>
      </c>
      <c r="G1158" t="s">
        <v>128</v>
      </c>
      <c r="H1158" t="s">
        <v>285</v>
      </c>
      <c r="I1158" t="s">
        <v>86</v>
      </c>
      <c r="J1158" t="s">
        <v>288</v>
      </c>
      <c r="K1158" t="s">
        <v>57</v>
      </c>
    </row>
    <row r="1159" spans="1:11" x14ac:dyDescent="0.35">
      <c r="A1159" t="s">
        <v>1589</v>
      </c>
      <c r="B1159">
        <v>2024</v>
      </c>
      <c r="C1159" t="s">
        <v>1398</v>
      </c>
      <c r="D1159" t="s">
        <v>85</v>
      </c>
      <c r="E1159" t="s">
        <v>117</v>
      </c>
      <c r="F1159" t="s">
        <v>129</v>
      </c>
      <c r="G1159" t="s">
        <v>130</v>
      </c>
      <c r="H1159" t="s">
        <v>285</v>
      </c>
      <c r="I1159" t="s">
        <v>86</v>
      </c>
      <c r="J1159" t="s">
        <v>317</v>
      </c>
      <c r="K1159" t="s">
        <v>57</v>
      </c>
    </row>
    <row r="1160" spans="1:11" x14ac:dyDescent="0.35">
      <c r="A1160" t="s">
        <v>1590</v>
      </c>
      <c r="B1160">
        <v>2024</v>
      </c>
      <c r="C1160" t="s">
        <v>1398</v>
      </c>
      <c r="D1160" t="s">
        <v>85</v>
      </c>
      <c r="E1160" t="s">
        <v>377</v>
      </c>
      <c r="F1160" t="s">
        <v>129</v>
      </c>
      <c r="G1160" t="s">
        <v>128</v>
      </c>
      <c r="H1160" t="s">
        <v>305</v>
      </c>
      <c r="I1160" t="s">
        <v>77</v>
      </c>
      <c r="J1160" t="s">
        <v>317</v>
      </c>
      <c r="K1160" t="s">
        <v>57</v>
      </c>
    </row>
    <row r="1161" spans="1:11" x14ac:dyDescent="0.35">
      <c r="A1161" t="s">
        <v>1591</v>
      </c>
      <c r="B1161">
        <v>2024</v>
      </c>
      <c r="C1161" t="s">
        <v>1398</v>
      </c>
      <c r="D1161" t="s">
        <v>85</v>
      </c>
      <c r="E1161" t="s">
        <v>116</v>
      </c>
      <c r="F1161" t="s">
        <v>129</v>
      </c>
      <c r="G1161" t="s">
        <v>128</v>
      </c>
      <c r="H1161" t="s">
        <v>305</v>
      </c>
      <c r="I1161" t="s">
        <v>337</v>
      </c>
      <c r="J1161" t="s">
        <v>464</v>
      </c>
      <c r="K1161" t="s">
        <v>42</v>
      </c>
    </row>
    <row r="1162" spans="1:11" x14ac:dyDescent="0.35">
      <c r="A1162" t="s">
        <v>1592</v>
      </c>
      <c r="B1162">
        <v>2024</v>
      </c>
      <c r="C1162" t="s">
        <v>1398</v>
      </c>
      <c r="D1162" t="s">
        <v>85</v>
      </c>
      <c r="E1162" t="s">
        <v>120</v>
      </c>
      <c r="F1162" t="s">
        <v>288</v>
      </c>
      <c r="G1162" t="s">
        <v>130</v>
      </c>
      <c r="H1162" t="s">
        <v>305</v>
      </c>
      <c r="I1162" t="s">
        <v>288</v>
      </c>
      <c r="J1162" t="s">
        <v>288</v>
      </c>
      <c r="K1162" t="s">
        <v>57</v>
      </c>
    </row>
    <row r="1163" spans="1:11" x14ac:dyDescent="0.35">
      <c r="A1163" t="s">
        <v>1593</v>
      </c>
      <c r="B1163">
        <v>2024</v>
      </c>
      <c r="C1163" t="s">
        <v>1398</v>
      </c>
      <c r="D1163" t="s">
        <v>85</v>
      </c>
      <c r="E1163" t="s">
        <v>377</v>
      </c>
      <c r="F1163" t="s">
        <v>288</v>
      </c>
      <c r="G1163" t="s">
        <v>128</v>
      </c>
      <c r="H1163" t="s">
        <v>285</v>
      </c>
      <c r="I1163" t="s">
        <v>86</v>
      </c>
      <c r="J1163" t="s">
        <v>317</v>
      </c>
      <c r="K1163" t="s">
        <v>57</v>
      </c>
    </row>
    <row r="1164" spans="1:11" x14ac:dyDescent="0.35">
      <c r="A1164" t="s">
        <v>1594</v>
      </c>
      <c r="B1164">
        <v>2024</v>
      </c>
      <c r="C1164" t="s">
        <v>1398</v>
      </c>
      <c r="D1164" t="s">
        <v>85</v>
      </c>
      <c r="E1164" t="s">
        <v>377</v>
      </c>
      <c r="F1164" t="s">
        <v>288</v>
      </c>
      <c r="G1164" t="s">
        <v>128</v>
      </c>
      <c r="H1164" t="s">
        <v>285</v>
      </c>
      <c r="I1164" t="s">
        <v>288</v>
      </c>
      <c r="J1164" t="s">
        <v>286</v>
      </c>
      <c r="K1164" t="s">
        <v>57</v>
      </c>
    </row>
    <row r="1165" spans="1:11" x14ac:dyDescent="0.35">
      <c r="A1165" t="s">
        <v>1595</v>
      </c>
      <c r="B1165">
        <v>2024</v>
      </c>
      <c r="C1165" t="s">
        <v>1398</v>
      </c>
      <c r="D1165" t="s">
        <v>85</v>
      </c>
      <c r="E1165" t="s">
        <v>116</v>
      </c>
      <c r="F1165" t="s">
        <v>131</v>
      </c>
      <c r="G1165" t="s">
        <v>128</v>
      </c>
      <c r="H1165" t="s">
        <v>285</v>
      </c>
      <c r="I1165" t="s">
        <v>337</v>
      </c>
      <c r="J1165" t="s">
        <v>326</v>
      </c>
      <c r="K1165" t="s">
        <v>57</v>
      </c>
    </row>
    <row r="1166" spans="1:11" x14ac:dyDescent="0.35">
      <c r="A1166" t="s">
        <v>1596</v>
      </c>
      <c r="B1166">
        <v>2024</v>
      </c>
      <c r="C1166" t="s">
        <v>1398</v>
      </c>
      <c r="D1166" t="s">
        <v>76</v>
      </c>
      <c r="E1166" t="s">
        <v>118</v>
      </c>
      <c r="F1166" t="s">
        <v>125</v>
      </c>
      <c r="G1166" t="s">
        <v>128</v>
      </c>
      <c r="H1166" t="s">
        <v>285</v>
      </c>
      <c r="I1166" t="s">
        <v>77</v>
      </c>
      <c r="J1166" t="s">
        <v>317</v>
      </c>
      <c r="K1166" t="s">
        <v>57</v>
      </c>
    </row>
    <row r="1167" spans="1:11" x14ac:dyDescent="0.35">
      <c r="A1167" t="s">
        <v>1597</v>
      </c>
      <c r="B1167">
        <v>2024</v>
      </c>
      <c r="C1167" t="s">
        <v>1398</v>
      </c>
      <c r="D1167" t="s">
        <v>85</v>
      </c>
      <c r="E1167" t="s">
        <v>117</v>
      </c>
      <c r="F1167" t="s">
        <v>288</v>
      </c>
      <c r="G1167" t="s">
        <v>128</v>
      </c>
      <c r="H1167" t="s">
        <v>305</v>
      </c>
      <c r="I1167" t="s">
        <v>337</v>
      </c>
      <c r="J1167" t="s">
        <v>367</v>
      </c>
      <c r="K1167" t="s">
        <v>42</v>
      </c>
    </row>
    <row r="1168" spans="1:11" x14ac:dyDescent="0.35">
      <c r="A1168" t="s">
        <v>1598</v>
      </c>
      <c r="B1168">
        <v>2024</v>
      </c>
      <c r="C1168" t="s">
        <v>1398</v>
      </c>
      <c r="D1168" t="s">
        <v>85</v>
      </c>
      <c r="E1168" t="s">
        <v>116</v>
      </c>
      <c r="F1168" t="s">
        <v>288</v>
      </c>
      <c r="G1168" t="s">
        <v>132</v>
      </c>
      <c r="H1168" t="s">
        <v>285</v>
      </c>
      <c r="I1168" t="s">
        <v>288</v>
      </c>
      <c r="J1168" t="s">
        <v>288</v>
      </c>
      <c r="K1168" t="s">
        <v>57</v>
      </c>
    </row>
    <row r="1169" spans="1:11" x14ac:dyDescent="0.35">
      <c r="A1169" t="s">
        <v>1599</v>
      </c>
      <c r="B1169">
        <v>2024</v>
      </c>
      <c r="C1169" t="s">
        <v>1398</v>
      </c>
      <c r="D1169" t="s">
        <v>76</v>
      </c>
      <c r="E1169" t="s">
        <v>115</v>
      </c>
      <c r="F1169" t="s">
        <v>125</v>
      </c>
      <c r="G1169" t="s">
        <v>126</v>
      </c>
      <c r="H1169" t="s">
        <v>285</v>
      </c>
      <c r="I1169" t="s">
        <v>77</v>
      </c>
      <c r="J1169" t="s">
        <v>312</v>
      </c>
      <c r="K1169" t="s">
        <v>42</v>
      </c>
    </row>
    <row r="1170" spans="1:11" x14ac:dyDescent="0.35">
      <c r="A1170" t="s">
        <v>1600</v>
      </c>
      <c r="B1170">
        <v>2024</v>
      </c>
      <c r="C1170" t="s">
        <v>1398</v>
      </c>
      <c r="D1170" t="s">
        <v>85</v>
      </c>
      <c r="E1170" t="s">
        <v>120</v>
      </c>
      <c r="F1170" t="s">
        <v>127</v>
      </c>
      <c r="G1170" t="s">
        <v>128</v>
      </c>
      <c r="H1170" t="s">
        <v>285</v>
      </c>
      <c r="I1170" t="s">
        <v>77</v>
      </c>
      <c r="J1170" t="s">
        <v>361</v>
      </c>
      <c r="K1170" t="s">
        <v>57</v>
      </c>
    </row>
    <row r="1171" spans="1:11" x14ac:dyDescent="0.35">
      <c r="A1171" t="s">
        <v>1601</v>
      </c>
      <c r="B1171">
        <v>2024</v>
      </c>
      <c r="C1171" t="s">
        <v>1398</v>
      </c>
      <c r="D1171" t="s">
        <v>76</v>
      </c>
      <c r="E1171" t="s">
        <v>118</v>
      </c>
      <c r="F1171" t="s">
        <v>129</v>
      </c>
      <c r="G1171" t="s">
        <v>128</v>
      </c>
      <c r="H1171" t="s">
        <v>285</v>
      </c>
      <c r="I1171" t="s">
        <v>77</v>
      </c>
      <c r="J1171" t="s">
        <v>286</v>
      </c>
      <c r="K1171" t="s">
        <v>57</v>
      </c>
    </row>
    <row r="1172" spans="1:11" x14ac:dyDescent="0.35">
      <c r="A1172" t="s">
        <v>1602</v>
      </c>
      <c r="B1172">
        <v>2024</v>
      </c>
      <c r="C1172" t="s">
        <v>1398</v>
      </c>
      <c r="D1172" t="s">
        <v>85</v>
      </c>
      <c r="E1172" t="s">
        <v>377</v>
      </c>
      <c r="F1172" t="s">
        <v>288</v>
      </c>
      <c r="G1172" t="s">
        <v>130</v>
      </c>
      <c r="H1172" t="s">
        <v>305</v>
      </c>
      <c r="I1172" t="s">
        <v>86</v>
      </c>
      <c r="J1172" t="s">
        <v>317</v>
      </c>
      <c r="K1172" t="s">
        <v>57</v>
      </c>
    </row>
    <row r="1173" spans="1:11" x14ac:dyDescent="0.35">
      <c r="A1173" t="s">
        <v>1603</v>
      </c>
      <c r="B1173">
        <v>2024</v>
      </c>
      <c r="C1173" t="s">
        <v>1398</v>
      </c>
      <c r="D1173" t="s">
        <v>85</v>
      </c>
      <c r="E1173" t="s">
        <v>377</v>
      </c>
      <c r="F1173" t="s">
        <v>288</v>
      </c>
      <c r="G1173" t="s">
        <v>128</v>
      </c>
      <c r="H1173" t="s">
        <v>285</v>
      </c>
      <c r="I1173" t="s">
        <v>86</v>
      </c>
      <c r="J1173" t="s">
        <v>409</v>
      </c>
      <c r="K1173" t="s">
        <v>57</v>
      </c>
    </row>
    <row r="1174" spans="1:11" x14ac:dyDescent="0.35">
      <c r="A1174" t="s">
        <v>1604</v>
      </c>
      <c r="B1174">
        <v>2024</v>
      </c>
      <c r="C1174" t="s">
        <v>1398</v>
      </c>
      <c r="D1174" t="s">
        <v>85</v>
      </c>
      <c r="E1174" t="s">
        <v>116</v>
      </c>
      <c r="F1174" t="s">
        <v>129</v>
      </c>
      <c r="G1174" t="s">
        <v>128</v>
      </c>
      <c r="H1174" t="s">
        <v>285</v>
      </c>
      <c r="I1174" t="s">
        <v>289</v>
      </c>
      <c r="J1174" t="s">
        <v>286</v>
      </c>
      <c r="K1174" t="s">
        <v>57</v>
      </c>
    </row>
    <row r="1175" spans="1:11" x14ac:dyDescent="0.35">
      <c r="A1175" t="s">
        <v>1605</v>
      </c>
      <c r="B1175">
        <v>2024</v>
      </c>
      <c r="C1175" t="s">
        <v>1398</v>
      </c>
      <c r="D1175" t="s">
        <v>76</v>
      </c>
      <c r="E1175" t="s">
        <v>113</v>
      </c>
      <c r="F1175" t="s">
        <v>127</v>
      </c>
      <c r="G1175" t="s">
        <v>126</v>
      </c>
      <c r="H1175" t="s">
        <v>285</v>
      </c>
      <c r="I1175" t="s">
        <v>535</v>
      </c>
      <c r="J1175" t="s">
        <v>1081</v>
      </c>
      <c r="K1175" t="s">
        <v>42</v>
      </c>
    </row>
    <row r="1176" spans="1:11" x14ac:dyDescent="0.35">
      <c r="A1176" t="s">
        <v>1606</v>
      </c>
      <c r="B1176">
        <v>2024</v>
      </c>
      <c r="C1176" t="s">
        <v>1398</v>
      </c>
      <c r="D1176" t="s">
        <v>76</v>
      </c>
      <c r="E1176" t="s">
        <v>119</v>
      </c>
      <c r="F1176" t="s">
        <v>125</v>
      </c>
      <c r="G1176" t="s">
        <v>132</v>
      </c>
      <c r="H1176" t="s">
        <v>285</v>
      </c>
      <c r="I1176" t="s">
        <v>86</v>
      </c>
      <c r="J1176" t="s">
        <v>286</v>
      </c>
      <c r="K1176" t="s">
        <v>57</v>
      </c>
    </row>
    <row r="1177" spans="1:11" x14ac:dyDescent="0.35">
      <c r="A1177" t="s">
        <v>1607</v>
      </c>
      <c r="B1177">
        <v>2024</v>
      </c>
      <c r="C1177" t="s">
        <v>1398</v>
      </c>
      <c r="D1177" t="s">
        <v>76</v>
      </c>
      <c r="E1177" t="s">
        <v>115</v>
      </c>
      <c r="F1177" t="s">
        <v>129</v>
      </c>
      <c r="G1177" t="s">
        <v>130</v>
      </c>
      <c r="H1177" t="s">
        <v>285</v>
      </c>
      <c r="I1177" t="s">
        <v>77</v>
      </c>
      <c r="J1177" t="s">
        <v>286</v>
      </c>
      <c r="K1177" t="s">
        <v>57</v>
      </c>
    </row>
    <row r="1178" spans="1:11" x14ac:dyDescent="0.35">
      <c r="A1178" t="s">
        <v>1608</v>
      </c>
      <c r="B1178">
        <v>2024</v>
      </c>
      <c r="C1178" t="s">
        <v>1398</v>
      </c>
      <c r="D1178" t="s">
        <v>85</v>
      </c>
      <c r="E1178" t="s">
        <v>116</v>
      </c>
      <c r="F1178" t="s">
        <v>129</v>
      </c>
      <c r="G1178" t="s">
        <v>132</v>
      </c>
      <c r="H1178" t="s">
        <v>285</v>
      </c>
      <c r="I1178" t="s">
        <v>289</v>
      </c>
      <c r="J1178" t="s">
        <v>326</v>
      </c>
      <c r="K1178" t="s">
        <v>57</v>
      </c>
    </row>
    <row r="1179" spans="1:11" x14ac:dyDescent="0.35">
      <c r="A1179" t="s">
        <v>1609</v>
      </c>
      <c r="B1179">
        <v>2024</v>
      </c>
      <c r="C1179" t="s">
        <v>1398</v>
      </c>
      <c r="D1179" t="s">
        <v>76</v>
      </c>
      <c r="E1179" t="s">
        <v>115</v>
      </c>
      <c r="F1179" t="s">
        <v>133</v>
      </c>
      <c r="G1179" t="s">
        <v>126</v>
      </c>
      <c r="H1179" t="s">
        <v>285</v>
      </c>
      <c r="I1179" t="s">
        <v>433</v>
      </c>
      <c r="J1179" t="s">
        <v>532</v>
      </c>
      <c r="K1179" t="s">
        <v>57</v>
      </c>
    </row>
    <row r="1180" spans="1:11" x14ac:dyDescent="0.35">
      <c r="A1180" t="s">
        <v>1610</v>
      </c>
      <c r="B1180">
        <v>2024</v>
      </c>
      <c r="C1180" t="s">
        <v>1398</v>
      </c>
      <c r="D1180" t="s">
        <v>85</v>
      </c>
      <c r="E1180" t="s">
        <v>116</v>
      </c>
      <c r="F1180" t="s">
        <v>288</v>
      </c>
      <c r="G1180" t="s">
        <v>130</v>
      </c>
      <c r="H1180" t="s">
        <v>285</v>
      </c>
      <c r="I1180" t="s">
        <v>289</v>
      </c>
      <c r="J1180" t="s">
        <v>286</v>
      </c>
      <c r="K1180" t="s">
        <v>57</v>
      </c>
    </row>
    <row r="1181" spans="1:11" x14ac:dyDescent="0.35">
      <c r="A1181" t="s">
        <v>1611</v>
      </c>
      <c r="B1181">
        <v>2024</v>
      </c>
      <c r="C1181" t="s">
        <v>1398</v>
      </c>
      <c r="D1181" t="s">
        <v>85</v>
      </c>
      <c r="E1181" t="s">
        <v>120</v>
      </c>
      <c r="F1181" t="s">
        <v>125</v>
      </c>
      <c r="G1181" t="s">
        <v>132</v>
      </c>
      <c r="H1181" t="s">
        <v>285</v>
      </c>
      <c r="I1181" t="s">
        <v>77</v>
      </c>
      <c r="J1181" t="s">
        <v>317</v>
      </c>
      <c r="K1181" t="s">
        <v>57</v>
      </c>
    </row>
    <row r="1182" spans="1:11" x14ac:dyDescent="0.35">
      <c r="A1182" t="s">
        <v>1612</v>
      </c>
      <c r="B1182">
        <v>2024</v>
      </c>
      <c r="C1182" t="s">
        <v>1398</v>
      </c>
      <c r="D1182" t="s">
        <v>85</v>
      </c>
      <c r="E1182" t="s">
        <v>116</v>
      </c>
      <c r="F1182" t="s">
        <v>129</v>
      </c>
      <c r="G1182" t="s">
        <v>130</v>
      </c>
      <c r="H1182" t="s">
        <v>285</v>
      </c>
      <c r="I1182" t="s">
        <v>289</v>
      </c>
      <c r="J1182" t="s">
        <v>412</v>
      </c>
      <c r="K1182" t="s">
        <v>57</v>
      </c>
    </row>
    <row r="1183" spans="1:11" x14ac:dyDescent="0.35">
      <c r="A1183" t="s">
        <v>1613</v>
      </c>
      <c r="B1183">
        <v>2024</v>
      </c>
      <c r="C1183" t="s">
        <v>1398</v>
      </c>
      <c r="D1183" t="s">
        <v>76</v>
      </c>
      <c r="E1183" t="s">
        <v>115</v>
      </c>
      <c r="F1183" t="s">
        <v>131</v>
      </c>
      <c r="G1183" t="s">
        <v>128</v>
      </c>
      <c r="H1183" t="s">
        <v>285</v>
      </c>
      <c r="I1183" t="s">
        <v>1614</v>
      </c>
      <c r="J1183" t="s">
        <v>286</v>
      </c>
      <c r="K1183" t="s">
        <v>57</v>
      </c>
    </row>
    <row r="1184" spans="1:11" x14ac:dyDescent="0.35">
      <c r="A1184" t="s">
        <v>1615</v>
      </c>
      <c r="B1184">
        <v>2024</v>
      </c>
      <c r="C1184" t="s">
        <v>1398</v>
      </c>
      <c r="D1184" t="s">
        <v>85</v>
      </c>
      <c r="E1184" t="s">
        <v>117</v>
      </c>
      <c r="F1184" t="s">
        <v>288</v>
      </c>
      <c r="G1184" t="s">
        <v>132</v>
      </c>
      <c r="H1184" t="s">
        <v>285</v>
      </c>
      <c r="I1184" t="s">
        <v>289</v>
      </c>
      <c r="J1184" t="s">
        <v>295</v>
      </c>
      <c r="K1184" t="s">
        <v>57</v>
      </c>
    </row>
    <row r="1185" spans="1:11" x14ac:dyDescent="0.35">
      <c r="A1185" t="s">
        <v>1616</v>
      </c>
      <c r="B1185">
        <v>2024</v>
      </c>
      <c r="C1185" t="s">
        <v>1398</v>
      </c>
      <c r="D1185" t="s">
        <v>85</v>
      </c>
      <c r="E1185" t="s">
        <v>116</v>
      </c>
      <c r="F1185" t="s">
        <v>125</v>
      </c>
      <c r="G1185" t="s">
        <v>128</v>
      </c>
      <c r="H1185" t="s">
        <v>285</v>
      </c>
      <c r="I1185" t="s">
        <v>333</v>
      </c>
      <c r="J1185" t="s">
        <v>347</v>
      </c>
      <c r="K1185" t="s">
        <v>57</v>
      </c>
    </row>
    <row r="1186" spans="1:11" x14ac:dyDescent="0.35">
      <c r="A1186" t="s">
        <v>1617</v>
      </c>
      <c r="B1186">
        <v>2024</v>
      </c>
      <c r="C1186" t="s">
        <v>1398</v>
      </c>
      <c r="D1186" t="s">
        <v>85</v>
      </c>
      <c r="E1186" t="s">
        <v>117</v>
      </c>
      <c r="F1186" t="s">
        <v>127</v>
      </c>
      <c r="G1186" t="s">
        <v>130</v>
      </c>
      <c r="H1186" t="s">
        <v>285</v>
      </c>
      <c r="I1186" t="s">
        <v>86</v>
      </c>
      <c r="J1186" t="s">
        <v>317</v>
      </c>
      <c r="K1186" t="s">
        <v>57</v>
      </c>
    </row>
    <row r="1187" spans="1:11" x14ac:dyDescent="0.35">
      <c r="A1187" t="s">
        <v>1618</v>
      </c>
      <c r="B1187">
        <v>2024</v>
      </c>
      <c r="C1187" t="s">
        <v>1398</v>
      </c>
      <c r="D1187" t="s">
        <v>76</v>
      </c>
      <c r="E1187" t="s">
        <v>109</v>
      </c>
      <c r="F1187" t="s">
        <v>129</v>
      </c>
      <c r="G1187" t="s">
        <v>128</v>
      </c>
      <c r="H1187" t="s">
        <v>285</v>
      </c>
      <c r="I1187" t="s">
        <v>288</v>
      </c>
      <c r="J1187" t="s">
        <v>286</v>
      </c>
      <c r="K1187" t="s">
        <v>57</v>
      </c>
    </row>
    <row r="1188" spans="1:11" x14ac:dyDescent="0.35">
      <c r="A1188" t="s">
        <v>1619</v>
      </c>
      <c r="B1188">
        <v>2024</v>
      </c>
      <c r="C1188" t="s">
        <v>1398</v>
      </c>
      <c r="D1188" t="s">
        <v>76</v>
      </c>
      <c r="E1188" t="s">
        <v>115</v>
      </c>
      <c r="F1188" t="s">
        <v>125</v>
      </c>
      <c r="G1188" t="s">
        <v>132</v>
      </c>
      <c r="H1188" t="s">
        <v>285</v>
      </c>
      <c r="I1188" t="s">
        <v>77</v>
      </c>
      <c r="J1188" t="s">
        <v>286</v>
      </c>
      <c r="K1188" t="s">
        <v>57</v>
      </c>
    </row>
    <row r="1189" spans="1:11" x14ac:dyDescent="0.35">
      <c r="A1189" t="s">
        <v>1620</v>
      </c>
      <c r="B1189">
        <v>2024</v>
      </c>
      <c r="C1189" t="s">
        <v>1398</v>
      </c>
      <c r="D1189" t="s">
        <v>76</v>
      </c>
      <c r="E1189" t="s">
        <v>113</v>
      </c>
      <c r="F1189" t="s">
        <v>125</v>
      </c>
      <c r="G1189" t="s">
        <v>132</v>
      </c>
      <c r="H1189" t="s">
        <v>285</v>
      </c>
      <c r="I1189" t="s">
        <v>86</v>
      </c>
      <c r="J1189" t="s">
        <v>308</v>
      </c>
      <c r="K1189" t="s">
        <v>42</v>
      </c>
    </row>
    <row r="1190" spans="1:11" x14ac:dyDescent="0.35">
      <c r="A1190" t="s">
        <v>1621</v>
      </c>
      <c r="B1190">
        <v>2024</v>
      </c>
      <c r="C1190" t="s">
        <v>1398</v>
      </c>
      <c r="D1190" t="s">
        <v>85</v>
      </c>
      <c r="E1190" t="s">
        <v>116</v>
      </c>
      <c r="F1190" t="s">
        <v>129</v>
      </c>
      <c r="G1190" t="s">
        <v>128</v>
      </c>
      <c r="H1190" t="s">
        <v>285</v>
      </c>
      <c r="I1190" t="s">
        <v>77</v>
      </c>
      <c r="J1190" t="s">
        <v>286</v>
      </c>
      <c r="K1190" t="s">
        <v>57</v>
      </c>
    </row>
    <row r="1191" spans="1:11" x14ac:dyDescent="0.35">
      <c r="A1191" t="s">
        <v>1622</v>
      </c>
      <c r="B1191">
        <v>2024</v>
      </c>
      <c r="C1191" t="s">
        <v>1398</v>
      </c>
      <c r="D1191" t="s">
        <v>76</v>
      </c>
      <c r="E1191" t="s">
        <v>112</v>
      </c>
      <c r="F1191" t="s">
        <v>288</v>
      </c>
      <c r="G1191" t="s">
        <v>132</v>
      </c>
      <c r="H1191" t="s">
        <v>305</v>
      </c>
      <c r="I1191" t="s">
        <v>288</v>
      </c>
      <c r="J1191" t="s">
        <v>288</v>
      </c>
      <c r="K1191" t="s">
        <v>57</v>
      </c>
    </row>
    <row r="1192" spans="1:11" x14ac:dyDescent="0.35">
      <c r="A1192" t="s">
        <v>1623</v>
      </c>
      <c r="B1192">
        <v>2024</v>
      </c>
      <c r="C1192" t="s">
        <v>1398</v>
      </c>
      <c r="D1192" t="s">
        <v>85</v>
      </c>
      <c r="E1192" t="s">
        <v>120</v>
      </c>
      <c r="F1192" t="s">
        <v>131</v>
      </c>
      <c r="G1192" t="s">
        <v>130</v>
      </c>
      <c r="H1192" t="s">
        <v>285</v>
      </c>
      <c r="I1192" t="s">
        <v>77</v>
      </c>
      <c r="J1192" t="s">
        <v>317</v>
      </c>
      <c r="K1192" t="s">
        <v>57</v>
      </c>
    </row>
    <row r="1193" spans="1:11" x14ac:dyDescent="0.35">
      <c r="A1193" t="s">
        <v>1624</v>
      </c>
      <c r="B1193">
        <v>2024</v>
      </c>
      <c r="C1193" t="s">
        <v>1398</v>
      </c>
      <c r="D1193" t="s">
        <v>85</v>
      </c>
      <c r="E1193" t="s">
        <v>120</v>
      </c>
      <c r="F1193" t="s">
        <v>127</v>
      </c>
      <c r="G1193" t="s">
        <v>128</v>
      </c>
      <c r="H1193" t="s">
        <v>305</v>
      </c>
      <c r="I1193" t="s">
        <v>86</v>
      </c>
      <c r="J1193" t="s">
        <v>326</v>
      </c>
      <c r="K1193" t="s">
        <v>57</v>
      </c>
    </row>
    <row r="1194" spans="1:11" x14ac:dyDescent="0.35">
      <c r="A1194" t="s">
        <v>1625</v>
      </c>
      <c r="B1194">
        <v>2024</v>
      </c>
      <c r="C1194" t="s">
        <v>1398</v>
      </c>
      <c r="D1194" t="s">
        <v>76</v>
      </c>
      <c r="E1194" t="s">
        <v>119</v>
      </c>
      <c r="F1194" t="s">
        <v>125</v>
      </c>
      <c r="G1194" t="s">
        <v>132</v>
      </c>
      <c r="H1194" t="s">
        <v>285</v>
      </c>
      <c r="I1194" t="s">
        <v>288</v>
      </c>
      <c r="J1194" t="s">
        <v>286</v>
      </c>
      <c r="K1194" t="s">
        <v>57</v>
      </c>
    </row>
    <row r="1195" spans="1:11" x14ac:dyDescent="0.35">
      <c r="A1195" t="s">
        <v>1626</v>
      </c>
      <c r="B1195">
        <v>2024</v>
      </c>
      <c r="C1195" t="s">
        <v>1398</v>
      </c>
      <c r="D1195" t="s">
        <v>76</v>
      </c>
      <c r="E1195" t="s">
        <v>107</v>
      </c>
      <c r="F1195" t="s">
        <v>127</v>
      </c>
      <c r="G1195" t="s">
        <v>128</v>
      </c>
      <c r="H1195" t="s">
        <v>305</v>
      </c>
      <c r="I1195" t="s">
        <v>1627</v>
      </c>
      <c r="J1195" t="s">
        <v>566</v>
      </c>
      <c r="K1195" t="s">
        <v>42</v>
      </c>
    </row>
    <row r="1196" spans="1:11" x14ac:dyDescent="0.35">
      <c r="A1196" t="s">
        <v>1628</v>
      </c>
      <c r="B1196">
        <v>2024</v>
      </c>
      <c r="C1196" t="s">
        <v>1398</v>
      </c>
      <c r="D1196" t="s">
        <v>85</v>
      </c>
      <c r="E1196" t="s">
        <v>116</v>
      </c>
      <c r="F1196" t="s">
        <v>129</v>
      </c>
      <c r="G1196" t="s">
        <v>128</v>
      </c>
      <c r="H1196" t="s">
        <v>285</v>
      </c>
      <c r="I1196" t="s">
        <v>77</v>
      </c>
      <c r="J1196" t="s">
        <v>286</v>
      </c>
      <c r="K1196" t="s">
        <v>57</v>
      </c>
    </row>
    <row r="1197" spans="1:11" x14ac:dyDescent="0.35">
      <c r="A1197" t="s">
        <v>1629</v>
      </c>
      <c r="B1197">
        <v>2024</v>
      </c>
      <c r="C1197" t="s">
        <v>1398</v>
      </c>
      <c r="D1197" t="s">
        <v>76</v>
      </c>
      <c r="E1197" t="s">
        <v>107</v>
      </c>
      <c r="F1197" t="s">
        <v>125</v>
      </c>
      <c r="G1197" t="s">
        <v>130</v>
      </c>
      <c r="H1197" t="s">
        <v>285</v>
      </c>
      <c r="I1197" t="s">
        <v>86</v>
      </c>
      <c r="J1197" t="s">
        <v>308</v>
      </c>
      <c r="K1197" t="s">
        <v>42</v>
      </c>
    </row>
    <row r="1198" spans="1:11" x14ac:dyDescent="0.35">
      <c r="A1198" t="s">
        <v>1630</v>
      </c>
      <c r="B1198">
        <v>2024</v>
      </c>
      <c r="C1198" t="s">
        <v>1398</v>
      </c>
      <c r="D1198" t="s">
        <v>85</v>
      </c>
      <c r="E1198" t="s">
        <v>116</v>
      </c>
      <c r="F1198" t="s">
        <v>288</v>
      </c>
      <c r="G1198" t="s">
        <v>128</v>
      </c>
      <c r="H1198" t="s">
        <v>285</v>
      </c>
      <c r="I1198" t="s">
        <v>289</v>
      </c>
      <c r="J1198" t="s">
        <v>895</v>
      </c>
      <c r="K1198" t="s">
        <v>42</v>
      </c>
    </row>
    <row r="1199" spans="1:11" x14ac:dyDescent="0.35">
      <c r="A1199" t="s">
        <v>1631</v>
      </c>
      <c r="B1199">
        <v>2024</v>
      </c>
      <c r="C1199" t="s">
        <v>1398</v>
      </c>
      <c r="D1199" t="s">
        <v>76</v>
      </c>
      <c r="E1199" t="s">
        <v>109</v>
      </c>
      <c r="F1199" t="s">
        <v>127</v>
      </c>
      <c r="G1199" t="s">
        <v>128</v>
      </c>
      <c r="H1199" t="s">
        <v>285</v>
      </c>
      <c r="I1199" t="s">
        <v>77</v>
      </c>
      <c r="J1199" t="s">
        <v>286</v>
      </c>
      <c r="K1199" t="s">
        <v>57</v>
      </c>
    </row>
    <row r="1200" spans="1:11" x14ac:dyDescent="0.35">
      <c r="A1200" t="s">
        <v>1632</v>
      </c>
      <c r="B1200">
        <v>2024</v>
      </c>
      <c r="C1200" t="s">
        <v>1398</v>
      </c>
      <c r="D1200" t="s">
        <v>76</v>
      </c>
      <c r="E1200" t="s">
        <v>115</v>
      </c>
      <c r="F1200" t="s">
        <v>125</v>
      </c>
      <c r="G1200" t="s">
        <v>128</v>
      </c>
      <c r="H1200" t="s">
        <v>285</v>
      </c>
      <c r="I1200" t="s">
        <v>289</v>
      </c>
      <c r="J1200" t="s">
        <v>288</v>
      </c>
      <c r="K1200" t="s">
        <v>57</v>
      </c>
    </row>
    <row r="1201" spans="1:11" x14ac:dyDescent="0.35">
      <c r="A1201" t="s">
        <v>1633</v>
      </c>
      <c r="B1201">
        <v>2024</v>
      </c>
      <c r="C1201" t="s">
        <v>1398</v>
      </c>
      <c r="D1201" t="s">
        <v>85</v>
      </c>
      <c r="E1201" t="s">
        <v>117</v>
      </c>
      <c r="F1201" t="s">
        <v>134</v>
      </c>
      <c r="G1201" t="s">
        <v>126</v>
      </c>
      <c r="H1201" t="s">
        <v>305</v>
      </c>
      <c r="I1201" t="s">
        <v>77</v>
      </c>
      <c r="J1201" t="s">
        <v>286</v>
      </c>
      <c r="K1201" t="s">
        <v>57</v>
      </c>
    </row>
    <row r="1202" spans="1:11" x14ac:dyDescent="0.35">
      <c r="A1202" t="s">
        <v>1634</v>
      </c>
      <c r="B1202">
        <v>2024</v>
      </c>
      <c r="C1202" t="s">
        <v>1398</v>
      </c>
      <c r="D1202" t="s">
        <v>85</v>
      </c>
      <c r="E1202" t="s">
        <v>117</v>
      </c>
      <c r="F1202" t="s">
        <v>288</v>
      </c>
      <c r="G1202" t="s">
        <v>128</v>
      </c>
      <c r="H1202" t="s">
        <v>285</v>
      </c>
      <c r="I1202" t="s">
        <v>289</v>
      </c>
      <c r="J1202" t="s">
        <v>403</v>
      </c>
      <c r="K1202" t="s">
        <v>57</v>
      </c>
    </row>
    <row r="1203" spans="1:11" x14ac:dyDescent="0.35">
      <c r="A1203" t="s">
        <v>1635</v>
      </c>
      <c r="B1203">
        <v>2024</v>
      </c>
      <c r="C1203" t="s">
        <v>1398</v>
      </c>
      <c r="D1203" t="s">
        <v>85</v>
      </c>
      <c r="E1203" t="s">
        <v>116</v>
      </c>
      <c r="F1203" t="s">
        <v>131</v>
      </c>
      <c r="G1203" t="s">
        <v>128</v>
      </c>
      <c r="H1203" t="s">
        <v>285</v>
      </c>
      <c r="I1203" t="s">
        <v>77</v>
      </c>
      <c r="J1203" t="s">
        <v>317</v>
      </c>
      <c r="K1203" t="s">
        <v>57</v>
      </c>
    </row>
    <row r="1204" spans="1:11" x14ac:dyDescent="0.35">
      <c r="A1204" t="s">
        <v>1636</v>
      </c>
      <c r="B1204">
        <v>2024</v>
      </c>
      <c r="C1204" t="s">
        <v>1398</v>
      </c>
      <c r="D1204" t="s">
        <v>76</v>
      </c>
      <c r="E1204" t="s">
        <v>119</v>
      </c>
      <c r="F1204" t="s">
        <v>125</v>
      </c>
      <c r="G1204" t="s">
        <v>126</v>
      </c>
      <c r="H1204" t="s">
        <v>305</v>
      </c>
      <c r="I1204" t="s">
        <v>288</v>
      </c>
      <c r="J1204" t="s">
        <v>286</v>
      </c>
      <c r="K1204" t="s">
        <v>57</v>
      </c>
    </row>
    <row r="1205" spans="1:11" x14ac:dyDescent="0.35">
      <c r="A1205" t="s">
        <v>1637</v>
      </c>
      <c r="B1205">
        <v>2024</v>
      </c>
      <c r="C1205" t="s">
        <v>1398</v>
      </c>
      <c r="D1205" t="s">
        <v>85</v>
      </c>
      <c r="E1205" t="s">
        <v>116</v>
      </c>
      <c r="F1205" t="s">
        <v>125</v>
      </c>
      <c r="G1205" t="s">
        <v>126</v>
      </c>
      <c r="H1205" t="s">
        <v>285</v>
      </c>
      <c r="I1205" t="s">
        <v>289</v>
      </c>
      <c r="J1205" t="s">
        <v>286</v>
      </c>
      <c r="K1205" t="s">
        <v>57</v>
      </c>
    </row>
    <row r="1206" spans="1:11" x14ac:dyDescent="0.35">
      <c r="A1206" t="s">
        <v>1638</v>
      </c>
      <c r="B1206">
        <v>2024</v>
      </c>
      <c r="C1206" t="s">
        <v>1398</v>
      </c>
      <c r="D1206" t="s">
        <v>76</v>
      </c>
      <c r="E1206" t="s">
        <v>109</v>
      </c>
      <c r="F1206" t="s">
        <v>127</v>
      </c>
      <c r="G1206" t="s">
        <v>128</v>
      </c>
      <c r="H1206" t="s">
        <v>285</v>
      </c>
      <c r="I1206" t="s">
        <v>288</v>
      </c>
      <c r="J1206" t="s">
        <v>286</v>
      </c>
      <c r="K1206" t="s">
        <v>57</v>
      </c>
    </row>
    <row r="1207" spans="1:11" x14ac:dyDescent="0.35">
      <c r="A1207" t="s">
        <v>1639</v>
      </c>
      <c r="B1207">
        <v>2024</v>
      </c>
      <c r="C1207" t="s">
        <v>1398</v>
      </c>
      <c r="D1207" t="s">
        <v>85</v>
      </c>
      <c r="E1207" t="s">
        <v>116</v>
      </c>
      <c r="F1207" t="s">
        <v>127</v>
      </c>
      <c r="G1207" t="s">
        <v>128</v>
      </c>
      <c r="H1207" t="s">
        <v>305</v>
      </c>
      <c r="I1207" t="s">
        <v>77</v>
      </c>
      <c r="J1207" t="s">
        <v>686</v>
      </c>
      <c r="K1207" t="s">
        <v>57</v>
      </c>
    </row>
    <row r="1208" spans="1:11" x14ac:dyDescent="0.35">
      <c r="A1208" t="s">
        <v>1640</v>
      </c>
      <c r="B1208">
        <v>2024</v>
      </c>
      <c r="C1208" t="s">
        <v>1398</v>
      </c>
      <c r="D1208" t="s">
        <v>85</v>
      </c>
      <c r="E1208" t="s">
        <v>120</v>
      </c>
      <c r="F1208" t="s">
        <v>127</v>
      </c>
      <c r="G1208" t="s">
        <v>130</v>
      </c>
      <c r="H1208" t="s">
        <v>305</v>
      </c>
      <c r="I1208" t="s">
        <v>86</v>
      </c>
      <c r="J1208" t="s">
        <v>288</v>
      </c>
      <c r="K1208" t="s">
        <v>57</v>
      </c>
    </row>
    <row r="1209" spans="1:11" x14ac:dyDescent="0.35">
      <c r="A1209" t="s">
        <v>1641</v>
      </c>
      <c r="B1209">
        <v>2024</v>
      </c>
      <c r="C1209" t="s">
        <v>1398</v>
      </c>
      <c r="D1209" t="s">
        <v>76</v>
      </c>
      <c r="E1209" t="s">
        <v>115</v>
      </c>
      <c r="F1209" t="s">
        <v>288</v>
      </c>
      <c r="G1209" t="s">
        <v>132</v>
      </c>
      <c r="H1209" t="s">
        <v>285</v>
      </c>
      <c r="I1209" t="s">
        <v>288</v>
      </c>
      <c r="J1209" t="s">
        <v>405</v>
      </c>
      <c r="K1209" t="s">
        <v>57</v>
      </c>
    </row>
    <row r="1210" spans="1:11" x14ac:dyDescent="0.35">
      <c r="A1210" t="s">
        <v>1642</v>
      </c>
      <c r="B1210">
        <v>2024</v>
      </c>
      <c r="C1210" t="s">
        <v>1398</v>
      </c>
      <c r="D1210" t="s">
        <v>85</v>
      </c>
      <c r="E1210" t="s">
        <v>377</v>
      </c>
      <c r="F1210" t="s">
        <v>131</v>
      </c>
      <c r="G1210" t="s">
        <v>130</v>
      </c>
      <c r="H1210" t="s">
        <v>305</v>
      </c>
      <c r="I1210" t="s">
        <v>77</v>
      </c>
      <c r="J1210" t="s">
        <v>326</v>
      </c>
      <c r="K1210" t="s">
        <v>57</v>
      </c>
    </row>
    <row r="1211" spans="1:11" x14ac:dyDescent="0.35">
      <c r="A1211" t="s">
        <v>1643</v>
      </c>
      <c r="B1211">
        <v>2024</v>
      </c>
      <c r="C1211" t="s">
        <v>1398</v>
      </c>
      <c r="D1211" t="s">
        <v>85</v>
      </c>
      <c r="E1211" t="s">
        <v>116</v>
      </c>
      <c r="F1211" t="s">
        <v>131</v>
      </c>
      <c r="G1211" t="s">
        <v>128</v>
      </c>
      <c r="H1211" t="s">
        <v>285</v>
      </c>
      <c r="I1211" t="s">
        <v>289</v>
      </c>
      <c r="J1211" t="s">
        <v>286</v>
      </c>
      <c r="K1211" t="s">
        <v>57</v>
      </c>
    </row>
    <row r="1212" spans="1:11" x14ac:dyDescent="0.35">
      <c r="A1212" t="s">
        <v>1644</v>
      </c>
      <c r="B1212">
        <v>2024</v>
      </c>
      <c r="C1212" t="s">
        <v>1398</v>
      </c>
      <c r="D1212" t="s">
        <v>76</v>
      </c>
      <c r="E1212" t="s">
        <v>115</v>
      </c>
      <c r="F1212" t="s">
        <v>125</v>
      </c>
      <c r="G1212" t="s">
        <v>132</v>
      </c>
      <c r="H1212" t="s">
        <v>285</v>
      </c>
      <c r="I1212" t="s">
        <v>86</v>
      </c>
      <c r="J1212" t="s">
        <v>308</v>
      </c>
      <c r="K1212" t="s">
        <v>42</v>
      </c>
    </row>
    <row r="1213" spans="1:11" x14ac:dyDescent="0.35">
      <c r="A1213" t="s">
        <v>1645</v>
      </c>
      <c r="B1213">
        <v>2024</v>
      </c>
      <c r="C1213" t="s">
        <v>1398</v>
      </c>
      <c r="D1213" t="s">
        <v>76</v>
      </c>
      <c r="E1213" t="s">
        <v>111</v>
      </c>
      <c r="F1213" t="s">
        <v>125</v>
      </c>
      <c r="G1213" t="s">
        <v>132</v>
      </c>
      <c r="H1213" t="s">
        <v>285</v>
      </c>
      <c r="I1213" t="s">
        <v>86</v>
      </c>
      <c r="J1213" t="s">
        <v>306</v>
      </c>
      <c r="K1213" t="s">
        <v>57</v>
      </c>
    </row>
    <row r="1214" spans="1:11" x14ac:dyDescent="0.35">
      <c r="A1214" t="s">
        <v>1646</v>
      </c>
      <c r="B1214">
        <v>2024</v>
      </c>
      <c r="C1214" t="s">
        <v>1398</v>
      </c>
      <c r="D1214" t="s">
        <v>85</v>
      </c>
      <c r="E1214" t="s">
        <v>116</v>
      </c>
      <c r="F1214" t="s">
        <v>131</v>
      </c>
      <c r="G1214" t="s">
        <v>128</v>
      </c>
      <c r="H1214" t="s">
        <v>285</v>
      </c>
      <c r="I1214" t="s">
        <v>77</v>
      </c>
      <c r="J1214" t="s">
        <v>286</v>
      </c>
      <c r="K1214" t="s">
        <v>57</v>
      </c>
    </row>
    <row r="1215" spans="1:11" x14ac:dyDescent="0.35">
      <c r="A1215" t="s">
        <v>1647</v>
      </c>
      <c r="B1215">
        <v>2024</v>
      </c>
      <c r="C1215" t="s">
        <v>1398</v>
      </c>
      <c r="D1215" t="s">
        <v>85</v>
      </c>
      <c r="E1215" t="s">
        <v>120</v>
      </c>
      <c r="F1215" t="s">
        <v>288</v>
      </c>
      <c r="G1215" t="s">
        <v>128</v>
      </c>
      <c r="H1215" t="s">
        <v>305</v>
      </c>
      <c r="I1215" t="s">
        <v>86</v>
      </c>
      <c r="J1215" t="s">
        <v>288</v>
      </c>
      <c r="K1215" t="s">
        <v>57</v>
      </c>
    </row>
    <row r="1216" spans="1:11" x14ac:dyDescent="0.35">
      <c r="A1216" t="s">
        <v>1648</v>
      </c>
      <c r="B1216">
        <v>2024</v>
      </c>
      <c r="C1216" t="s">
        <v>1398</v>
      </c>
      <c r="D1216" t="s">
        <v>85</v>
      </c>
      <c r="E1216" t="s">
        <v>120</v>
      </c>
      <c r="F1216" t="s">
        <v>288</v>
      </c>
      <c r="G1216" t="s">
        <v>128</v>
      </c>
      <c r="H1216" t="s">
        <v>305</v>
      </c>
      <c r="I1216" t="s">
        <v>86</v>
      </c>
      <c r="J1216" t="s">
        <v>288</v>
      </c>
      <c r="K1216" t="s">
        <v>57</v>
      </c>
    </row>
    <row r="1217" spans="1:11" x14ac:dyDescent="0.35">
      <c r="A1217" t="s">
        <v>1649</v>
      </c>
      <c r="B1217">
        <v>2024</v>
      </c>
      <c r="C1217" t="s">
        <v>1398</v>
      </c>
      <c r="D1217" t="s">
        <v>85</v>
      </c>
      <c r="E1217" t="s">
        <v>120</v>
      </c>
      <c r="F1217" t="s">
        <v>288</v>
      </c>
      <c r="G1217" t="s">
        <v>128</v>
      </c>
      <c r="H1217" t="s">
        <v>305</v>
      </c>
      <c r="I1217" t="s">
        <v>86</v>
      </c>
      <c r="J1217" t="s">
        <v>288</v>
      </c>
      <c r="K1217" t="s">
        <v>57</v>
      </c>
    </row>
    <row r="1218" spans="1:11" x14ac:dyDescent="0.35">
      <c r="A1218" t="s">
        <v>1650</v>
      </c>
      <c r="B1218">
        <v>2024</v>
      </c>
      <c r="C1218" t="s">
        <v>1398</v>
      </c>
      <c r="D1218" t="s">
        <v>85</v>
      </c>
      <c r="E1218" t="s">
        <v>120</v>
      </c>
      <c r="F1218" t="s">
        <v>288</v>
      </c>
      <c r="G1218" t="s">
        <v>128</v>
      </c>
      <c r="H1218" t="s">
        <v>305</v>
      </c>
      <c r="I1218" t="s">
        <v>86</v>
      </c>
      <c r="J1218" t="s">
        <v>288</v>
      </c>
      <c r="K1218" t="s">
        <v>57</v>
      </c>
    </row>
    <row r="1219" spans="1:11" x14ac:dyDescent="0.35">
      <c r="A1219" t="s">
        <v>1651</v>
      </c>
      <c r="B1219">
        <v>2024</v>
      </c>
      <c r="C1219" t="s">
        <v>1398</v>
      </c>
      <c r="D1219" t="s">
        <v>85</v>
      </c>
      <c r="E1219" t="s">
        <v>120</v>
      </c>
      <c r="F1219" t="s">
        <v>288</v>
      </c>
      <c r="G1219" t="s">
        <v>128</v>
      </c>
      <c r="H1219" t="s">
        <v>305</v>
      </c>
      <c r="I1219" t="s">
        <v>86</v>
      </c>
      <c r="J1219" t="s">
        <v>288</v>
      </c>
      <c r="K1219" t="s">
        <v>57</v>
      </c>
    </row>
    <row r="1220" spans="1:11" x14ac:dyDescent="0.35">
      <c r="A1220" t="s">
        <v>1652</v>
      </c>
      <c r="B1220">
        <v>2024</v>
      </c>
      <c r="C1220" t="s">
        <v>1398</v>
      </c>
      <c r="D1220" t="s">
        <v>85</v>
      </c>
      <c r="E1220" t="s">
        <v>120</v>
      </c>
      <c r="F1220" t="s">
        <v>288</v>
      </c>
      <c r="G1220" t="s">
        <v>128</v>
      </c>
      <c r="H1220" t="s">
        <v>305</v>
      </c>
      <c r="I1220" t="s">
        <v>86</v>
      </c>
      <c r="J1220" t="s">
        <v>288</v>
      </c>
      <c r="K1220" t="s">
        <v>57</v>
      </c>
    </row>
    <row r="1221" spans="1:11" x14ac:dyDescent="0.35">
      <c r="A1221" t="s">
        <v>1653</v>
      </c>
      <c r="B1221">
        <v>2024</v>
      </c>
      <c r="C1221" t="s">
        <v>1398</v>
      </c>
      <c r="D1221" t="s">
        <v>76</v>
      </c>
      <c r="E1221" t="s">
        <v>107</v>
      </c>
      <c r="F1221" t="s">
        <v>127</v>
      </c>
      <c r="G1221" t="s">
        <v>126</v>
      </c>
      <c r="H1221" t="s">
        <v>285</v>
      </c>
      <c r="I1221" t="s">
        <v>77</v>
      </c>
      <c r="J1221" t="s">
        <v>286</v>
      </c>
      <c r="K1221" t="s">
        <v>57</v>
      </c>
    </row>
    <row r="1222" spans="1:11" x14ac:dyDescent="0.35">
      <c r="A1222" t="s">
        <v>1654</v>
      </c>
      <c r="B1222">
        <v>2024</v>
      </c>
      <c r="C1222" t="s">
        <v>1398</v>
      </c>
      <c r="D1222" t="s">
        <v>85</v>
      </c>
      <c r="E1222" t="s">
        <v>117</v>
      </c>
      <c r="F1222" t="s">
        <v>129</v>
      </c>
      <c r="G1222" t="s">
        <v>132</v>
      </c>
      <c r="H1222" t="s">
        <v>305</v>
      </c>
      <c r="I1222" t="s">
        <v>289</v>
      </c>
      <c r="J1222" t="s">
        <v>347</v>
      </c>
      <c r="K1222" t="s">
        <v>57</v>
      </c>
    </row>
    <row r="1223" spans="1:11" x14ac:dyDescent="0.35">
      <c r="A1223" t="s">
        <v>1655</v>
      </c>
      <c r="B1223">
        <v>2024</v>
      </c>
      <c r="C1223" t="s">
        <v>1398</v>
      </c>
      <c r="D1223" t="s">
        <v>76</v>
      </c>
      <c r="E1223" t="s">
        <v>118</v>
      </c>
      <c r="F1223" t="s">
        <v>129</v>
      </c>
      <c r="G1223" t="s">
        <v>130</v>
      </c>
      <c r="H1223" t="s">
        <v>285</v>
      </c>
      <c r="I1223" t="s">
        <v>86</v>
      </c>
      <c r="J1223" t="s">
        <v>295</v>
      </c>
      <c r="K1223" t="s">
        <v>57</v>
      </c>
    </row>
    <row r="1224" spans="1:11" x14ac:dyDescent="0.35">
      <c r="A1224" t="s">
        <v>1656</v>
      </c>
      <c r="B1224">
        <v>2024</v>
      </c>
      <c r="C1224" t="s">
        <v>1398</v>
      </c>
      <c r="D1224" t="s">
        <v>85</v>
      </c>
      <c r="E1224" t="s">
        <v>117</v>
      </c>
      <c r="F1224" t="s">
        <v>127</v>
      </c>
      <c r="G1224" t="s">
        <v>128</v>
      </c>
      <c r="H1224" t="s">
        <v>285</v>
      </c>
      <c r="I1224" t="s">
        <v>86</v>
      </c>
      <c r="J1224" t="s">
        <v>286</v>
      </c>
      <c r="K1224" t="s">
        <v>57</v>
      </c>
    </row>
    <row r="1225" spans="1:11" x14ac:dyDescent="0.35">
      <c r="A1225" t="s">
        <v>1657</v>
      </c>
      <c r="B1225">
        <v>2024</v>
      </c>
      <c r="C1225" t="s">
        <v>1398</v>
      </c>
      <c r="D1225" t="s">
        <v>85</v>
      </c>
      <c r="E1225" t="s">
        <v>116</v>
      </c>
      <c r="F1225" t="s">
        <v>127</v>
      </c>
      <c r="G1225" t="s">
        <v>128</v>
      </c>
      <c r="H1225" t="s">
        <v>357</v>
      </c>
      <c r="I1225" t="s">
        <v>77</v>
      </c>
      <c r="J1225" t="s">
        <v>326</v>
      </c>
      <c r="K1225" t="s">
        <v>57</v>
      </c>
    </row>
    <row r="1226" spans="1:11" x14ac:dyDescent="0.35">
      <c r="A1226" t="s">
        <v>1658</v>
      </c>
      <c r="B1226">
        <v>2024</v>
      </c>
      <c r="C1226" t="s">
        <v>1398</v>
      </c>
      <c r="D1226" t="s">
        <v>76</v>
      </c>
      <c r="E1226" t="s">
        <v>111</v>
      </c>
      <c r="F1226" t="s">
        <v>125</v>
      </c>
      <c r="G1226" t="s">
        <v>128</v>
      </c>
      <c r="H1226" t="s">
        <v>285</v>
      </c>
      <c r="I1226" t="s">
        <v>288</v>
      </c>
      <c r="J1226" t="s">
        <v>286</v>
      </c>
      <c r="K1226" t="s">
        <v>57</v>
      </c>
    </row>
    <row r="1227" spans="1:11" x14ac:dyDescent="0.35">
      <c r="A1227" t="s">
        <v>1659</v>
      </c>
      <c r="B1227">
        <v>2024</v>
      </c>
      <c r="C1227" t="s">
        <v>1398</v>
      </c>
      <c r="D1227" t="s">
        <v>85</v>
      </c>
      <c r="E1227" t="s">
        <v>117</v>
      </c>
      <c r="F1227" t="s">
        <v>288</v>
      </c>
      <c r="G1227" t="s">
        <v>128</v>
      </c>
      <c r="H1227" t="s">
        <v>305</v>
      </c>
      <c r="I1227" t="s">
        <v>288</v>
      </c>
      <c r="J1227" t="s">
        <v>286</v>
      </c>
      <c r="K1227" t="s">
        <v>57</v>
      </c>
    </row>
    <row r="1228" spans="1:11" x14ac:dyDescent="0.35">
      <c r="A1228" t="s">
        <v>1660</v>
      </c>
      <c r="B1228">
        <v>2024</v>
      </c>
      <c r="C1228" t="s">
        <v>1398</v>
      </c>
      <c r="D1228" t="s">
        <v>76</v>
      </c>
      <c r="E1228" t="s">
        <v>114</v>
      </c>
      <c r="F1228" t="s">
        <v>129</v>
      </c>
      <c r="G1228" t="s">
        <v>130</v>
      </c>
      <c r="H1228" t="s">
        <v>285</v>
      </c>
      <c r="I1228" t="s">
        <v>86</v>
      </c>
      <c r="J1228" t="s">
        <v>286</v>
      </c>
      <c r="K1228" t="s">
        <v>57</v>
      </c>
    </row>
    <row r="1229" spans="1:11" x14ac:dyDescent="0.35">
      <c r="A1229" t="s">
        <v>1661</v>
      </c>
      <c r="B1229">
        <v>2024</v>
      </c>
      <c r="C1229" t="s">
        <v>1398</v>
      </c>
      <c r="D1229" t="s">
        <v>76</v>
      </c>
      <c r="E1229" t="s">
        <v>119</v>
      </c>
      <c r="F1229" t="s">
        <v>129</v>
      </c>
      <c r="G1229" t="s">
        <v>128</v>
      </c>
      <c r="H1229" t="s">
        <v>285</v>
      </c>
      <c r="I1229" t="s">
        <v>461</v>
      </c>
      <c r="J1229" t="s">
        <v>288</v>
      </c>
      <c r="K1229" t="s">
        <v>57</v>
      </c>
    </row>
    <row r="1230" spans="1:11" x14ac:dyDescent="0.35">
      <c r="A1230" t="s">
        <v>1662</v>
      </c>
      <c r="B1230">
        <v>2024</v>
      </c>
      <c r="C1230" t="s">
        <v>1398</v>
      </c>
      <c r="D1230" t="s">
        <v>76</v>
      </c>
      <c r="E1230" t="s">
        <v>115</v>
      </c>
      <c r="F1230" t="s">
        <v>131</v>
      </c>
      <c r="G1230" t="s">
        <v>132</v>
      </c>
      <c r="H1230" t="s">
        <v>305</v>
      </c>
      <c r="I1230" t="s">
        <v>289</v>
      </c>
      <c r="J1230" t="s">
        <v>308</v>
      </c>
      <c r="K1230" t="s">
        <v>42</v>
      </c>
    </row>
    <row r="1231" spans="1:11" x14ac:dyDescent="0.35">
      <c r="A1231" t="s">
        <v>1663</v>
      </c>
      <c r="B1231">
        <v>2024</v>
      </c>
      <c r="C1231" t="s">
        <v>1398</v>
      </c>
      <c r="D1231" t="s">
        <v>76</v>
      </c>
      <c r="E1231" t="s">
        <v>119</v>
      </c>
      <c r="F1231" t="s">
        <v>125</v>
      </c>
      <c r="G1231" t="s">
        <v>128</v>
      </c>
      <c r="H1231" t="s">
        <v>285</v>
      </c>
      <c r="I1231" t="s">
        <v>288</v>
      </c>
      <c r="J1231" t="s">
        <v>308</v>
      </c>
      <c r="K1231" t="s">
        <v>42</v>
      </c>
    </row>
    <row r="1232" spans="1:11" x14ac:dyDescent="0.35">
      <c r="A1232" t="s">
        <v>1664</v>
      </c>
      <c r="B1232">
        <v>2024</v>
      </c>
      <c r="C1232" t="s">
        <v>1398</v>
      </c>
      <c r="D1232" t="s">
        <v>85</v>
      </c>
      <c r="E1232" t="s">
        <v>116</v>
      </c>
      <c r="F1232" t="s">
        <v>131</v>
      </c>
      <c r="G1232" t="s">
        <v>132</v>
      </c>
      <c r="H1232" t="s">
        <v>357</v>
      </c>
      <c r="I1232" t="s">
        <v>292</v>
      </c>
      <c r="J1232" t="s">
        <v>1665</v>
      </c>
      <c r="K1232" t="s">
        <v>42</v>
      </c>
    </row>
    <row r="1233" spans="1:11" x14ac:dyDescent="0.35">
      <c r="A1233" t="s">
        <v>1666</v>
      </c>
      <c r="B1233">
        <v>2024</v>
      </c>
      <c r="C1233" t="s">
        <v>1398</v>
      </c>
      <c r="D1233" t="s">
        <v>85</v>
      </c>
      <c r="E1233" t="s">
        <v>377</v>
      </c>
      <c r="F1233" t="s">
        <v>131</v>
      </c>
      <c r="G1233" t="s">
        <v>126</v>
      </c>
      <c r="H1233" t="s">
        <v>285</v>
      </c>
      <c r="I1233" t="s">
        <v>77</v>
      </c>
      <c r="J1233" t="s">
        <v>317</v>
      </c>
      <c r="K1233" t="s">
        <v>57</v>
      </c>
    </row>
    <row r="1234" spans="1:11" x14ac:dyDescent="0.35">
      <c r="A1234" t="s">
        <v>1667</v>
      </c>
      <c r="B1234">
        <v>2024</v>
      </c>
      <c r="C1234" t="s">
        <v>1398</v>
      </c>
      <c r="D1234" t="s">
        <v>76</v>
      </c>
      <c r="E1234" t="s">
        <v>107</v>
      </c>
      <c r="F1234" t="s">
        <v>125</v>
      </c>
      <c r="G1234" t="s">
        <v>126</v>
      </c>
      <c r="H1234" t="s">
        <v>285</v>
      </c>
      <c r="I1234" t="s">
        <v>86</v>
      </c>
      <c r="J1234" t="s">
        <v>308</v>
      </c>
      <c r="K1234" t="s">
        <v>42</v>
      </c>
    </row>
    <row r="1235" spans="1:11" x14ac:dyDescent="0.35">
      <c r="A1235" t="s">
        <v>1668</v>
      </c>
      <c r="B1235">
        <v>2024</v>
      </c>
      <c r="C1235" t="s">
        <v>1398</v>
      </c>
      <c r="D1235" t="s">
        <v>76</v>
      </c>
      <c r="E1235" t="s">
        <v>119</v>
      </c>
      <c r="F1235" t="s">
        <v>125</v>
      </c>
      <c r="G1235" t="s">
        <v>128</v>
      </c>
      <c r="H1235" t="s">
        <v>285</v>
      </c>
      <c r="I1235" t="s">
        <v>77</v>
      </c>
      <c r="J1235" t="s">
        <v>409</v>
      </c>
      <c r="K1235" t="s">
        <v>57</v>
      </c>
    </row>
    <row r="1236" spans="1:11" x14ac:dyDescent="0.35">
      <c r="A1236" t="s">
        <v>1669</v>
      </c>
      <c r="B1236">
        <v>2024</v>
      </c>
      <c r="C1236" t="s">
        <v>1398</v>
      </c>
      <c r="D1236" t="s">
        <v>76</v>
      </c>
      <c r="E1236" t="s">
        <v>119</v>
      </c>
      <c r="F1236" t="s">
        <v>125</v>
      </c>
      <c r="G1236" t="s">
        <v>128</v>
      </c>
      <c r="H1236" t="s">
        <v>285</v>
      </c>
      <c r="I1236" t="s">
        <v>86</v>
      </c>
      <c r="J1236" t="s">
        <v>361</v>
      </c>
      <c r="K1236" t="s">
        <v>57</v>
      </c>
    </row>
    <row r="1237" spans="1:11" x14ac:dyDescent="0.35">
      <c r="A1237" t="s">
        <v>1670</v>
      </c>
      <c r="B1237">
        <v>2024</v>
      </c>
      <c r="C1237" t="s">
        <v>1398</v>
      </c>
      <c r="D1237" t="s">
        <v>85</v>
      </c>
      <c r="E1237" t="s">
        <v>120</v>
      </c>
      <c r="F1237" t="s">
        <v>288</v>
      </c>
      <c r="G1237" t="s">
        <v>130</v>
      </c>
      <c r="H1237" t="s">
        <v>285</v>
      </c>
      <c r="I1237" t="s">
        <v>77</v>
      </c>
      <c r="J1237" t="s">
        <v>515</v>
      </c>
      <c r="K1237" t="s">
        <v>57</v>
      </c>
    </row>
    <row r="1238" spans="1:11" x14ac:dyDescent="0.35">
      <c r="A1238" t="s">
        <v>1671</v>
      </c>
      <c r="B1238">
        <v>2024</v>
      </c>
      <c r="C1238" t="s">
        <v>1398</v>
      </c>
      <c r="D1238" t="s">
        <v>76</v>
      </c>
      <c r="E1238" t="s">
        <v>119</v>
      </c>
      <c r="F1238" t="s">
        <v>131</v>
      </c>
      <c r="G1238" t="s">
        <v>128</v>
      </c>
      <c r="H1238" t="s">
        <v>285</v>
      </c>
      <c r="I1238" t="s">
        <v>86</v>
      </c>
      <c r="J1238" t="s">
        <v>331</v>
      </c>
      <c r="K1238" t="s">
        <v>42</v>
      </c>
    </row>
    <row r="1239" spans="1:11" x14ac:dyDescent="0.35">
      <c r="A1239" t="s">
        <v>1672</v>
      </c>
      <c r="B1239">
        <v>2024</v>
      </c>
      <c r="C1239" t="s">
        <v>1398</v>
      </c>
      <c r="D1239" t="s">
        <v>76</v>
      </c>
      <c r="E1239" t="s">
        <v>108</v>
      </c>
      <c r="F1239" t="s">
        <v>125</v>
      </c>
      <c r="G1239" t="s">
        <v>128</v>
      </c>
      <c r="H1239" t="s">
        <v>285</v>
      </c>
      <c r="I1239" t="s">
        <v>77</v>
      </c>
      <c r="J1239" t="s">
        <v>286</v>
      </c>
      <c r="K1239" t="s">
        <v>57</v>
      </c>
    </row>
    <row r="1240" spans="1:11" x14ac:dyDescent="0.35">
      <c r="A1240" t="s">
        <v>1673</v>
      </c>
      <c r="B1240">
        <v>2024</v>
      </c>
      <c r="C1240" t="s">
        <v>1398</v>
      </c>
      <c r="D1240" t="s">
        <v>85</v>
      </c>
      <c r="E1240" t="s">
        <v>117</v>
      </c>
      <c r="F1240" t="s">
        <v>129</v>
      </c>
      <c r="G1240" t="s">
        <v>132</v>
      </c>
      <c r="H1240" t="s">
        <v>285</v>
      </c>
      <c r="I1240" t="s">
        <v>351</v>
      </c>
      <c r="J1240" t="s">
        <v>288</v>
      </c>
      <c r="K1240" t="s">
        <v>57</v>
      </c>
    </row>
    <row r="1241" spans="1:11" x14ac:dyDescent="0.35">
      <c r="A1241" t="s">
        <v>1674</v>
      </c>
      <c r="B1241">
        <v>2024</v>
      </c>
      <c r="C1241" t="s">
        <v>1398</v>
      </c>
      <c r="D1241" t="s">
        <v>85</v>
      </c>
      <c r="E1241" t="s">
        <v>120</v>
      </c>
      <c r="F1241" t="s">
        <v>134</v>
      </c>
      <c r="G1241" t="s">
        <v>128</v>
      </c>
      <c r="H1241" t="s">
        <v>285</v>
      </c>
      <c r="I1241" t="s">
        <v>333</v>
      </c>
      <c r="J1241" t="s">
        <v>326</v>
      </c>
      <c r="K1241" t="s">
        <v>57</v>
      </c>
    </row>
    <row r="1242" spans="1:11" x14ac:dyDescent="0.35">
      <c r="A1242" t="s">
        <v>1675</v>
      </c>
      <c r="B1242">
        <v>2024</v>
      </c>
      <c r="C1242" t="s">
        <v>1398</v>
      </c>
      <c r="D1242" t="s">
        <v>76</v>
      </c>
      <c r="E1242" t="s">
        <v>119</v>
      </c>
      <c r="F1242" t="s">
        <v>127</v>
      </c>
      <c r="G1242" t="s">
        <v>130</v>
      </c>
      <c r="H1242" t="s">
        <v>285</v>
      </c>
      <c r="I1242" t="s">
        <v>86</v>
      </c>
      <c r="J1242" t="s">
        <v>286</v>
      </c>
      <c r="K1242" t="s">
        <v>57</v>
      </c>
    </row>
    <row r="1243" spans="1:11" x14ac:dyDescent="0.35">
      <c r="A1243" t="s">
        <v>1676</v>
      </c>
      <c r="B1243">
        <v>2024</v>
      </c>
      <c r="C1243" t="s">
        <v>1398</v>
      </c>
      <c r="D1243" t="s">
        <v>76</v>
      </c>
      <c r="E1243" t="s">
        <v>119</v>
      </c>
      <c r="F1243" t="s">
        <v>129</v>
      </c>
      <c r="G1243" t="s">
        <v>128</v>
      </c>
      <c r="H1243" t="s">
        <v>285</v>
      </c>
      <c r="I1243" t="s">
        <v>86</v>
      </c>
      <c r="J1243" t="s">
        <v>571</v>
      </c>
      <c r="K1243" t="s">
        <v>42</v>
      </c>
    </row>
    <row r="1244" spans="1:11" x14ac:dyDescent="0.35">
      <c r="A1244" t="s">
        <v>1677</v>
      </c>
      <c r="B1244">
        <v>2024</v>
      </c>
      <c r="C1244" t="s">
        <v>1398</v>
      </c>
      <c r="D1244" t="s">
        <v>85</v>
      </c>
      <c r="E1244" t="s">
        <v>117</v>
      </c>
      <c r="F1244" t="s">
        <v>288</v>
      </c>
      <c r="G1244" t="s">
        <v>128</v>
      </c>
      <c r="H1244" t="s">
        <v>285</v>
      </c>
      <c r="I1244" t="s">
        <v>86</v>
      </c>
      <c r="J1244" t="s">
        <v>286</v>
      </c>
      <c r="K1244" t="s">
        <v>57</v>
      </c>
    </row>
    <row r="1245" spans="1:11" x14ac:dyDescent="0.35">
      <c r="A1245" t="s">
        <v>1678</v>
      </c>
      <c r="B1245">
        <v>2024</v>
      </c>
      <c r="C1245" t="s">
        <v>1398</v>
      </c>
      <c r="D1245" t="s">
        <v>76</v>
      </c>
      <c r="E1245" t="s">
        <v>115</v>
      </c>
      <c r="F1245" t="s">
        <v>127</v>
      </c>
      <c r="G1245" t="s">
        <v>126</v>
      </c>
      <c r="H1245" t="s">
        <v>285</v>
      </c>
      <c r="I1245" t="s">
        <v>337</v>
      </c>
      <c r="J1245" t="s">
        <v>403</v>
      </c>
      <c r="K1245" t="s">
        <v>57</v>
      </c>
    </row>
    <row r="1246" spans="1:11" x14ac:dyDescent="0.35">
      <c r="A1246" t="s">
        <v>1679</v>
      </c>
      <c r="B1246">
        <v>2024</v>
      </c>
      <c r="C1246" t="s">
        <v>1398</v>
      </c>
      <c r="D1246" t="s">
        <v>76</v>
      </c>
      <c r="E1246" t="s">
        <v>113</v>
      </c>
      <c r="F1246" t="s">
        <v>125</v>
      </c>
      <c r="G1246" t="s">
        <v>128</v>
      </c>
      <c r="H1246" t="s">
        <v>285</v>
      </c>
      <c r="I1246" t="s">
        <v>428</v>
      </c>
      <c r="J1246" t="s">
        <v>308</v>
      </c>
      <c r="K1246" t="s">
        <v>42</v>
      </c>
    </row>
    <row r="1247" spans="1:11" x14ac:dyDescent="0.35">
      <c r="A1247" t="s">
        <v>1680</v>
      </c>
      <c r="B1247">
        <v>2024</v>
      </c>
      <c r="C1247" t="s">
        <v>1398</v>
      </c>
      <c r="D1247" t="s">
        <v>85</v>
      </c>
      <c r="E1247" t="s">
        <v>117</v>
      </c>
      <c r="F1247" t="s">
        <v>129</v>
      </c>
      <c r="G1247" t="s">
        <v>130</v>
      </c>
      <c r="H1247" t="s">
        <v>285</v>
      </c>
      <c r="I1247" t="s">
        <v>289</v>
      </c>
      <c r="J1247" t="s">
        <v>409</v>
      </c>
      <c r="K1247" t="s">
        <v>57</v>
      </c>
    </row>
    <row r="1248" spans="1:11" x14ac:dyDescent="0.35">
      <c r="A1248" t="s">
        <v>1681</v>
      </c>
      <c r="B1248">
        <v>2024</v>
      </c>
      <c r="C1248" t="s">
        <v>1398</v>
      </c>
      <c r="D1248" t="s">
        <v>85</v>
      </c>
      <c r="E1248" t="s">
        <v>116</v>
      </c>
      <c r="F1248" t="s">
        <v>131</v>
      </c>
      <c r="G1248" t="s">
        <v>128</v>
      </c>
      <c r="H1248" t="s">
        <v>285</v>
      </c>
      <c r="I1248" t="s">
        <v>289</v>
      </c>
      <c r="J1248" t="s">
        <v>286</v>
      </c>
      <c r="K1248" t="s">
        <v>57</v>
      </c>
    </row>
    <row r="1249" spans="1:11" x14ac:dyDescent="0.35">
      <c r="A1249" t="s">
        <v>1682</v>
      </c>
      <c r="B1249">
        <v>2024</v>
      </c>
      <c r="C1249" t="s">
        <v>1398</v>
      </c>
      <c r="D1249" t="s">
        <v>76</v>
      </c>
      <c r="E1249" t="s">
        <v>118</v>
      </c>
      <c r="F1249" t="s">
        <v>288</v>
      </c>
      <c r="G1249" t="s">
        <v>126</v>
      </c>
      <c r="H1249" t="s">
        <v>285</v>
      </c>
      <c r="I1249" t="s">
        <v>77</v>
      </c>
      <c r="J1249" t="s">
        <v>286</v>
      </c>
      <c r="K1249" t="s">
        <v>57</v>
      </c>
    </row>
    <row r="1250" spans="1:11" x14ac:dyDescent="0.35">
      <c r="A1250" t="s">
        <v>1683</v>
      </c>
      <c r="B1250">
        <v>2024</v>
      </c>
      <c r="C1250" t="s">
        <v>1398</v>
      </c>
      <c r="D1250" t="s">
        <v>85</v>
      </c>
      <c r="E1250" t="s">
        <v>120</v>
      </c>
      <c r="F1250" t="s">
        <v>125</v>
      </c>
      <c r="G1250" t="s">
        <v>132</v>
      </c>
      <c r="H1250" t="s">
        <v>285</v>
      </c>
      <c r="I1250" t="s">
        <v>86</v>
      </c>
      <c r="J1250" t="s">
        <v>1684</v>
      </c>
      <c r="K1250" t="s">
        <v>42</v>
      </c>
    </row>
    <row r="1251" spans="1:11" x14ac:dyDescent="0.35">
      <c r="A1251" t="s">
        <v>1685</v>
      </c>
      <c r="B1251">
        <v>2024</v>
      </c>
      <c r="C1251" t="s">
        <v>1398</v>
      </c>
      <c r="D1251" t="s">
        <v>76</v>
      </c>
      <c r="E1251" t="s">
        <v>108</v>
      </c>
      <c r="F1251" t="s">
        <v>125</v>
      </c>
      <c r="G1251" t="s">
        <v>126</v>
      </c>
      <c r="H1251" t="s">
        <v>305</v>
      </c>
      <c r="I1251" t="s">
        <v>77</v>
      </c>
      <c r="J1251" t="s">
        <v>286</v>
      </c>
      <c r="K1251" t="s">
        <v>57</v>
      </c>
    </row>
    <row r="1252" spans="1:11" x14ac:dyDescent="0.35">
      <c r="A1252" t="s">
        <v>1686</v>
      </c>
      <c r="B1252">
        <v>2024</v>
      </c>
      <c r="C1252" t="s">
        <v>1398</v>
      </c>
      <c r="D1252" t="s">
        <v>76</v>
      </c>
      <c r="E1252" t="s">
        <v>119</v>
      </c>
      <c r="F1252" t="s">
        <v>129</v>
      </c>
      <c r="G1252" t="s">
        <v>130</v>
      </c>
      <c r="H1252" t="s">
        <v>285</v>
      </c>
      <c r="I1252" t="s">
        <v>86</v>
      </c>
      <c r="J1252" t="s">
        <v>1687</v>
      </c>
      <c r="K1252" t="s">
        <v>42</v>
      </c>
    </row>
    <row r="1253" spans="1:11" x14ac:dyDescent="0.35">
      <c r="A1253" t="s">
        <v>1688</v>
      </c>
      <c r="B1253">
        <v>2024</v>
      </c>
      <c r="C1253" t="s">
        <v>1398</v>
      </c>
      <c r="D1253" t="s">
        <v>76</v>
      </c>
      <c r="E1253" t="s">
        <v>112</v>
      </c>
      <c r="F1253" t="s">
        <v>129</v>
      </c>
      <c r="G1253" t="s">
        <v>126</v>
      </c>
      <c r="H1253" t="s">
        <v>285</v>
      </c>
      <c r="I1253" t="s">
        <v>77</v>
      </c>
      <c r="J1253" t="s">
        <v>286</v>
      </c>
      <c r="K1253" t="s">
        <v>57</v>
      </c>
    </row>
    <row r="1254" spans="1:11" x14ac:dyDescent="0.35">
      <c r="A1254" t="s">
        <v>1689</v>
      </c>
      <c r="B1254">
        <v>2024</v>
      </c>
      <c r="C1254" t="s">
        <v>1398</v>
      </c>
      <c r="D1254" t="s">
        <v>85</v>
      </c>
      <c r="E1254" t="s">
        <v>117</v>
      </c>
      <c r="F1254" t="s">
        <v>129</v>
      </c>
      <c r="G1254" t="s">
        <v>130</v>
      </c>
      <c r="H1254" t="s">
        <v>285</v>
      </c>
      <c r="I1254" t="s">
        <v>86</v>
      </c>
      <c r="J1254" t="s">
        <v>317</v>
      </c>
      <c r="K1254" t="s">
        <v>57</v>
      </c>
    </row>
    <row r="1255" spans="1:11" x14ac:dyDescent="0.35">
      <c r="A1255" t="s">
        <v>1690</v>
      </c>
      <c r="B1255">
        <v>2024</v>
      </c>
      <c r="C1255" t="s">
        <v>1398</v>
      </c>
      <c r="D1255" t="s">
        <v>85</v>
      </c>
      <c r="E1255" t="s">
        <v>117</v>
      </c>
      <c r="F1255" t="s">
        <v>127</v>
      </c>
      <c r="G1255" t="s">
        <v>132</v>
      </c>
      <c r="H1255" t="s">
        <v>285</v>
      </c>
      <c r="I1255" t="s">
        <v>86</v>
      </c>
      <c r="J1255" t="s">
        <v>286</v>
      </c>
      <c r="K1255" t="s">
        <v>57</v>
      </c>
    </row>
    <row r="1256" spans="1:11" x14ac:dyDescent="0.35">
      <c r="A1256" t="s">
        <v>1691</v>
      </c>
      <c r="B1256">
        <v>2024</v>
      </c>
      <c r="C1256" t="s">
        <v>1398</v>
      </c>
      <c r="D1256" t="s">
        <v>76</v>
      </c>
      <c r="E1256" t="s">
        <v>110</v>
      </c>
      <c r="F1256" t="s">
        <v>125</v>
      </c>
      <c r="G1256" t="s">
        <v>130</v>
      </c>
      <c r="H1256" t="s">
        <v>285</v>
      </c>
      <c r="I1256" t="s">
        <v>86</v>
      </c>
      <c r="J1256" t="s">
        <v>312</v>
      </c>
      <c r="K1256" t="s">
        <v>42</v>
      </c>
    </row>
    <row r="1257" spans="1:11" x14ac:dyDescent="0.35">
      <c r="A1257" t="s">
        <v>1692</v>
      </c>
      <c r="B1257">
        <v>2024</v>
      </c>
      <c r="C1257" t="s">
        <v>1398</v>
      </c>
      <c r="D1257" t="s">
        <v>85</v>
      </c>
      <c r="E1257" t="s">
        <v>120</v>
      </c>
      <c r="F1257" t="s">
        <v>127</v>
      </c>
      <c r="G1257" t="s">
        <v>130</v>
      </c>
      <c r="H1257" t="s">
        <v>305</v>
      </c>
      <c r="I1257" t="s">
        <v>86</v>
      </c>
      <c r="J1257" t="s">
        <v>317</v>
      </c>
      <c r="K1257" t="s">
        <v>57</v>
      </c>
    </row>
    <row r="1258" spans="1:11" x14ac:dyDescent="0.35">
      <c r="A1258" t="s">
        <v>1693</v>
      </c>
      <c r="B1258">
        <v>2024</v>
      </c>
      <c r="C1258" t="s">
        <v>1398</v>
      </c>
      <c r="D1258" t="s">
        <v>76</v>
      </c>
      <c r="E1258" t="s">
        <v>119</v>
      </c>
      <c r="F1258" t="s">
        <v>129</v>
      </c>
      <c r="G1258" t="s">
        <v>126</v>
      </c>
      <c r="H1258" t="s">
        <v>285</v>
      </c>
      <c r="I1258" t="s">
        <v>86</v>
      </c>
      <c r="J1258" t="s">
        <v>286</v>
      </c>
      <c r="K1258" t="s">
        <v>57</v>
      </c>
    </row>
    <row r="1259" spans="1:11" x14ac:dyDescent="0.35">
      <c r="A1259" t="s">
        <v>1694</v>
      </c>
      <c r="B1259">
        <v>2024</v>
      </c>
      <c r="C1259" t="s">
        <v>1398</v>
      </c>
      <c r="D1259" t="s">
        <v>76</v>
      </c>
      <c r="E1259" t="s">
        <v>107</v>
      </c>
      <c r="F1259" t="s">
        <v>125</v>
      </c>
      <c r="G1259" t="s">
        <v>128</v>
      </c>
      <c r="H1259" t="s">
        <v>285</v>
      </c>
      <c r="I1259" t="s">
        <v>86</v>
      </c>
      <c r="J1259" t="s">
        <v>317</v>
      </c>
      <c r="K1259" t="s">
        <v>57</v>
      </c>
    </row>
    <row r="1260" spans="1:11" x14ac:dyDescent="0.35">
      <c r="A1260" t="s">
        <v>1695</v>
      </c>
      <c r="B1260">
        <v>2024</v>
      </c>
      <c r="C1260" t="s">
        <v>1398</v>
      </c>
      <c r="D1260" t="s">
        <v>76</v>
      </c>
      <c r="E1260" t="s">
        <v>119</v>
      </c>
      <c r="F1260" t="s">
        <v>127</v>
      </c>
      <c r="G1260" t="s">
        <v>126</v>
      </c>
      <c r="H1260" t="s">
        <v>285</v>
      </c>
      <c r="I1260" t="s">
        <v>288</v>
      </c>
      <c r="J1260" t="s">
        <v>286</v>
      </c>
      <c r="K1260" t="s">
        <v>57</v>
      </c>
    </row>
    <row r="1261" spans="1:11" x14ac:dyDescent="0.35">
      <c r="A1261" t="s">
        <v>1696</v>
      </c>
      <c r="B1261">
        <v>2024</v>
      </c>
      <c r="C1261" t="s">
        <v>1398</v>
      </c>
      <c r="D1261" t="s">
        <v>76</v>
      </c>
      <c r="E1261" t="s">
        <v>107</v>
      </c>
      <c r="F1261" t="s">
        <v>125</v>
      </c>
      <c r="G1261" t="s">
        <v>130</v>
      </c>
      <c r="H1261" t="s">
        <v>285</v>
      </c>
      <c r="I1261" t="s">
        <v>86</v>
      </c>
      <c r="J1261" t="s">
        <v>286</v>
      </c>
      <c r="K1261" t="s">
        <v>57</v>
      </c>
    </row>
    <row r="1262" spans="1:11" x14ac:dyDescent="0.35">
      <c r="A1262" t="s">
        <v>1697</v>
      </c>
      <c r="B1262">
        <v>2024</v>
      </c>
      <c r="C1262" t="s">
        <v>1398</v>
      </c>
      <c r="D1262" t="s">
        <v>85</v>
      </c>
      <c r="E1262" t="s">
        <v>116</v>
      </c>
      <c r="F1262" t="s">
        <v>131</v>
      </c>
      <c r="G1262" t="s">
        <v>128</v>
      </c>
      <c r="H1262" t="s">
        <v>285</v>
      </c>
      <c r="I1262" t="s">
        <v>289</v>
      </c>
      <c r="J1262" t="s">
        <v>286</v>
      </c>
      <c r="K1262" t="s">
        <v>57</v>
      </c>
    </row>
    <row r="1263" spans="1:11" x14ac:dyDescent="0.35">
      <c r="A1263" t="s">
        <v>1698</v>
      </c>
      <c r="B1263">
        <v>2024</v>
      </c>
      <c r="C1263" t="s">
        <v>1398</v>
      </c>
      <c r="D1263" t="s">
        <v>76</v>
      </c>
      <c r="E1263" t="s">
        <v>107</v>
      </c>
      <c r="F1263" t="s">
        <v>125</v>
      </c>
      <c r="G1263" t="s">
        <v>128</v>
      </c>
      <c r="H1263" t="s">
        <v>285</v>
      </c>
      <c r="I1263" t="s">
        <v>86</v>
      </c>
      <c r="J1263" t="s">
        <v>317</v>
      </c>
      <c r="K1263" t="s">
        <v>57</v>
      </c>
    </row>
    <row r="1264" spans="1:11" x14ac:dyDescent="0.35">
      <c r="A1264" t="s">
        <v>1699</v>
      </c>
      <c r="B1264">
        <v>2024</v>
      </c>
      <c r="C1264" t="s">
        <v>1398</v>
      </c>
      <c r="D1264" t="s">
        <v>76</v>
      </c>
      <c r="E1264" t="s">
        <v>119</v>
      </c>
      <c r="F1264" t="s">
        <v>125</v>
      </c>
      <c r="G1264" t="s">
        <v>128</v>
      </c>
      <c r="H1264" t="s">
        <v>285</v>
      </c>
      <c r="I1264" t="s">
        <v>638</v>
      </c>
      <c r="J1264" t="s">
        <v>286</v>
      </c>
      <c r="K1264" t="s">
        <v>57</v>
      </c>
    </row>
    <row r="1265" spans="1:11" x14ac:dyDescent="0.35">
      <c r="A1265" t="s">
        <v>1700</v>
      </c>
      <c r="B1265">
        <v>2024</v>
      </c>
      <c r="C1265" t="s">
        <v>1398</v>
      </c>
      <c r="D1265" t="s">
        <v>76</v>
      </c>
      <c r="E1265" t="s">
        <v>109</v>
      </c>
      <c r="F1265" t="s">
        <v>127</v>
      </c>
      <c r="G1265" t="s">
        <v>126</v>
      </c>
      <c r="H1265" t="s">
        <v>285</v>
      </c>
      <c r="I1265" t="s">
        <v>77</v>
      </c>
      <c r="J1265" t="s">
        <v>286</v>
      </c>
      <c r="K1265" t="s">
        <v>57</v>
      </c>
    </row>
    <row r="1266" spans="1:11" x14ac:dyDescent="0.35">
      <c r="A1266" t="s">
        <v>1701</v>
      </c>
      <c r="B1266">
        <v>2024</v>
      </c>
      <c r="C1266" t="s">
        <v>1398</v>
      </c>
      <c r="D1266" t="s">
        <v>76</v>
      </c>
      <c r="E1266" t="s">
        <v>109</v>
      </c>
      <c r="F1266" t="s">
        <v>127</v>
      </c>
      <c r="G1266" t="s">
        <v>126</v>
      </c>
      <c r="H1266" t="s">
        <v>285</v>
      </c>
      <c r="I1266" t="s">
        <v>77</v>
      </c>
      <c r="J1266" t="s">
        <v>286</v>
      </c>
      <c r="K1266" t="s">
        <v>57</v>
      </c>
    </row>
    <row r="1267" spans="1:11" x14ac:dyDescent="0.35">
      <c r="A1267" t="s">
        <v>1702</v>
      </c>
      <c r="B1267">
        <v>2024</v>
      </c>
      <c r="C1267" t="s">
        <v>1398</v>
      </c>
      <c r="D1267" t="s">
        <v>76</v>
      </c>
      <c r="E1267" t="s">
        <v>118</v>
      </c>
      <c r="F1267" t="s">
        <v>127</v>
      </c>
      <c r="G1267" t="s">
        <v>128</v>
      </c>
      <c r="H1267" t="s">
        <v>285</v>
      </c>
      <c r="I1267" t="s">
        <v>86</v>
      </c>
      <c r="J1267" t="s">
        <v>286</v>
      </c>
      <c r="K1267" t="s">
        <v>57</v>
      </c>
    </row>
    <row r="1268" spans="1:11" x14ac:dyDescent="0.35">
      <c r="A1268" t="s">
        <v>1703</v>
      </c>
      <c r="B1268">
        <v>2024</v>
      </c>
      <c r="C1268" t="s">
        <v>1398</v>
      </c>
      <c r="D1268" t="s">
        <v>76</v>
      </c>
      <c r="E1268" t="s">
        <v>111</v>
      </c>
      <c r="F1268" t="s">
        <v>125</v>
      </c>
      <c r="G1268" t="s">
        <v>128</v>
      </c>
      <c r="H1268" t="s">
        <v>285</v>
      </c>
      <c r="I1268" t="s">
        <v>86</v>
      </c>
      <c r="J1268" t="s">
        <v>312</v>
      </c>
      <c r="K1268" t="s">
        <v>42</v>
      </c>
    </row>
    <row r="1269" spans="1:11" x14ac:dyDescent="0.35">
      <c r="A1269" t="s">
        <v>1704</v>
      </c>
      <c r="B1269">
        <v>2024</v>
      </c>
      <c r="C1269" t="s">
        <v>1398</v>
      </c>
      <c r="D1269" t="s">
        <v>85</v>
      </c>
      <c r="E1269" t="s">
        <v>116</v>
      </c>
      <c r="F1269" t="s">
        <v>288</v>
      </c>
      <c r="G1269" t="s">
        <v>128</v>
      </c>
      <c r="H1269" t="s">
        <v>285</v>
      </c>
      <c r="I1269" t="s">
        <v>288</v>
      </c>
      <c r="J1269" t="s">
        <v>286</v>
      </c>
      <c r="K1269" t="s">
        <v>57</v>
      </c>
    </row>
    <row r="1270" spans="1:11" x14ac:dyDescent="0.35">
      <c r="A1270" t="s">
        <v>1705</v>
      </c>
      <c r="B1270">
        <v>2024</v>
      </c>
      <c r="C1270" t="s">
        <v>1398</v>
      </c>
      <c r="D1270" t="s">
        <v>76</v>
      </c>
      <c r="E1270" t="s">
        <v>107</v>
      </c>
      <c r="F1270" t="s">
        <v>125</v>
      </c>
      <c r="G1270" t="s">
        <v>128</v>
      </c>
      <c r="H1270" t="s">
        <v>285</v>
      </c>
      <c r="I1270" t="s">
        <v>86</v>
      </c>
      <c r="J1270" t="s">
        <v>1706</v>
      </c>
      <c r="K1270" t="s">
        <v>42</v>
      </c>
    </row>
    <row r="1271" spans="1:11" x14ac:dyDescent="0.35">
      <c r="A1271" t="s">
        <v>1707</v>
      </c>
      <c r="B1271">
        <v>2024</v>
      </c>
      <c r="C1271" t="s">
        <v>1398</v>
      </c>
      <c r="D1271" t="s">
        <v>85</v>
      </c>
      <c r="E1271" t="s">
        <v>116</v>
      </c>
      <c r="F1271" t="s">
        <v>125</v>
      </c>
      <c r="G1271" t="s">
        <v>130</v>
      </c>
      <c r="H1271" t="s">
        <v>285</v>
      </c>
      <c r="I1271" t="s">
        <v>289</v>
      </c>
      <c r="J1271" t="s">
        <v>326</v>
      </c>
      <c r="K1271" t="s">
        <v>57</v>
      </c>
    </row>
    <row r="1272" spans="1:11" x14ac:dyDescent="0.35">
      <c r="A1272" t="s">
        <v>1708</v>
      </c>
      <c r="B1272">
        <v>2024</v>
      </c>
      <c r="C1272" t="s">
        <v>1398</v>
      </c>
      <c r="D1272" t="s">
        <v>76</v>
      </c>
      <c r="E1272" t="s">
        <v>115</v>
      </c>
      <c r="F1272" t="s">
        <v>127</v>
      </c>
      <c r="G1272" t="s">
        <v>128</v>
      </c>
      <c r="H1272" t="s">
        <v>285</v>
      </c>
      <c r="I1272" t="s">
        <v>433</v>
      </c>
      <c r="J1272" t="s">
        <v>286</v>
      </c>
      <c r="K1272" t="s">
        <v>57</v>
      </c>
    </row>
    <row r="1273" spans="1:11" x14ac:dyDescent="0.35">
      <c r="A1273" t="s">
        <v>1709</v>
      </c>
      <c r="B1273">
        <v>2024</v>
      </c>
      <c r="C1273" t="s">
        <v>1398</v>
      </c>
      <c r="D1273" t="s">
        <v>76</v>
      </c>
      <c r="E1273" t="s">
        <v>107</v>
      </c>
      <c r="F1273" t="s">
        <v>129</v>
      </c>
      <c r="G1273" t="s">
        <v>132</v>
      </c>
      <c r="H1273" t="s">
        <v>285</v>
      </c>
      <c r="I1273" t="s">
        <v>288</v>
      </c>
      <c r="J1273" t="s">
        <v>326</v>
      </c>
      <c r="K1273" t="s">
        <v>57</v>
      </c>
    </row>
    <row r="1274" spans="1:11" x14ac:dyDescent="0.35">
      <c r="A1274" t="s">
        <v>1710</v>
      </c>
      <c r="B1274">
        <v>2024</v>
      </c>
      <c r="C1274" t="s">
        <v>1398</v>
      </c>
      <c r="D1274" t="s">
        <v>85</v>
      </c>
      <c r="E1274" t="s">
        <v>120</v>
      </c>
      <c r="F1274" t="s">
        <v>288</v>
      </c>
      <c r="G1274" t="s">
        <v>128</v>
      </c>
      <c r="H1274" t="s">
        <v>285</v>
      </c>
      <c r="I1274" t="s">
        <v>288</v>
      </c>
      <c r="J1274" t="s">
        <v>288</v>
      </c>
      <c r="K1274" t="s">
        <v>57</v>
      </c>
    </row>
    <row r="1275" spans="1:11" x14ac:dyDescent="0.35">
      <c r="A1275" t="s">
        <v>1711</v>
      </c>
      <c r="B1275">
        <v>2024</v>
      </c>
      <c r="C1275" t="s">
        <v>1398</v>
      </c>
      <c r="D1275" t="s">
        <v>85</v>
      </c>
      <c r="E1275" t="s">
        <v>116</v>
      </c>
      <c r="F1275" t="s">
        <v>129</v>
      </c>
      <c r="G1275" t="s">
        <v>128</v>
      </c>
      <c r="H1275" t="s">
        <v>305</v>
      </c>
      <c r="I1275" t="s">
        <v>77</v>
      </c>
      <c r="J1275" t="s">
        <v>286</v>
      </c>
      <c r="K1275" t="s">
        <v>57</v>
      </c>
    </row>
    <row r="1276" spans="1:11" x14ac:dyDescent="0.35">
      <c r="A1276" t="s">
        <v>1712</v>
      </c>
      <c r="B1276">
        <v>2024</v>
      </c>
      <c r="C1276" t="s">
        <v>1398</v>
      </c>
      <c r="D1276" t="s">
        <v>76</v>
      </c>
      <c r="E1276" t="s">
        <v>113</v>
      </c>
      <c r="F1276" t="s">
        <v>127</v>
      </c>
      <c r="G1276" t="s">
        <v>128</v>
      </c>
      <c r="H1276" t="s">
        <v>285</v>
      </c>
      <c r="I1276" t="s">
        <v>77</v>
      </c>
      <c r="J1276" t="s">
        <v>286</v>
      </c>
      <c r="K1276" t="s">
        <v>57</v>
      </c>
    </row>
    <row r="1277" spans="1:11" x14ac:dyDescent="0.35">
      <c r="A1277" t="s">
        <v>1713</v>
      </c>
      <c r="B1277">
        <v>2024</v>
      </c>
      <c r="C1277" t="s">
        <v>1398</v>
      </c>
      <c r="D1277" t="s">
        <v>85</v>
      </c>
      <c r="E1277" t="s">
        <v>116</v>
      </c>
      <c r="F1277" t="s">
        <v>129</v>
      </c>
      <c r="G1277" t="s">
        <v>130</v>
      </c>
      <c r="H1277" t="s">
        <v>285</v>
      </c>
      <c r="I1277" t="s">
        <v>289</v>
      </c>
      <c r="J1277" t="s">
        <v>288</v>
      </c>
      <c r="K1277" t="s">
        <v>57</v>
      </c>
    </row>
    <row r="1278" spans="1:11" x14ac:dyDescent="0.35">
      <c r="A1278" t="s">
        <v>1714</v>
      </c>
      <c r="B1278">
        <v>2024</v>
      </c>
      <c r="C1278" t="s">
        <v>1398</v>
      </c>
      <c r="D1278" t="s">
        <v>76</v>
      </c>
      <c r="E1278" t="s">
        <v>108</v>
      </c>
      <c r="F1278" t="s">
        <v>125</v>
      </c>
      <c r="G1278" t="s">
        <v>128</v>
      </c>
      <c r="H1278" t="s">
        <v>285</v>
      </c>
      <c r="I1278" t="s">
        <v>86</v>
      </c>
      <c r="J1278" t="s">
        <v>286</v>
      </c>
      <c r="K1278" t="s">
        <v>57</v>
      </c>
    </row>
    <row r="1279" spans="1:11" x14ac:dyDescent="0.35">
      <c r="A1279" t="s">
        <v>1715</v>
      </c>
      <c r="B1279">
        <v>2024</v>
      </c>
      <c r="C1279" t="s">
        <v>1398</v>
      </c>
      <c r="D1279" t="s">
        <v>76</v>
      </c>
      <c r="E1279" t="s">
        <v>109</v>
      </c>
      <c r="F1279" t="s">
        <v>127</v>
      </c>
      <c r="G1279" t="s">
        <v>126</v>
      </c>
      <c r="H1279" t="s">
        <v>285</v>
      </c>
      <c r="I1279" t="s">
        <v>288</v>
      </c>
      <c r="J1279" t="s">
        <v>286</v>
      </c>
      <c r="K1279" t="s">
        <v>57</v>
      </c>
    </row>
    <row r="1280" spans="1:11" x14ac:dyDescent="0.35">
      <c r="A1280" t="s">
        <v>1716</v>
      </c>
      <c r="B1280">
        <v>2024</v>
      </c>
      <c r="C1280" t="s">
        <v>1398</v>
      </c>
      <c r="D1280" t="s">
        <v>76</v>
      </c>
      <c r="E1280" t="s">
        <v>107</v>
      </c>
      <c r="F1280" t="s">
        <v>127</v>
      </c>
      <c r="G1280" t="s">
        <v>132</v>
      </c>
      <c r="H1280" t="s">
        <v>285</v>
      </c>
      <c r="I1280" t="s">
        <v>77</v>
      </c>
      <c r="J1280" t="s">
        <v>286</v>
      </c>
      <c r="K1280" t="s">
        <v>57</v>
      </c>
    </row>
    <row r="1281" spans="1:11" x14ac:dyDescent="0.35">
      <c r="A1281" t="s">
        <v>1717</v>
      </c>
      <c r="B1281">
        <v>2024</v>
      </c>
      <c r="C1281" t="s">
        <v>1398</v>
      </c>
      <c r="D1281" t="s">
        <v>85</v>
      </c>
      <c r="E1281" t="s">
        <v>120</v>
      </c>
      <c r="F1281" t="s">
        <v>288</v>
      </c>
      <c r="G1281" t="s">
        <v>128</v>
      </c>
      <c r="H1281" t="s">
        <v>305</v>
      </c>
      <c r="I1281" t="s">
        <v>77</v>
      </c>
      <c r="J1281" t="s">
        <v>515</v>
      </c>
      <c r="K1281" t="s">
        <v>57</v>
      </c>
    </row>
    <row r="1282" spans="1:11" x14ac:dyDescent="0.35">
      <c r="A1282" t="s">
        <v>1718</v>
      </c>
      <c r="B1282">
        <v>2024</v>
      </c>
      <c r="C1282" t="s">
        <v>1398</v>
      </c>
      <c r="D1282" t="s">
        <v>76</v>
      </c>
      <c r="E1282" t="s">
        <v>119</v>
      </c>
      <c r="F1282" t="s">
        <v>129</v>
      </c>
      <c r="G1282" t="s">
        <v>132</v>
      </c>
      <c r="H1282" t="s">
        <v>305</v>
      </c>
      <c r="I1282" t="s">
        <v>77</v>
      </c>
      <c r="J1282" t="s">
        <v>286</v>
      </c>
      <c r="K1282" t="s">
        <v>57</v>
      </c>
    </row>
    <row r="1283" spans="1:11" x14ac:dyDescent="0.35">
      <c r="A1283" t="s">
        <v>1719</v>
      </c>
      <c r="B1283">
        <v>2024</v>
      </c>
      <c r="C1283" t="s">
        <v>1398</v>
      </c>
      <c r="D1283" t="s">
        <v>76</v>
      </c>
      <c r="E1283" t="s">
        <v>115</v>
      </c>
      <c r="F1283" t="s">
        <v>125</v>
      </c>
      <c r="G1283" t="s">
        <v>130</v>
      </c>
      <c r="H1283" t="s">
        <v>305</v>
      </c>
      <c r="I1283" t="s">
        <v>86</v>
      </c>
      <c r="J1283" t="s">
        <v>286</v>
      </c>
      <c r="K1283" t="s">
        <v>57</v>
      </c>
    </row>
    <row r="1284" spans="1:11" x14ac:dyDescent="0.35">
      <c r="A1284" t="s">
        <v>1720</v>
      </c>
      <c r="B1284">
        <v>2024</v>
      </c>
      <c r="C1284" t="s">
        <v>1398</v>
      </c>
      <c r="D1284" t="s">
        <v>85</v>
      </c>
      <c r="E1284" t="s">
        <v>116</v>
      </c>
      <c r="F1284" t="s">
        <v>131</v>
      </c>
      <c r="G1284" t="s">
        <v>128</v>
      </c>
      <c r="H1284" t="s">
        <v>285</v>
      </c>
      <c r="I1284" t="s">
        <v>77</v>
      </c>
      <c r="J1284" t="s">
        <v>447</v>
      </c>
      <c r="K1284" t="s">
        <v>57</v>
      </c>
    </row>
    <row r="1285" spans="1:11" x14ac:dyDescent="0.35">
      <c r="A1285" t="s">
        <v>1721</v>
      </c>
      <c r="B1285">
        <v>2024</v>
      </c>
      <c r="C1285" t="s">
        <v>1398</v>
      </c>
      <c r="D1285" t="s">
        <v>85</v>
      </c>
      <c r="E1285" t="s">
        <v>115</v>
      </c>
      <c r="F1285" t="s">
        <v>129</v>
      </c>
      <c r="G1285" t="s">
        <v>128</v>
      </c>
      <c r="H1285" t="s">
        <v>305</v>
      </c>
      <c r="I1285" t="s">
        <v>77</v>
      </c>
      <c r="J1285" t="s">
        <v>317</v>
      </c>
      <c r="K1285" t="s">
        <v>57</v>
      </c>
    </row>
    <row r="1286" spans="1:11" x14ac:dyDescent="0.35">
      <c r="A1286" t="s">
        <v>1722</v>
      </c>
      <c r="B1286">
        <v>2024</v>
      </c>
      <c r="C1286" t="s">
        <v>1398</v>
      </c>
      <c r="D1286" t="s">
        <v>85</v>
      </c>
      <c r="E1286" t="s">
        <v>117</v>
      </c>
      <c r="F1286" t="s">
        <v>288</v>
      </c>
      <c r="G1286" t="s">
        <v>130</v>
      </c>
      <c r="H1286" t="s">
        <v>305</v>
      </c>
      <c r="I1286" t="s">
        <v>289</v>
      </c>
      <c r="J1286" t="s">
        <v>317</v>
      </c>
      <c r="K1286" t="s">
        <v>57</v>
      </c>
    </row>
    <row r="1287" spans="1:11" x14ac:dyDescent="0.35">
      <c r="A1287" t="s">
        <v>1723</v>
      </c>
      <c r="B1287">
        <v>2024</v>
      </c>
      <c r="C1287" t="s">
        <v>1398</v>
      </c>
      <c r="D1287" t="s">
        <v>85</v>
      </c>
      <c r="E1287" t="s">
        <v>116</v>
      </c>
      <c r="F1287" t="s">
        <v>125</v>
      </c>
      <c r="G1287" t="s">
        <v>128</v>
      </c>
      <c r="H1287" t="s">
        <v>285</v>
      </c>
      <c r="I1287" t="s">
        <v>288</v>
      </c>
      <c r="J1287" t="s">
        <v>361</v>
      </c>
      <c r="K1287" t="s">
        <v>57</v>
      </c>
    </row>
    <row r="1288" spans="1:11" x14ac:dyDescent="0.35">
      <c r="A1288" t="s">
        <v>1724</v>
      </c>
      <c r="B1288">
        <v>2024</v>
      </c>
      <c r="C1288" t="s">
        <v>1398</v>
      </c>
      <c r="D1288" t="s">
        <v>85</v>
      </c>
      <c r="E1288" t="s">
        <v>120</v>
      </c>
      <c r="F1288" t="s">
        <v>129</v>
      </c>
      <c r="G1288" t="s">
        <v>128</v>
      </c>
      <c r="H1288" t="s">
        <v>285</v>
      </c>
      <c r="I1288" t="s">
        <v>288</v>
      </c>
      <c r="J1288" t="s">
        <v>288</v>
      </c>
      <c r="K1288" t="s">
        <v>57</v>
      </c>
    </row>
    <row r="1289" spans="1:11" x14ac:dyDescent="0.35">
      <c r="A1289" t="s">
        <v>1725</v>
      </c>
      <c r="B1289">
        <v>2024</v>
      </c>
      <c r="C1289" t="s">
        <v>1398</v>
      </c>
      <c r="D1289" t="s">
        <v>85</v>
      </c>
      <c r="E1289" t="s">
        <v>116</v>
      </c>
      <c r="F1289" t="s">
        <v>129</v>
      </c>
      <c r="G1289" t="s">
        <v>132</v>
      </c>
      <c r="H1289" t="s">
        <v>285</v>
      </c>
      <c r="I1289" t="s">
        <v>77</v>
      </c>
      <c r="J1289" t="s">
        <v>447</v>
      </c>
      <c r="K1289" t="s">
        <v>57</v>
      </c>
    </row>
    <row r="1290" spans="1:11" x14ac:dyDescent="0.35">
      <c r="A1290" t="s">
        <v>1726</v>
      </c>
      <c r="B1290">
        <v>2024</v>
      </c>
      <c r="C1290" t="s">
        <v>1398</v>
      </c>
      <c r="D1290" t="s">
        <v>76</v>
      </c>
      <c r="E1290" t="s">
        <v>115</v>
      </c>
      <c r="F1290" t="s">
        <v>125</v>
      </c>
      <c r="G1290" t="s">
        <v>126</v>
      </c>
      <c r="H1290" t="s">
        <v>285</v>
      </c>
      <c r="I1290" t="s">
        <v>77</v>
      </c>
      <c r="J1290" t="s">
        <v>317</v>
      </c>
      <c r="K1290" t="s">
        <v>57</v>
      </c>
    </row>
    <row r="1291" spans="1:11" x14ac:dyDescent="0.35">
      <c r="A1291" t="s">
        <v>1727</v>
      </c>
      <c r="B1291">
        <v>2024</v>
      </c>
      <c r="C1291" t="s">
        <v>1398</v>
      </c>
      <c r="D1291" t="s">
        <v>85</v>
      </c>
      <c r="E1291" t="s">
        <v>116</v>
      </c>
      <c r="F1291" t="s">
        <v>129</v>
      </c>
      <c r="G1291" t="s">
        <v>130</v>
      </c>
      <c r="H1291" t="s">
        <v>285</v>
      </c>
      <c r="I1291" t="s">
        <v>289</v>
      </c>
      <c r="J1291" t="s">
        <v>286</v>
      </c>
      <c r="K1291" t="s">
        <v>57</v>
      </c>
    </row>
    <row r="1292" spans="1:11" x14ac:dyDescent="0.35">
      <c r="A1292" t="s">
        <v>1728</v>
      </c>
      <c r="B1292">
        <v>2024</v>
      </c>
      <c r="C1292" t="s">
        <v>1398</v>
      </c>
      <c r="D1292" t="s">
        <v>85</v>
      </c>
      <c r="E1292" t="s">
        <v>116</v>
      </c>
      <c r="F1292" t="s">
        <v>125</v>
      </c>
      <c r="G1292" t="s">
        <v>126</v>
      </c>
      <c r="H1292" t="s">
        <v>357</v>
      </c>
      <c r="I1292" t="s">
        <v>86</v>
      </c>
      <c r="J1292" t="s">
        <v>288</v>
      </c>
      <c r="K1292" t="s">
        <v>57</v>
      </c>
    </row>
    <row r="1293" spans="1:11" x14ac:dyDescent="0.35">
      <c r="A1293" t="s">
        <v>1729</v>
      </c>
      <c r="B1293">
        <v>2024</v>
      </c>
      <c r="C1293" t="s">
        <v>1398</v>
      </c>
      <c r="D1293" t="s">
        <v>76</v>
      </c>
      <c r="E1293" t="s">
        <v>107</v>
      </c>
      <c r="F1293" t="s">
        <v>288</v>
      </c>
      <c r="G1293" t="s">
        <v>128</v>
      </c>
      <c r="H1293" t="s">
        <v>285</v>
      </c>
      <c r="I1293" t="s">
        <v>632</v>
      </c>
      <c r="J1293" t="s">
        <v>790</v>
      </c>
      <c r="K1293" t="s">
        <v>42</v>
      </c>
    </row>
    <row r="1294" spans="1:11" x14ac:dyDescent="0.35">
      <c r="A1294" t="s">
        <v>1730</v>
      </c>
      <c r="B1294">
        <v>2024</v>
      </c>
      <c r="C1294" t="s">
        <v>1398</v>
      </c>
      <c r="D1294" t="s">
        <v>85</v>
      </c>
      <c r="E1294" t="s">
        <v>116</v>
      </c>
      <c r="F1294" t="s">
        <v>288</v>
      </c>
      <c r="G1294" t="s">
        <v>130</v>
      </c>
      <c r="H1294" t="s">
        <v>285</v>
      </c>
      <c r="I1294" t="s">
        <v>288</v>
      </c>
      <c r="J1294" t="s">
        <v>286</v>
      </c>
      <c r="K1294" t="s">
        <v>57</v>
      </c>
    </row>
    <row r="1295" spans="1:11" x14ac:dyDescent="0.35">
      <c r="A1295" t="s">
        <v>1731</v>
      </c>
      <c r="B1295">
        <v>2024</v>
      </c>
      <c r="C1295" t="s">
        <v>1398</v>
      </c>
      <c r="D1295" t="s">
        <v>76</v>
      </c>
      <c r="E1295" t="s">
        <v>115</v>
      </c>
      <c r="F1295" t="s">
        <v>125</v>
      </c>
      <c r="G1295" t="s">
        <v>128</v>
      </c>
      <c r="H1295" t="s">
        <v>357</v>
      </c>
      <c r="I1295" t="s">
        <v>288</v>
      </c>
      <c r="J1295" t="s">
        <v>286</v>
      </c>
      <c r="K1295" t="s">
        <v>57</v>
      </c>
    </row>
    <row r="1296" spans="1:11" x14ac:dyDescent="0.35">
      <c r="A1296" t="s">
        <v>1732</v>
      </c>
      <c r="B1296">
        <v>2024</v>
      </c>
      <c r="C1296" t="s">
        <v>1398</v>
      </c>
      <c r="D1296" t="s">
        <v>85</v>
      </c>
      <c r="E1296" t="s">
        <v>116</v>
      </c>
      <c r="F1296" t="s">
        <v>131</v>
      </c>
      <c r="G1296" t="s">
        <v>132</v>
      </c>
      <c r="H1296" t="s">
        <v>285</v>
      </c>
      <c r="I1296" t="s">
        <v>288</v>
      </c>
      <c r="J1296" t="s">
        <v>288</v>
      </c>
      <c r="K1296" t="s">
        <v>57</v>
      </c>
    </row>
    <row r="1297" spans="1:11" x14ac:dyDescent="0.35">
      <c r="A1297" t="s">
        <v>1733</v>
      </c>
      <c r="B1297">
        <v>2024</v>
      </c>
      <c r="C1297" t="s">
        <v>1398</v>
      </c>
      <c r="D1297" t="s">
        <v>85</v>
      </c>
      <c r="E1297" t="s">
        <v>120</v>
      </c>
      <c r="F1297" t="s">
        <v>129</v>
      </c>
      <c r="G1297" t="s">
        <v>132</v>
      </c>
      <c r="H1297" t="s">
        <v>285</v>
      </c>
      <c r="I1297" t="s">
        <v>77</v>
      </c>
      <c r="J1297" t="s">
        <v>317</v>
      </c>
      <c r="K1297" t="s">
        <v>57</v>
      </c>
    </row>
    <row r="1298" spans="1:11" x14ac:dyDescent="0.35">
      <c r="A1298" t="s">
        <v>1734</v>
      </c>
      <c r="B1298">
        <v>2024</v>
      </c>
      <c r="C1298" t="s">
        <v>1398</v>
      </c>
      <c r="D1298" t="s">
        <v>76</v>
      </c>
      <c r="E1298" t="s">
        <v>107</v>
      </c>
      <c r="F1298" t="s">
        <v>129</v>
      </c>
      <c r="G1298" t="s">
        <v>128</v>
      </c>
      <c r="H1298" t="s">
        <v>285</v>
      </c>
      <c r="I1298" t="s">
        <v>86</v>
      </c>
      <c r="J1298" t="s">
        <v>317</v>
      </c>
      <c r="K1298" t="s">
        <v>57</v>
      </c>
    </row>
    <row r="1299" spans="1:11" x14ac:dyDescent="0.35">
      <c r="A1299" t="s">
        <v>1735</v>
      </c>
      <c r="B1299">
        <v>2024</v>
      </c>
      <c r="C1299" t="s">
        <v>1398</v>
      </c>
      <c r="D1299" t="s">
        <v>85</v>
      </c>
      <c r="E1299" t="s">
        <v>117</v>
      </c>
      <c r="F1299" t="s">
        <v>288</v>
      </c>
      <c r="G1299" t="s">
        <v>128</v>
      </c>
      <c r="H1299" t="s">
        <v>285</v>
      </c>
      <c r="I1299" t="s">
        <v>86</v>
      </c>
      <c r="J1299" t="s">
        <v>403</v>
      </c>
      <c r="K1299" t="s">
        <v>57</v>
      </c>
    </row>
    <row r="1300" spans="1:11" x14ac:dyDescent="0.35">
      <c r="A1300" t="s">
        <v>1736</v>
      </c>
      <c r="B1300">
        <v>2024</v>
      </c>
      <c r="C1300" t="s">
        <v>1398</v>
      </c>
      <c r="D1300" t="s">
        <v>85</v>
      </c>
      <c r="E1300" t="s">
        <v>117</v>
      </c>
      <c r="F1300" t="s">
        <v>131</v>
      </c>
      <c r="G1300" t="s">
        <v>128</v>
      </c>
      <c r="H1300" t="s">
        <v>285</v>
      </c>
      <c r="I1300" t="s">
        <v>77</v>
      </c>
      <c r="J1300" t="s">
        <v>515</v>
      </c>
      <c r="K1300" t="s">
        <v>57</v>
      </c>
    </row>
    <row r="1301" spans="1:11" x14ac:dyDescent="0.35">
      <c r="A1301" t="s">
        <v>1737</v>
      </c>
      <c r="B1301">
        <v>2024</v>
      </c>
      <c r="C1301" t="s">
        <v>1398</v>
      </c>
      <c r="D1301" t="s">
        <v>85</v>
      </c>
      <c r="E1301" t="s">
        <v>117</v>
      </c>
      <c r="F1301" t="s">
        <v>288</v>
      </c>
      <c r="G1301" t="s">
        <v>132</v>
      </c>
      <c r="H1301" t="s">
        <v>285</v>
      </c>
      <c r="I1301" t="s">
        <v>86</v>
      </c>
      <c r="J1301" t="s">
        <v>295</v>
      </c>
      <c r="K1301" t="s">
        <v>57</v>
      </c>
    </row>
    <row r="1302" spans="1:11" x14ac:dyDescent="0.35">
      <c r="A1302" t="s">
        <v>1738</v>
      </c>
      <c r="B1302">
        <v>2024</v>
      </c>
      <c r="C1302" t="s">
        <v>1398</v>
      </c>
      <c r="D1302" t="s">
        <v>85</v>
      </c>
      <c r="E1302" t="s">
        <v>120</v>
      </c>
      <c r="F1302" t="s">
        <v>125</v>
      </c>
      <c r="G1302" t="s">
        <v>130</v>
      </c>
      <c r="H1302" t="s">
        <v>285</v>
      </c>
      <c r="I1302" t="s">
        <v>86</v>
      </c>
      <c r="J1302" t="s">
        <v>317</v>
      </c>
      <c r="K1302" t="s">
        <v>57</v>
      </c>
    </row>
    <row r="1303" spans="1:11" x14ac:dyDescent="0.35">
      <c r="A1303" t="s">
        <v>1739</v>
      </c>
      <c r="B1303">
        <v>2024</v>
      </c>
      <c r="C1303" t="s">
        <v>1398</v>
      </c>
      <c r="D1303" t="s">
        <v>85</v>
      </c>
      <c r="E1303" t="s">
        <v>117</v>
      </c>
      <c r="F1303" t="s">
        <v>131</v>
      </c>
      <c r="G1303" t="s">
        <v>126</v>
      </c>
      <c r="H1303" t="s">
        <v>285</v>
      </c>
      <c r="I1303" t="s">
        <v>289</v>
      </c>
      <c r="J1303" t="s">
        <v>286</v>
      </c>
      <c r="K1303" t="s">
        <v>57</v>
      </c>
    </row>
    <row r="1304" spans="1:11" x14ac:dyDescent="0.35">
      <c r="A1304" t="s">
        <v>1740</v>
      </c>
      <c r="B1304">
        <v>2024</v>
      </c>
      <c r="C1304" t="s">
        <v>1398</v>
      </c>
      <c r="D1304" t="s">
        <v>85</v>
      </c>
      <c r="E1304" t="s">
        <v>116</v>
      </c>
      <c r="F1304" t="s">
        <v>129</v>
      </c>
      <c r="G1304" t="s">
        <v>126</v>
      </c>
      <c r="H1304" t="s">
        <v>285</v>
      </c>
      <c r="I1304" t="s">
        <v>77</v>
      </c>
      <c r="J1304" t="s">
        <v>306</v>
      </c>
      <c r="K1304" t="s">
        <v>57</v>
      </c>
    </row>
    <row r="1305" spans="1:11" x14ac:dyDescent="0.35">
      <c r="A1305" t="s">
        <v>1741</v>
      </c>
      <c r="B1305">
        <v>2024</v>
      </c>
      <c r="C1305" t="s">
        <v>1398</v>
      </c>
      <c r="D1305" t="s">
        <v>85</v>
      </c>
      <c r="E1305" t="s">
        <v>116</v>
      </c>
      <c r="F1305" t="s">
        <v>131</v>
      </c>
      <c r="G1305" t="s">
        <v>128</v>
      </c>
      <c r="H1305" t="s">
        <v>285</v>
      </c>
      <c r="I1305" t="s">
        <v>433</v>
      </c>
      <c r="J1305" t="s">
        <v>317</v>
      </c>
      <c r="K1305" t="s">
        <v>57</v>
      </c>
    </row>
    <row r="1306" spans="1:11" x14ac:dyDescent="0.35">
      <c r="A1306" t="s">
        <v>1742</v>
      </c>
      <c r="B1306">
        <v>2024</v>
      </c>
      <c r="C1306" t="s">
        <v>1398</v>
      </c>
      <c r="D1306" t="s">
        <v>85</v>
      </c>
      <c r="E1306" t="s">
        <v>117</v>
      </c>
      <c r="F1306" t="s">
        <v>125</v>
      </c>
      <c r="G1306" t="s">
        <v>130</v>
      </c>
      <c r="H1306" t="s">
        <v>285</v>
      </c>
      <c r="I1306" t="s">
        <v>86</v>
      </c>
      <c r="J1306" t="s">
        <v>286</v>
      </c>
      <c r="K1306" t="s">
        <v>57</v>
      </c>
    </row>
    <row r="1307" spans="1:11" x14ac:dyDescent="0.35">
      <c r="A1307" t="s">
        <v>1743</v>
      </c>
      <c r="B1307">
        <v>2024</v>
      </c>
      <c r="C1307" t="s">
        <v>1398</v>
      </c>
      <c r="D1307" t="s">
        <v>85</v>
      </c>
      <c r="E1307" t="s">
        <v>116</v>
      </c>
      <c r="F1307" t="s">
        <v>127</v>
      </c>
      <c r="G1307" t="s">
        <v>132</v>
      </c>
      <c r="H1307" t="s">
        <v>285</v>
      </c>
      <c r="I1307" t="s">
        <v>77</v>
      </c>
      <c r="J1307" t="s">
        <v>317</v>
      </c>
      <c r="K1307" t="s">
        <v>57</v>
      </c>
    </row>
    <row r="1308" spans="1:11" x14ac:dyDescent="0.35">
      <c r="A1308" t="s">
        <v>1744</v>
      </c>
      <c r="B1308">
        <v>2024</v>
      </c>
      <c r="C1308" t="s">
        <v>1398</v>
      </c>
      <c r="D1308" t="s">
        <v>76</v>
      </c>
      <c r="E1308" t="s">
        <v>107</v>
      </c>
      <c r="F1308" t="s">
        <v>129</v>
      </c>
      <c r="G1308" t="s">
        <v>126</v>
      </c>
      <c r="H1308" t="s">
        <v>285</v>
      </c>
      <c r="I1308" t="s">
        <v>86</v>
      </c>
      <c r="J1308" t="s">
        <v>286</v>
      </c>
      <c r="K1308" t="s">
        <v>57</v>
      </c>
    </row>
    <row r="1309" spans="1:11" x14ac:dyDescent="0.35">
      <c r="A1309" t="s">
        <v>1745</v>
      </c>
      <c r="B1309">
        <v>2024</v>
      </c>
      <c r="C1309" t="s">
        <v>1398</v>
      </c>
      <c r="D1309" t="s">
        <v>76</v>
      </c>
      <c r="E1309" t="s">
        <v>107</v>
      </c>
      <c r="F1309" t="s">
        <v>125</v>
      </c>
      <c r="G1309" t="s">
        <v>128</v>
      </c>
      <c r="H1309" t="s">
        <v>285</v>
      </c>
      <c r="I1309" t="s">
        <v>86</v>
      </c>
      <c r="J1309" t="s">
        <v>895</v>
      </c>
      <c r="K1309" t="s">
        <v>42</v>
      </c>
    </row>
    <row r="1310" spans="1:11" x14ac:dyDescent="0.35">
      <c r="A1310" t="s">
        <v>1746</v>
      </c>
      <c r="B1310">
        <v>2024</v>
      </c>
      <c r="C1310" t="s">
        <v>1398</v>
      </c>
      <c r="D1310" t="s">
        <v>85</v>
      </c>
      <c r="E1310" t="s">
        <v>117</v>
      </c>
      <c r="F1310" t="s">
        <v>129</v>
      </c>
      <c r="G1310" t="s">
        <v>128</v>
      </c>
      <c r="H1310" t="s">
        <v>285</v>
      </c>
      <c r="I1310" t="s">
        <v>288</v>
      </c>
      <c r="J1310" t="s">
        <v>288</v>
      </c>
      <c r="K1310" t="s">
        <v>57</v>
      </c>
    </row>
    <row r="1311" spans="1:11" x14ac:dyDescent="0.35">
      <c r="A1311" t="s">
        <v>1747</v>
      </c>
      <c r="B1311">
        <v>2024</v>
      </c>
      <c r="C1311" t="s">
        <v>1398</v>
      </c>
      <c r="D1311" t="s">
        <v>85</v>
      </c>
      <c r="E1311" t="s">
        <v>117</v>
      </c>
      <c r="F1311" t="s">
        <v>127</v>
      </c>
      <c r="G1311" t="s">
        <v>128</v>
      </c>
      <c r="H1311" t="s">
        <v>285</v>
      </c>
      <c r="I1311" t="s">
        <v>86</v>
      </c>
      <c r="J1311" t="s">
        <v>347</v>
      </c>
      <c r="K1311" t="s">
        <v>57</v>
      </c>
    </row>
    <row r="1312" spans="1:11" x14ac:dyDescent="0.35">
      <c r="A1312" t="s">
        <v>1748</v>
      </c>
      <c r="B1312">
        <v>2024</v>
      </c>
      <c r="C1312" t="s">
        <v>1398</v>
      </c>
      <c r="D1312" t="s">
        <v>85</v>
      </c>
      <c r="E1312" t="s">
        <v>377</v>
      </c>
      <c r="F1312" t="s">
        <v>131</v>
      </c>
      <c r="G1312" t="s">
        <v>128</v>
      </c>
      <c r="H1312" t="s">
        <v>285</v>
      </c>
      <c r="I1312" t="s">
        <v>77</v>
      </c>
      <c r="J1312" t="s">
        <v>317</v>
      </c>
      <c r="K1312" t="s">
        <v>57</v>
      </c>
    </row>
    <row r="1313" spans="1:11" x14ac:dyDescent="0.35">
      <c r="A1313" t="s">
        <v>1749</v>
      </c>
      <c r="B1313">
        <v>2024</v>
      </c>
      <c r="C1313" t="s">
        <v>1398</v>
      </c>
      <c r="D1313" t="s">
        <v>85</v>
      </c>
      <c r="E1313" t="s">
        <v>120</v>
      </c>
      <c r="F1313" t="s">
        <v>133</v>
      </c>
      <c r="G1313" t="s">
        <v>130</v>
      </c>
      <c r="H1313" t="s">
        <v>285</v>
      </c>
      <c r="I1313" t="s">
        <v>77</v>
      </c>
      <c r="J1313" t="s">
        <v>515</v>
      </c>
      <c r="K1313" t="s">
        <v>57</v>
      </c>
    </row>
    <row r="1314" spans="1:11" x14ac:dyDescent="0.35">
      <c r="A1314" t="s">
        <v>1750</v>
      </c>
      <c r="B1314">
        <v>2024</v>
      </c>
      <c r="C1314" t="s">
        <v>1398</v>
      </c>
      <c r="D1314" t="s">
        <v>85</v>
      </c>
      <c r="E1314" t="s">
        <v>117</v>
      </c>
      <c r="F1314" t="s">
        <v>125</v>
      </c>
      <c r="G1314" t="s">
        <v>132</v>
      </c>
      <c r="H1314" t="s">
        <v>305</v>
      </c>
      <c r="I1314" t="s">
        <v>86</v>
      </c>
      <c r="J1314" t="s">
        <v>288</v>
      </c>
      <c r="K1314" t="s">
        <v>57</v>
      </c>
    </row>
    <row r="1315" spans="1:11" x14ac:dyDescent="0.35">
      <c r="A1315" t="s">
        <v>1751</v>
      </c>
      <c r="B1315">
        <v>2024</v>
      </c>
      <c r="C1315" t="s">
        <v>1398</v>
      </c>
      <c r="D1315" t="s">
        <v>85</v>
      </c>
      <c r="E1315" t="s">
        <v>116</v>
      </c>
      <c r="F1315" t="s">
        <v>125</v>
      </c>
      <c r="G1315" t="s">
        <v>130</v>
      </c>
      <c r="H1315" t="s">
        <v>285</v>
      </c>
      <c r="I1315" t="s">
        <v>77</v>
      </c>
      <c r="J1315" t="s">
        <v>317</v>
      </c>
      <c r="K1315" t="s">
        <v>57</v>
      </c>
    </row>
    <row r="1316" spans="1:11" x14ac:dyDescent="0.35">
      <c r="A1316" t="s">
        <v>1752</v>
      </c>
      <c r="B1316">
        <v>2024</v>
      </c>
      <c r="C1316" t="s">
        <v>1398</v>
      </c>
      <c r="D1316" t="s">
        <v>76</v>
      </c>
      <c r="E1316" t="s">
        <v>113</v>
      </c>
      <c r="F1316" t="s">
        <v>127</v>
      </c>
      <c r="G1316" t="s">
        <v>128</v>
      </c>
      <c r="H1316" t="s">
        <v>357</v>
      </c>
      <c r="I1316" t="s">
        <v>428</v>
      </c>
      <c r="J1316" t="s">
        <v>308</v>
      </c>
      <c r="K1316" t="s">
        <v>42</v>
      </c>
    </row>
    <row r="1317" spans="1:11" x14ac:dyDescent="0.35">
      <c r="A1317" t="s">
        <v>1753</v>
      </c>
      <c r="B1317">
        <v>2024</v>
      </c>
      <c r="C1317" t="s">
        <v>1398</v>
      </c>
      <c r="D1317" t="s">
        <v>76</v>
      </c>
      <c r="E1317" t="s">
        <v>115</v>
      </c>
      <c r="F1317" t="s">
        <v>125</v>
      </c>
      <c r="G1317" t="s">
        <v>132</v>
      </c>
      <c r="H1317" t="s">
        <v>285</v>
      </c>
      <c r="I1317" t="s">
        <v>86</v>
      </c>
      <c r="J1317" t="s">
        <v>1754</v>
      </c>
      <c r="K1317" t="s">
        <v>42</v>
      </c>
    </row>
    <row r="1318" spans="1:11" x14ac:dyDescent="0.35">
      <c r="A1318" t="s">
        <v>1755</v>
      </c>
      <c r="B1318">
        <v>2024</v>
      </c>
      <c r="C1318" t="s">
        <v>1398</v>
      </c>
      <c r="D1318" t="s">
        <v>76</v>
      </c>
      <c r="E1318" t="s">
        <v>118</v>
      </c>
      <c r="F1318" t="s">
        <v>288</v>
      </c>
      <c r="G1318" t="s">
        <v>128</v>
      </c>
      <c r="H1318" t="s">
        <v>285</v>
      </c>
      <c r="I1318" t="s">
        <v>86</v>
      </c>
      <c r="J1318" t="s">
        <v>317</v>
      </c>
      <c r="K1318" t="s">
        <v>57</v>
      </c>
    </row>
    <row r="1319" spans="1:11" x14ac:dyDescent="0.35">
      <c r="A1319" t="s">
        <v>1756</v>
      </c>
      <c r="B1319">
        <v>2024</v>
      </c>
      <c r="C1319" t="s">
        <v>1398</v>
      </c>
      <c r="D1319" t="s">
        <v>76</v>
      </c>
      <c r="E1319" t="s">
        <v>115</v>
      </c>
      <c r="F1319" t="s">
        <v>125</v>
      </c>
      <c r="G1319" t="s">
        <v>128</v>
      </c>
      <c r="H1319" t="s">
        <v>357</v>
      </c>
      <c r="I1319" t="s">
        <v>289</v>
      </c>
      <c r="J1319" t="s">
        <v>509</v>
      </c>
      <c r="K1319" t="s">
        <v>42</v>
      </c>
    </row>
    <row r="1320" spans="1:11" x14ac:dyDescent="0.35">
      <c r="A1320" t="s">
        <v>1757</v>
      </c>
      <c r="B1320">
        <v>2024</v>
      </c>
      <c r="C1320" t="s">
        <v>1398</v>
      </c>
      <c r="D1320" t="s">
        <v>85</v>
      </c>
      <c r="E1320" t="s">
        <v>116</v>
      </c>
      <c r="F1320" t="s">
        <v>129</v>
      </c>
      <c r="G1320" t="s">
        <v>128</v>
      </c>
      <c r="H1320" t="s">
        <v>285</v>
      </c>
      <c r="I1320" t="s">
        <v>289</v>
      </c>
      <c r="J1320" t="s">
        <v>1758</v>
      </c>
      <c r="K1320" t="s">
        <v>42</v>
      </c>
    </row>
    <row r="1321" spans="1:11" x14ac:dyDescent="0.35">
      <c r="A1321" t="s">
        <v>1759</v>
      </c>
      <c r="B1321">
        <v>2024</v>
      </c>
      <c r="C1321" t="s">
        <v>1398</v>
      </c>
      <c r="D1321" t="s">
        <v>85</v>
      </c>
      <c r="E1321" t="s">
        <v>117</v>
      </c>
      <c r="F1321" t="s">
        <v>127</v>
      </c>
      <c r="G1321" t="s">
        <v>132</v>
      </c>
      <c r="H1321" t="s">
        <v>285</v>
      </c>
      <c r="I1321" t="s">
        <v>86</v>
      </c>
      <c r="J1321" t="s">
        <v>403</v>
      </c>
      <c r="K1321" t="s">
        <v>57</v>
      </c>
    </row>
    <row r="1322" spans="1:11" x14ac:dyDescent="0.35">
      <c r="A1322" t="s">
        <v>1760</v>
      </c>
      <c r="B1322">
        <v>2024</v>
      </c>
      <c r="C1322" t="s">
        <v>1398</v>
      </c>
      <c r="D1322" t="s">
        <v>85</v>
      </c>
      <c r="E1322" t="s">
        <v>117</v>
      </c>
      <c r="F1322" t="s">
        <v>288</v>
      </c>
      <c r="G1322" t="s">
        <v>130</v>
      </c>
      <c r="H1322" t="s">
        <v>285</v>
      </c>
      <c r="I1322" t="s">
        <v>86</v>
      </c>
      <c r="J1322" t="s">
        <v>286</v>
      </c>
      <c r="K1322" t="s">
        <v>57</v>
      </c>
    </row>
    <row r="1323" spans="1:11" x14ac:dyDescent="0.35">
      <c r="A1323" t="s">
        <v>1761</v>
      </c>
      <c r="B1323">
        <v>2024</v>
      </c>
      <c r="C1323" t="s">
        <v>1398</v>
      </c>
      <c r="D1323" t="s">
        <v>76</v>
      </c>
      <c r="E1323" t="s">
        <v>118</v>
      </c>
      <c r="F1323" t="s">
        <v>125</v>
      </c>
      <c r="G1323" t="s">
        <v>130</v>
      </c>
      <c r="H1323" t="s">
        <v>285</v>
      </c>
      <c r="I1323" t="s">
        <v>77</v>
      </c>
      <c r="J1323" t="s">
        <v>447</v>
      </c>
      <c r="K1323" t="s">
        <v>57</v>
      </c>
    </row>
    <row r="1324" spans="1:11" x14ac:dyDescent="0.35">
      <c r="A1324" t="s">
        <v>1762</v>
      </c>
      <c r="B1324">
        <v>2024</v>
      </c>
      <c r="C1324" t="s">
        <v>1398</v>
      </c>
      <c r="D1324" t="s">
        <v>85</v>
      </c>
      <c r="E1324" t="s">
        <v>117</v>
      </c>
      <c r="F1324" t="s">
        <v>288</v>
      </c>
      <c r="G1324" t="s">
        <v>126</v>
      </c>
      <c r="H1324" t="s">
        <v>285</v>
      </c>
      <c r="I1324" t="s">
        <v>86</v>
      </c>
      <c r="J1324" t="s">
        <v>286</v>
      </c>
      <c r="K1324" t="s">
        <v>57</v>
      </c>
    </row>
    <row r="1325" spans="1:11" x14ac:dyDescent="0.35">
      <c r="A1325" t="s">
        <v>1763</v>
      </c>
      <c r="B1325">
        <v>2024</v>
      </c>
      <c r="C1325" t="s">
        <v>1398</v>
      </c>
      <c r="D1325" t="s">
        <v>85</v>
      </c>
      <c r="E1325" t="s">
        <v>117</v>
      </c>
      <c r="F1325" t="s">
        <v>133</v>
      </c>
      <c r="G1325" t="s">
        <v>132</v>
      </c>
      <c r="H1325" t="s">
        <v>305</v>
      </c>
      <c r="I1325" t="s">
        <v>289</v>
      </c>
      <c r="J1325" t="s">
        <v>464</v>
      </c>
      <c r="K1325" t="s">
        <v>42</v>
      </c>
    </row>
    <row r="1326" spans="1:11" x14ac:dyDescent="0.35">
      <c r="A1326" t="s">
        <v>1764</v>
      </c>
      <c r="B1326">
        <v>2024</v>
      </c>
      <c r="C1326" t="s">
        <v>1398</v>
      </c>
      <c r="D1326" t="s">
        <v>76</v>
      </c>
      <c r="E1326" t="s">
        <v>107</v>
      </c>
      <c r="F1326" t="s">
        <v>125</v>
      </c>
      <c r="G1326" t="s">
        <v>128</v>
      </c>
      <c r="H1326" t="s">
        <v>285</v>
      </c>
      <c r="I1326" t="s">
        <v>86</v>
      </c>
      <c r="J1326" t="s">
        <v>1765</v>
      </c>
      <c r="K1326" t="s">
        <v>42</v>
      </c>
    </row>
    <row r="1327" spans="1:11" x14ac:dyDescent="0.35">
      <c r="A1327" t="s">
        <v>1766</v>
      </c>
      <c r="B1327">
        <v>2024</v>
      </c>
      <c r="C1327" t="s">
        <v>1398</v>
      </c>
      <c r="D1327" t="s">
        <v>85</v>
      </c>
      <c r="E1327" t="s">
        <v>117</v>
      </c>
      <c r="F1327" t="s">
        <v>288</v>
      </c>
      <c r="G1327" t="s">
        <v>128</v>
      </c>
      <c r="H1327" t="s">
        <v>285</v>
      </c>
      <c r="I1327" t="s">
        <v>86</v>
      </c>
      <c r="J1327" t="s">
        <v>317</v>
      </c>
      <c r="K1327" t="s">
        <v>57</v>
      </c>
    </row>
    <row r="1328" spans="1:11" x14ac:dyDescent="0.35">
      <c r="A1328" t="s">
        <v>1767</v>
      </c>
      <c r="B1328">
        <v>2024</v>
      </c>
      <c r="C1328" t="s">
        <v>1398</v>
      </c>
      <c r="D1328" t="s">
        <v>85</v>
      </c>
      <c r="E1328" t="s">
        <v>116</v>
      </c>
      <c r="F1328" t="s">
        <v>288</v>
      </c>
      <c r="G1328" t="s">
        <v>130</v>
      </c>
      <c r="H1328" t="s">
        <v>285</v>
      </c>
      <c r="I1328" t="s">
        <v>77</v>
      </c>
      <c r="J1328" t="s">
        <v>286</v>
      </c>
      <c r="K1328" t="s">
        <v>57</v>
      </c>
    </row>
    <row r="1329" spans="1:11" x14ac:dyDescent="0.35">
      <c r="A1329" t="s">
        <v>1768</v>
      </c>
      <c r="B1329">
        <v>2024</v>
      </c>
      <c r="C1329" t="s">
        <v>1398</v>
      </c>
      <c r="D1329" t="s">
        <v>76</v>
      </c>
      <c r="E1329" t="s">
        <v>115</v>
      </c>
      <c r="F1329" t="s">
        <v>125</v>
      </c>
      <c r="G1329" t="s">
        <v>128</v>
      </c>
      <c r="H1329" t="s">
        <v>285</v>
      </c>
      <c r="I1329" t="s">
        <v>86</v>
      </c>
      <c r="J1329" t="s">
        <v>405</v>
      </c>
      <c r="K1329" t="s">
        <v>57</v>
      </c>
    </row>
    <row r="1330" spans="1:11" x14ac:dyDescent="0.35">
      <c r="A1330" t="s">
        <v>1769</v>
      </c>
      <c r="B1330">
        <v>2024</v>
      </c>
      <c r="C1330" t="s">
        <v>1398</v>
      </c>
      <c r="D1330" t="s">
        <v>76</v>
      </c>
      <c r="E1330" t="s">
        <v>108</v>
      </c>
      <c r="F1330" t="s">
        <v>125</v>
      </c>
      <c r="G1330" t="s">
        <v>128</v>
      </c>
      <c r="H1330" t="s">
        <v>285</v>
      </c>
      <c r="I1330" t="s">
        <v>86</v>
      </c>
      <c r="J1330" t="s">
        <v>286</v>
      </c>
      <c r="K1330" t="s">
        <v>57</v>
      </c>
    </row>
    <row r="1331" spans="1:11" x14ac:dyDescent="0.35">
      <c r="A1331" t="s">
        <v>1770</v>
      </c>
      <c r="B1331">
        <v>2024</v>
      </c>
      <c r="C1331" t="s">
        <v>1398</v>
      </c>
      <c r="D1331" t="s">
        <v>76</v>
      </c>
      <c r="E1331" t="s">
        <v>107</v>
      </c>
      <c r="F1331" t="s">
        <v>125</v>
      </c>
      <c r="G1331" t="s">
        <v>132</v>
      </c>
      <c r="H1331" t="s">
        <v>285</v>
      </c>
      <c r="I1331" t="s">
        <v>77</v>
      </c>
      <c r="J1331" t="s">
        <v>286</v>
      </c>
      <c r="K1331" t="s">
        <v>57</v>
      </c>
    </row>
    <row r="1332" spans="1:11" x14ac:dyDescent="0.35">
      <c r="A1332" t="s">
        <v>1771</v>
      </c>
      <c r="B1332">
        <v>2024</v>
      </c>
      <c r="C1332" t="s">
        <v>1398</v>
      </c>
      <c r="D1332" t="s">
        <v>85</v>
      </c>
      <c r="E1332" t="s">
        <v>117</v>
      </c>
      <c r="F1332" t="s">
        <v>134</v>
      </c>
      <c r="G1332" t="s">
        <v>128</v>
      </c>
      <c r="H1332" t="s">
        <v>357</v>
      </c>
      <c r="I1332" t="s">
        <v>77</v>
      </c>
      <c r="J1332" t="s">
        <v>286</v>
      </c>
      <c r="K1332" t="s">
        <v>57</v>
      </c>
    </row>
    <row r="1333" spans="1:11" x14ac:dyDescent="0.35">
      <c r="A1333" t="s">
        <v>1772</v>
      </c>
      <c r="B1333">
        <v>2024</v>
      </c>
      <c r="C1333" t="s">
        <v>1398</v>
      </c>
      <c r="D1333" t="s">
        <v>85</v>
      </c>
      <c r="E1333" t="s">
        <v>117</v>
      </c>
      <c r="F1333" t="s">
        <v>288</v>
      </c>
      <c r="G1333" t="s">
        <v>130</v>
      </c>
      <c r="H1333" t="s">
        <v>305</v>
      </c>
      <c r="I1333" t="s">
        <v>289</v>
      </c>
      <c r="J1333" t="s">
        <v>308</v>
      </c>
      <c r="K1333" t="s">
        <v>42</v>
      </c>
    </row>
    <row r="1334" spans="1:11" x14ac:dyDescent="0.35">
      <c r="A1334" t="s">
        <v>1773</v>
      </c>
      <c r="B1334">
        <v>2024</v>
      </c>
      <c r="C1334" t="s">
        <v>1398</v>
      </c>
      <c r="D1334" t="s">
        <v>85</v>
      </c>
      <c r="E1334" t="s">
        <v>117</v>
      </c>
      <c r="F1334" t="s">
        <v>129</v>
      </c>
      <c r="G1334" t="s">
        <v>128</v>
      </c>
      <c r="H1334" t="s">
        <v>305</v>
      </c>
      <c r="I1334" t="s">
        <v>288</v>
      </c>
      <c r="J1334" t="s">
        <v>288</v>
      </c>
      <c r="K1334" t="s">
        <v>57</v>
      </c>
    </row>
    <row r="1335" spans="1:11" x14ac:dyDescent="0.35">
      <c r="A1335" t="s">
        <v>1774</v>
      </c>
      <c r="B1335">
        <v>2024</v>
      </c>
      <c r="C1335" t="s">
        <v>1398</v>
      </c>
      <c r="D1335" t="s">
        <v>76</v>
      </c>
      <c r="E1335" t="s">
        <v>113</v>
      </c>
      <c r="F1335" t="s">
        <v>125</v>
      </c>
      <c r="G1335" t="s">
        <v>132</v>
      </c>
      <c r="H1335" t="s">
        <v>285</v>
      </c>
      <c r="I1335" t="s">
        <v>86</v>
      </c>
      <c r="J1335" t="s">
        <v>1775</v>
      </c>
      <c r="K1335" t="s">
        <v>42</v>
      </c>
    </row>
    <row r="1336" spans="1:11" x14ac:dyDescent="0.35">
      <c r="A1336" t="s">
        <v>1776</v>
      </c>
      <c r="B1336">
        <v>2025</v>
      </c>
      <c r="C1336" t="s">
        <v>284</v>
      </c>
      <c r="D1336" t="s">
        <v>85</v>
      </c>
      <c r="E1336" t="s">
        <v>116</v>
      </c>
      <c r="F1336" t="s">
        <v>129</v>
      </c>
      <c r="G1336" t="s">
        <v>126</v>
      </c>
      <c r="H1336" t="s">
        <v>285</v>
      </c>
      <c r="I1336" t="s">
        <v>77</v>
      </c>
      <c r="J1336" t="s">
        <v>286</v>
      </c>
      <c r="K1336" t="s">
        <v>57</v>
      </c>
    </row>
    <row r="1337" spans="1:11" x14ac:dyDescent="0.35">
      <c r="A1337" t="s">
        <v>1777</v>
      </c>
      <c r="B1337">
        <v>2025</v>
      </c>
      <c r="C1337" t="s">
        <v>284</v>
      </c>
      <c r="D1337" t="s">
        <v>85</v>
      </c>
      <c r="E1337" t="s">
        <v>120</v>
      </c>
      <c r="F1337" t="s">
        <v>288</v>
      </c>
      <c r="G1337" t="s">
        <v>130</v>
      </c>
      <c r="H1337" t="s">
        <v>305</v>
      </c>
      <c r="I1337" t="s">
        <v>337</v>
      </c>
      <c r="J1337" t="s">
        <v>326</v>
      </c>
      <c r="K1337" t="s">
        <v>57</v>
      </c>
    </row>
    <row r="1338" spans="1:11" x14ac:dyDescent="0.35">
      <c r="A1338" t="s">
        <v>1778</v>
      </c>
      <c r="B1338">
        <v>2025</v>
      </c>
      <c r="C1338" t="s">
        <v>284</v>
      </c>
      <c r="D1338" t="s">
        <v>85</v>
      </c>
      <c r="E1338" t="s">
        <v>117</v>
      </c>
      <c r="F1338" t="s">
        <v>288</v>
      </c>
      <c r="G1338" t="s">
        <v>128</v>
      </c>
      <c r="H1338" t="s">
        <v>285</v>
      </c>
      <c r="I1338" t="s">
        <v>289</v>
      </c>
      <c r="J1338" t="s">
        <v>412</v>
      </c>
      <c r="K1338" t="s">
        <v>57</v>
      </c>
    </row>
    <row r="1339" spans="1:11" x14ac:dyDescent="0.35">
      <c r="A1339" t="s">
        <v>1779</v>
      </c>
      <c r="B1339">
        <v>2025</v>
      </c>
      <c r="C1339" t="s">
        <v>284</v>
      </c>
      <c r="D1339" t="s">
        <v>85</v>
      </c>
      <c r="E1339" t="s">
        <v>117</v>
      </c>
      <c r="F1339" t="s">
        <v>125</v>
      </c>
      <c r="G1339" t="s">
        <v>128</v>
      </c>
      <c r="H1339" t="s">
        <v>285</v>
      </c>
      <c r="I1339" t="s">
        <v>288</v>
      </c>
      <c r="J1339" t="s">
        <v>286</v>
      </c>
      <c r="K1339" t="s">
        <v>57</v>
      </c>
    </row>
    <row r="1340" spans="1:11" x14ac:dyDescent="0.35">
      <c r="A1340" t="s">
        <v>1780</v>
      </c>
      <c r="B1340">
        <v>2025</v>
      </c>
      <c r="C1340" t="s">
        <v>284</v>
      </c>
      <c r="D1340" t="s">
        <v>76</v>
      </c>
      <c r="E1340" t="s">
        <v>115</v>
      </c>
      <c r="F1340" t="s">
        <v>129</v>
      </c>
      <c r="G1340" t="s">
        <v>128</v>
      </c>
      <c r="H1340" t="s">
        <v>285</v>
      </c>
      <c r="I1340" t="s">
        <v>86</v>
      </c>
      <c r="J1340" t="s">
        <v>331</v>
      </c>
      <c r="K1340" t="s">
        <v>42</v>
      </c>
    </row>
    <row r="1341" spans="1:11" x14ac:dyDescent="0.35">
      <c r="A1341" t="s">
        <v>1781</v>
      </c>
      <c r="B1341">
        <v>2025</v>
      </c>
      <c r="C1341" t="s">
        <v>284</v>
      </c>
      <c r="D1341" t="s">
        <v>85</v>
      </c>
      <c r="E1341" t="s">
        <v>116</v>
      </c>
      <c r="F1341" t="s">
        <v>131</v>
      </c>
      <c r="G1341" t="s">
        <v>128</v>
      </c>
      <c r="H1341" t="s">
        <v>285</v>
      </c>
      <c r="I1341" t="s">
        <v>77</v>
      </c>
      <c r="J1341" t="s">
        <v>317</v>
      </c>
      <c r="K1341" t="s">
        <v>57</v>
      </c>
    </row>
    <row r="1342" spans="1:11" x14ac:dyDescent="0.35">
      <c r="A1342" t="s">
        <v>1782</v>
      </c>
      <c r="B1342">
        <v>2025</v>
      </c>
      <c r="C1342" t="s">
        <v>284</v>
      </c>
      <c r="D1342" t="s">
        <v>76</v>
      </c>
      <c r="E1342" t="s">
        <v>108</v>
      </c>
      <c r="F1342" t="s">
        <v>125</v>
      </c>
      <c r="G1342" t="s">
        <v>132</v>
      </c>
      <c r="H1342" t="s">
        <v>285</v>
      </c>
      <c r="I1342" t="s">
        <v>1124</v>
      </c>
      <c r="J1342" t="s">
        <v>288</v>
      </c>
      <c r="K1342" t="s">
        <v>57</v>
      </c>
    </row>
    <row r="1343" spans="1:11" x14ac:dyDescent="0.35">
      <c r="A1343" t="s">
        <v>1783</v>
      </c>
      <c r="B1343">
        <v>2025</v>
      </c>
      <c r="C1343" t="s">
        <v>284</v>
      </c>
      <c r="D1343" t="s">
        <v>85</v>
      </c>
      <c r="E1343" t="s">
        <v>117</v>
      </c>
      <c r="F1343" t="s">
        <v>129</v>
      </c>
      <c r="G1343" t="s">
        <v>128</v>
      </c>
      <c r="H1343" t="s">
        <v>285</v>
      </c>
      <c r="I1343" t="s">
        <v>289</v>
      </c>
      <c r="J1343" t="s">
        <v>326</v>
      </c>
      <c r="K1343" t="s">
        <v>57</v>
      </c>
    </row>
    <row r="1344" spans="1:11" x14ac:dyDescent="0.35">
      <c r="A1344" t="s">
        <v>1784</v>
      </c>
      <c r="B1344">
        <v>2025</v>
      </c>
      <c r="C1344" t="s">
        <v>284</v>
      </c>
      <c r="D1344" t="s">
        <v>76</v>
      </c>
      <c r="E1344" t="s">
        <v>107</v>
      </c>
      <c r="F1344" t="s">
        <v>125</v>
      </c>
      <c r="G1344" t="s">
        <v>128</v>
      </c>
      <c r="H1344" t="s">
        <v>285</v>
      </c>
      <c r="I1344" t="s">
        <v>77</v>
      </c>
      <c r="J1344" t="s">
        <v>308</v>
      </c>
      <c r="K1344" t="s">
        <v>42</v>
      </c>
    </row>
    <row r="1345" spans="1:11" x14ac:dyDescent="0.35">
      <c r="A1345" t="s">
        <v>1785</v>
      </c>
      <c r="B1345">
        <v>2025</v>
      </c>
      <c r="C1345" t="s">
        <v>284</v>
      </c>
      <c r="D1345" t="s">
        <v>85</v>
      </c>
      <c r="E1345" t="s">
        <v>117</v>
      </c>
      <c r="F1345" t="s">
        <v>288</v>
      </c>
      <c r="G1345" t="s">
        <v>132</v>
      </c>
      <c r="H1345" t="s">
        <v>285</v>
      </c>
      <c r="I1345" t="s">
        <v>86</v>
      </c>
      <c r="J1345" t="s">
        <v>405</v>
      </c>
      <c r="K1345" t="s">
        <v>57</v>
      </c>
    </row>
    <row r="1346" spans="1:11" x14ac:dyDescent="0.35">
      <c r="A1346" t="s">
        <v>1786</v>
      </c>
      <c r="B1346">
        <v>2025</v>
      </c>
      <c r="C1346" t="s">
        <v>284</v>
      </c>
      <c r="D1346" t="s">
        <v>85</v>
      </c>
      <c r="E1346" t="s">
        <v>120</v>
      </c>
      <c r="F1346" t="s">
        <v>131</v>
      </c>
      <c r="G1346" t="s">
        <v>128</v>
      </c>
      <c r="H1346" t="s">
        <v>305</v>
      </c>
      <c r="I1346" t="s">
        <v>77</v>
      </c>
      <c r="J1346" t="s">
        <v>317</v>
      </c>
      <c r="K1346" t="s">
        <v>57</v>
      </c>
    </row>
    <row r="1347" spans="1:11" x14ac:dyDescent="0.35">
      <c r="A1347" t="s">
        <v>1787</v>
      </c>
      <c r="B1347">
        <v>2025</v>
      </c>
      <c r="C1347" t="s">
        <v>284</v>
      </c>
      <c r="D1347" t="s">
        <v>76</v>
      </c>
      <c r="E1347" t="s">
        <v>107</v>
      </c>
      <c r="F1347" t="s">
        <v>125</v>
      </c>
      <c r="G1347" t="s">
        <v>128</v>
      </c>
      <c r="H1347" t="s">
        <v>285</v>
      </c>
      <c r="I1347" t="s">
        <v>86</v>
      </c>
      <c r="J1347" t="s">
        <v>286</v>
      </c>
      <c r="K1347" t="s">
        <v>57</v>
      </c>
    </row>
    <row r="1348" spans="1:11" x14ac:dyDescent="0.35">
      <c r="A1348" t="s">
        <v>1788</v>
      </c>
      <c r="B1348">
        <v>2025</v>
      </c>
      <c r="C1348" t="s">
        <v>284</v>
      </c>
      <c r="D1348" t="s">
        <v>85</v>
      </c>
      <c r="E1348" t="s">
        <v>120</v>
      </c>
      <c r="F1348" t="s">
        <v>127</v>
      </c>
      <c r="G1348" t="s">
        <v>126</v>
      </c>
      <c r="H1348" t="s">
        <v>305</v>
      </c>
      <c r="I1348" t="s">
        <v>77</v>
      </c>
      <c r="J1348" t="s">
        <v>1706</v>
      </c>
      <c r="K1348" t="s">
        <v>42</v>
      </c>
    </row>
    <row r="1349" spans="1:11" x14ac:dyDescent="0.35">
      <c r="A1349" t="s">
        <v>1789</v>
      </c>
      <c r="B1349">
        <v>2025</v>
      </c>
      <c r="C1349" t="s">
        <v>284</v>
      </c>
      <c r="D1349" t="s">
        <v>85</v>
      </c>
      <c r="E1349" t="s">
        <v>117</v>
      </c>
      <c r="F1349" t="s">
        <v>129</v>
      </c>
      <c r="G1349" t="s">
        <v>132</v>
      </c>
      <c r="H1349" t="s">
        <v>285</v>
      </c>
      <c r="I1349" t="s">
        <v>288</v>
      </c>
      <c r="J1349" t="s">
        <v>288</v>
      </c>
      <c r="K1349" t="s">
        <v>57</v>
      </c>
    </row>
    <row r="1350" spans="1:11" x14ac:dyDescent="0.35">
      <c r="A1350" t="s">
        <v>1790</v>
      </c>
      <c r="B1350">
        <v>2025</v>
      </c>
      <c r="C1350" t="s">
        <v>284</v>
      </c>
      <c r="D1350" t="s">
        <v>85</v>
      </c>
      <c r="E1350" t="s">
        <v>120</v>
      </c>
      <c r="F1350" t="s">
        <v>131</v>
      </c>
      <c r="G1350" t="s">
        <v>130</v>
      </c>
      <c r="H1350" t="s">
        <v>305</v>
      </c>
      <c r="I1350" t="s">
        <v>289</v>
      </c>
      <c r="J1350" t="s">
        <v>317</v>
      </c>
      <c r="K1350" t="s">
        <v>57</v>
      </c>
    </row>
    <row r="1351" spans="1:11" x14ac:dyDescent="0.35">
      <c r="A1351" t="s">
        <v>1791</v>
      </c>
      <c r="B1351">
        <v>2025</v>
      </c>
      <c r="C1351" t="s">
        <v>284</v>
      </c>
      <c r="D1351" t="s">
        <v>85</v>
      </c>
      <c r="E1351" t="s">
        <v>120</v>
      </c>
      <c r="F1351" t="s">
        <v>129</v>
      </c>
      <c r="G1351" t="s">
        <v>130</v>
      </c>
      <c r="H1351" t="s">
        <v>305</v>
      </c>
      <c r="I1351" t="s">
        <v>77</v>
      </c>
      <c r="J1351" t="s">
        <v>317</v>
      </c>
      <c r="K1351" t="s">
        <v>57</v>
      </c>
    </row>
    <row r="1352" spans="1:11" x14ac:dyDescent="0.35">
      <c r="A1352" t="s">
        <v>1792</v>
      </c>
      <c r="B1352">
        <v>2025</v>
      </c>
      <c r="C1352" t="s">
        <v>284</v>
      </c>
      <c r="D1352" t="s">
        <v>85</v>
      </c>
      <c r="E1352" t="s">
        <v>117</v>
      </c>
      <c r="F1352" t="s">
        <v>131</v>
      </c>
      <c r="G1352" t="s">
        <v>130</v>
      </c>
      <c r="H1352" t="s">
        <v>305</v>
      </c>
      <c r="I1352" t="s">
        <v>77</v>
      </c>
      <c r="J1352" t="s">
        <v>317</v>
      </c>
      <c r="K1352" t="s">
        <v>57</v>
      </c>
    </row>
    <row r="1353" spans="1:11" x14ac:dyDescent="0.35">
      <c r="A1353" t="s">
        <v>1793</v>
      </c>
      <c r="B1353">
        <v>2025</v>
      </c>
      <c r="C1353" t="s">
        <v>284</v>
      </c>
      <c r="D1353" t="s">
        <v>85</v>
      </c>
      <c r="E1353" t="s">
        <v>117</v>
      </c>
      <c r="F1353" t="s">
        <v>129</v>
      </c>
      <c r="G1353" t="s">
        <v>130</v>
      </c>
      <c r="H1353" t="s">
        <v>305</v>
      </c>
      <c r="I1353" t="s">
        <v>86</v>
      </c>
      <c r="J1353" t="s">
        <v>317</v>
      </c>
      <c r="K1353" t="s">
        <v>57</v>
      </c>
    </row>
    <row r="1354" spans="1:11" x14ac:dyDescent="0.35">
      <c r="A1354" t="s">
        <v>1794</v>
      </c>
      <c r="B1354">
        <v>2025</v>
      </c>
      <c r="C1354" t="s">
        <v>284</v>
      </c>
      <c r="D1354" t="s">
        <v>85</v>
      </c>
      <c r="E1354" t="s">
        <v>120</v>
      </c>
      <c r="F1354" t="s">
        <v>125</v>
      </c>
      <c r="G1354" t="s">
        <v>128</v>
      </c>
      <c r="H1354" t="s">
        <v>285</v>
      </c>
      <c r="I1354" t="s">
        <v>86</v>
      </c>
      <c r="J1354" t="s">
        <v>317</v>
      </c>
      <c r="K1354" t="s">
        <v>57</v>
      </c>
    </row>
    <row r="1355" spans="1:11" x14ac:dyDescent="0.35">
      <c r="A1355" t="s">
        <v>1795</v>
      </c>
      <c r="B1355">
        <v>2025</v>
      </c>
      <c r="C1355" t="s">
        <v>284</v>
      </c>
      <c r="D1355" t="s">
        <v>85</v>
      </c>
      <c r="E1355" t="s">
        <v>120</v>
      </c>
      <c r="F1355" t="s">
        <v>131</v>
      </c>
      <c r="G1355" t="s">
        <v>128</v>
      </c>
      <c r="H1355" t="s">
        <v>285</v>
      </c>
      <c r="I1355" t="s">
        <v>77</v>
      </c>
      <c r="J1355" t="s">
        <v>409</v>
      </c>
      <c r="K1355" t="s">
        <v>57</v>
      </c>
    </row>
    <row r="1356" spans="1:11" x14ac:dyDescent="0.35">
      <c r="A1356" t="s">
        <v>1796</v>
      </c>
      <c r="B1356">
        <v>2025</v>
      </c>
      <c r="C1356" t="s">
        <v>284</v>
      </c>
      <c r="D1356" t="s">
        <v>85</v>
      </c>
      <c r="E1356" t="s">
        <v>120</v>
      </c>
      <c r="F1356" t="s">
        <v>131</v>
      </c>
      <c r="G1356" t="s">
        <v>126</v>
      </c>
      <c r="H1356" t="s">
        <v>305</v>
      </c>
      <c r="I1356" t="s">
        <v>337</v>
      </c>
      <c r="J1356" t="s">
        <v>403</v>
      </c>
      <c r="K1356" t="s">
        <v>57</v>
      </c>
    </row>
    <row r="1357" spans="1:11" x14ac:dyDescent="0.35">
      <c r="A1357" t="s">
        <v>1797</v>
      </c>
      <c r="B1357">
        <v>2025</v>
      </c>
      <c r="C1357" t="s">
        <v>284</v>
      </c>
      <c r="D1357" t="s">
        <v>76</v>
      </c>
      <c r="E1357" t="s">
        <v>119</v>
      </c>
      <c r="F1357" t="s">
        <v>127</v>
      </c>
      <c r="G1357" t="s">
        <v>128</v>
      </c>
      <c r="H1357" t="s">
        <v>285</v>
      </c>
      <c r="I1357" t="s">
        <v>499</v>
      </c>
      <c r="J1357" t="s">
        <v>405</v>
      </c>
      <c r="K1357" t="s">
        <v>57</v>
      </c>
    </row>
    <row r="1358" spans="1:11" x14ac:dyDescent="0.35">
      <c r="A1358" t="s">
        <v>1798</v>
      </c>
      <c r="B1358">
        <v>2025</v>
      </c>
      <c r="C1358" t="s">
        <v>284</v>
      </c>
      <c r="D1358" t="s">
        <v>76</v>
      </c>
      <c r="E1358" t="s">
        <v>110</v>
      </c>
      <c r="F1358" t="s">
        <v>125</v>
      </c>
      <c r="G1358" t="s">
        <v>126</v>
      </c>
      <c r="H1358" t="s">
        <v>285</v>
      </c>
      <c r="I1358" t="s">
        <v>77</v>
      </c>
      <c r="J1358" t="s">
        <v>286</v>
      </c>
      <c r="K1358" t="s">
        <v>57</v>
      </c>
    </row>
    <row r="1359" spans="1:11" x14ac:dyDescent="0.35">
      <c r="A1359" t="s">
        <v>1799</v>
      </c>
      <c r="B1359">
        <v>2025</v>
      </c>
      <c r="C1359" t="s">
        <v>284</v>
      </c>
      <c r="D1359" t="s">
        <v>85</v>
      </c>
      <c r="E1359" t="s">
        <v>116</v>
      </c>
      <c r="F1359" t="s">
        <v>127</v>
      </c>
      <c r="G1359" t="s">
        <v>126</v>
      </c>
      <c r="H1359" t="s">
        <v>285</v>
      </c>
      <c r="I1359" t="s">
        <v>77</v>
      </c>
      <c r="J1359" t="s">
        <v>286</v>
      </c>
      <c r="K1359" t="s">
        <v>57</v>
      </c>
    </row>
    <row r="1360" spans="1:11" x14ac:dyDescent="0.35">
      <c r="A1360" t="s">
        <v>1800</v>
      </c>
      <c r="B1360">
        <v>2025</v>
      </c>
      <c r="C1360" t="s">
        <v>284</v>
      </c>
      <c r="D1360" t="s">
        <v>85</v>
      </c>
      <c r="E1360" t="s">
        <v>117</v>
      </c>
      <c r="F1360" t="s">
        <v>129</v>
      </c>
      <c r="G1360" t="s">
        <v>128</v>
      </c>
      <c r="H1360" t="s">
        <v>285</v>
      </c>
      <c r="I1360" t="s">
        <v>289</v>
      </c>
      <c r="J1360" t="s">
        <v>295</v>
      </c>
      <c r="K1360" t="s">
        <v>57</v>
      </c>
    </row>
    <row r="1361" spans="1:11" x14ac:dyDescent="0.35">
      <c r="A1361" t="s">
        <v>1801</v>
      </c>
      <c r="B1361">
        <v>2025</v>
      </c>
      <c r="C1361" t="s">
        <v>284</v>
      </c>
      <c r="D1361" t="s">
        <v>85</v>
      </c>
      <c r="E1361" t="s">
        <v>116</v>
      </c>
      <c r="F1361" t="s">
        <v>129</v>
      </c>
      <c r="G1361" t="s">
        <v>128</v>
      </c>
      <c r="H1361" t="s">
        <v>285</v>
      </c>
      <c r="I1361" t="s">
        <v>289</v>
      </c>
      <c r="J1361" t="s">
        <v>326</v>
      </c>
      <c r="K1361" t="s">
        <v>57</v>
      </c>
    </row>
    <row r="1362" spans="1:11" x14ac:dyDescent="0.35">
      <c r="A1362" t="s">
        <v>1802</v>
      </c>
      <c r="B1362">
        <v>2025</v>
      </c>
      <c r="C1362" t="s">
        <v>284</v>
      </c>
      <c r="D1362" t="s">
        <v>85</v>
      </c>
      <c r="E1362" t="s">
        <v>117</v>
      </c>
      <c r="F1362" t="s">
        <v>129</v>
      </c>
      <c r="G1362" t="s">
        <v>130</v>
      </c>
      <c r="H1362" t="s">
        <v>305</v>
      </c>
      <c r="I1362" t="s">
        <v>289</v>
      </c>
      <c r="J1362" t="s">
        <v>295</v>
      </c>
      <c r="K1362" t="s">
        <v>57</v>
      </c>
    </row>
    <row r="1363" spans="1:11" x14ac:dyDescent="0.35">
      <c r="A1363" t="s">
        <v>1803</v>
      </c>
      <c r="B1363">
        <v>2025</v>
      </c>
      <c r="C1363" t="s">
        <v>284</v>
      </c>
      <c r="D1363" t="s">
        <v>76</v>
      </c>
      <c r="E1363" t="s">
        <v>118</v>
      </c>
      <c r="F1363" t="s">
        <v>125</v>
      </c>
      <c r="G1363" t="s">
        <v>128</v>
      </c>
      <c r="H1363" t="s">
        <v>285</v>
      </c>
      <c r="I1363" t="s">
        <v>86</v>
      </c>
      <c r="J1363" t="s">
        <v>308</v>
      </c>
      <c r="K1363" t="s">
        <v>42</v>
      </c>
    </row>
    <row r="1364" spans="1:11" x14ac:dyDescent="0.35">
      <c r="A1364" t="s">
        <v>1804</v>
      </c>
      <c r="B1364">
        <v>2025</v>
      </c>
      <c r="C1364" t="s">
        <v>284</v>
      </c>
      <c r="D1364" t="s">
        <v>85</v>
      </c>
      <c r="E1364" t="s">
        <v>117</v>
      </c>
      <c r="F1364" t="s">
        <v>129</v>
      </c>
      <c r="G1364" t="s">
        <v>130</v>
      </c>
      <c r="H1364" t="s">
        <v>285</v>
      </c>
      <c r="I1364" t="s">
        <v>289</v>
      </c>
      <c r="J1364" t="s">
        <v>464</v>
      </c>
      <c r="K1364" t="s">
        <v>42</v>
      </c>
    </row>
    <row r="1365" spans="1:11" x14ac:dyDescent="0.35">
      <c r="A1365" t="s">
        <v>1805</v>
      </c>
      <c r="B1365">
        <v>2025</v>
      </c>
      <c r="C1365" t="s">
        <v>284</v>
      </c>
      <c r="D1365" t="s">
        <v>85</v>
      </c>
      <c r="E1365" t="s">
        <v>117</v>
      </c>
      <c r="F1365" t="s">
        <v>129</v>
      </c>
      <c r="G1365" t="s">
        <v>130</v>
      </c>
      <c r="H1365" t="s">
        <v>285</v>
      </c>
      <c r="I1365" t="s">
        <v>1806</v>
      </c>
      <c r="J1365" t="s">
        <v>1807</v>
      </c>
      <c r="K1365" t="s">
        <v>42</v>
      </c>
    </row>
    <row r="1366" spans="1:11" x14ac:dyDescent="0.35">
      <c r="A1366" t="s">
        <v>1808</v>
      </c>
      <c r="B1366">
        <v>2025</v>
      </c>
      <c r="C1366" t="s">
        <v>284</v>
      </c>
      <c r="D1366" t="s">
        <v>85</v>
      </c>
      <c r="E1366" t="s">
        <v>120</v>
      </c>
      <c r="F1366" t="s">
        <v>134</v>
      </c>
      <c r="G1366" t="s">
        <v>130</v>
      </c>
      <c r="H1366" t="s">
        <v>305</v>
      </c>
      <c r="I1366" t="s">
        <v>77</v>
      </c>
      <c r="J1366" t="s">
        <v>286</v>
      </c>
      <c r="K1366" t="s">
        <v>57</v>
      </c>
    </row>
    <row r="1367" spans="1:11" x14ac:dyDescent="0.35">
      <c r="A1367" t="s">
        <v>1809</v>
      </c>
      <c r="B1367">
        <v>2025</v>
      </c>
      <c r="C1367" t="s">
        <v>284</v>
      </c>
      <c r="D1367" t="s">
        <v>76</v>
      </c>
      <c r="E1367" t="s">
        <v>115</v>
      </c>
      <c r="F1367" t="s">
        <v>125</v>
      </c>
      <c r="G1367" t="s">
        <v>130</v>
      </c>
      <c r="H1367" t="s">
        <v>285</v>
      </c>
      <c r="I1367" t="s">
        <v>288</v>
      </c>
      <c r="J1367" t="s">
        <v>286</v>
      </c>
      <c r="K1367" t="s">
        <v>57</v>
      </c>
    </row>
    <row r="1368" spans="1:11" x14ac:dyDescent="0.35">
      <c r="A1368" t="s">
        <v>1810</v>
      </c>
      <c r="B1368">
        <v>2025</v>
      </c>
      <c r="C1368" t="s">
        <v>284</v>
      </c>
      <c r="D1368" t="s">
        <v>85</v>
      </c>
      <c r="E1368" t="s">
        <v>117</v>
      </c>
      <c r="F1368" t="s">
        <v>131</v>
      </c>
      <c r="G1368" t="s">
        <v>130</v>
      </c>
      <c r="H1368" t="s">
        <v>305</v>
      </c>
      <c r="I1368" t="s">
        <v>289</v>
      </c>
      <c r="J1368" t="s">
        <v>1811</v>
      </c>
      <c r="K1368" t="s">
        <v>42</v>
      </c>
    </row>
    <row r="1369" spans="1:11" x14ac:dyDescent="0.35">
      <c r="A1369" t="s">
        <v>1812</v>
      </c>
      <c r="B1369">
        <v>2025</v>
      </c>
      <c r="C1369" t="s">
        <v>284</v>
      </c>
      <c r="D1369" t="s">
        <v>85</v>
      </c>
      <c r="E1369" t="s">
        <v>120</v>
      </c>
      <c r="F1369" t="s">
        <v>127</v>
      </c>
      <c r="G1369" t="s">
        <v>130</v>
      </c>
      <c r="H1369" t="s">
        <v>305</v>
      </c>
      <c r="I1369" t="s">
        <v>86</v>
      </c>
      <c r="J1369" t="s">
        <v>286</v>
      </c>
      <c r="K1369" t="s">
        <v>57</v>
      </c>
    </row>
    <row r="1370" spans="1:11" x14ac:dyDescent="0.35">
      <c r="A1370" t="s">
        <v>1813</v>
      </c>
      <c r="B1370">
        <v>2025</v>
      </c>
      <c r="C1370" t="s">
        <v>284</v>
      </c>
      <c r="D1370" t="s">
        <v>85</v>
      </c>
      <c r="E1370" t="s">
        <v>120</v>
      </c>
      <c r="F1370" t="s">
        <v>131</v>
      </c>
      <c r="G1370" t="s">
        <v>126</v>
      </c>
      <c r="H1370" t="s">
        <v>305</v>
      </c>
      <c r="I1370" t="s">
        <v>77</v>
      </c>
      <c r="J1370" t="s">
        <v>286</v>
      </c>
      <c r="K1370" t="s">
        <v>57</v>
      </c>
    </row>
    <row r="1371" spans="1:11" x14ac:dyDescent="0.35">
      <c r="A1371" t="s">
        <v>1814</v>
      </c>
      <c r="B1371">
        <v>2025</v>
      </c>
      <c r="C1371" t="s">
        <v>284</v>
      </c>
      <c r="D1371" t="s">
        <v>85</v>
      </c>
      <c r="E1371" t="s">
        <v>117</v>
      </c>
      <c r="F1371" t="s">
        <v>129</v>
      </c>
      <c r="G1371" t="s">
        <v>130</v>
      </c>
      <c r="H1371" t="s">
        <v>285</v>
      </c>
      <c r="I1371" t="s">
        <v>289</v>
      </c>
      <c r="J1371" t="s">
        <v>317</v>
      </c>
      <c r="K1371" t="s">
        <v>57</v>
      </c>
    </row>
    <row r="1372" spans="1:11" x14ac:dyDescent="0.35">
      <c r="A1372" t="s">
        <v>1815</v>
      </c>
      <c r="B1372">
        <v>2025</v>
      </c>
      <c r="C1372" t="s">
        <v>284</v>
      </c>
      <c r="D1372" t="s">
        <v>85</v>
      </c>
      <c r="E1372" t="s">
        <v>117</v>
      </c>
      <c r="F1372" t="s">
        <v>129</v>
      </c>
      <c r="G1372" t="s">
        <v>130</v>
      </c>
      <c r="H1372" t="s">
        <v>285</v>
      </c>
      <c r="I1372" t="s">
        <v>289</v>
      </c>
      <c r="J1372" t="s">
        <v>317</v>
      </c>
      <c r="K1372" t="s">
        <v>57</v>
      </c>
    </row>
    <row r="1373" spans="1:11" x14ac:dyDescent="0.35">
      <c r="A1373" t="s">
        <v>1816</v>
      </c>
      <c r="B1373">
        <v>2025</v>
      </c>
      <c r="C1373" t="s">
        <v>284</v>
      </c>
      <c r="D1373" t="s">
        <v>85</v>
      </c>
      <c r="E1373" t="s">
        <v>117</v>
      </c>
      <c r="F1373" t="s">
        <v>129</v>
      </c>
      <c r="G1373" t="s">
        <v>130</v>
      </c>
      <c r="H1373" t="s">
        <v>305</v>
      </c>
      <c r="I1373" t="s">
        <v>86</v>
      </c>
      <c r="J1373" t="s">
        <v>317</v>
      </c>
      <c r="K1373" t="s">
        <v>57</v>
      </c>
    </row>
    <row r="1374" spans="1:11" x14ac:dyDescent="0.35">
      <c r="A1374" t="s">
        <v>1817</v>
      </c>
      <c r="B1374">
        <v>2025</v>
      </c>
      <c r="C1374" t="s">
        <v>284</v>
      </c>
      <c r="D1374" t="s">
        <v>85</v>
      </c>
      <c r="E1374" t="s">
        <v>120</v>
      </c>
      <c r="F1374" t="s">
        <v>129</v>
      </c>
      <c r="G1374" t="s">
        <v>128</v>
      </c>
      <c r="H1374" t="s">
        <v>305</v>
      </c>
      <c r="I1374" t="s">
        <v>407</v>
      </c>
      <c r="J1374" t="s">
        <v>532</v>
      </c>
      <c r="K1374" t="s">
        <v>57</v>
      </c>
    </row>
    <row r="1375" spans="1:11" x14ac:dyDescent="0.35">
      <c r="A1375" t="s">
        <v>1818</v>
      </c>
      <c r="B1375">
        <v>2025</v>
      </c>
      <c r="C1375" t="s">
        <v>284</v>
      </c>
      <c r="D1375" t="s">
        <v>85</v>
      </c>
      <c r="E1375" t="s">
        <v>120</v>
      </c>
      <c r="F1375" t="s">
        <v>129</v>
      </c>
      <c r="G1375" t="s">
        <v>128</v>
      </c>
      <c r="H1375" t="s">
        <v>305</v>
      </c>
      <c r="I1375" t="s">
        <v>289</v>
      </c>
      <c r="J1375" t="s">
        <v>286</v>
      </c>
      <c r="K1375" t="s">
        <v>57</v>
      </c>
    </row>
    <row r="1376" spans="1:11" x14ac:dyDescent="0.35">
      <c r="A1376" t="s">
        <v>1819</v>
      </c>
      <c r="B1376">
        <v>2025</v>
      </c>
      <c r="C1376" t="s">
        <v>284</v>
      </c>
      <c r="D1376" t="s">
        <v>85</v>
      </c>
      <c r="E1376" t="s">
        <v>120</v>
      </c>
      <c r="F1376" t="s">
        <v>288</v>
      </c>
      <c r="G1376" t="s">
        <v>128</v>
      </c>
      <c r="H1376" t="s">
        <v>305</v>
      </c>
      <c r="I1376" t="s">
        <v>288</v>
      </c>
      <c r="J1376" t="s">
        <v>288</v>
      </c>
      <c r="K1376" t="s">
        <v>57</v>
      </c>
    </row>
    <row r="1377" spans="1:11" x14ac:dyDescent="0.35">
      <c r="A1377" t="s">
        <v>1820</v>
      </c>
      <c r="B1377">
        <v>2025</v>
      </c>
      <c r="C1377" t="s">
        <v>284</v>
      </c>
      <c r="D1377" t="s">
        <v>85</v>
      </c>
      <c r="E1377" t="s">
        <v>120</v>
      </c>
      <c r="F1377" t="s">
        <v>127</v>
      </c>
      <c r="G1377" t="s">
        <v>128</v>
      </c>
      <c r="H1377" t="s">
        <v>305</v>
      </c>
      <c r="I1377" t="s">
        <v>77</v>
      </c>
      <c r="J1377" t="s">
        <v>347</v>
      </c>
      <c r="K1377" t="s">
        <v>57</v>
      </c>
    </row>
    <row r="1378" spans="1:11" x14ac:dyDescent="0.35">
      <c r="A1378" t="s">
        <v>1821</v>
      </c>
      <c r="B1378">
        <v>2025</v>
      </c>
      <c r="C1378" t="s">
        <v>284</v>
      </c>
      <c r="D1378" t="s">
        <v>76</v>
      </c>
      <c r="E1378" t="s">
        <v>119</v>
      </c>
      <c r="F1378" t="s">
        <v>125</v>
      </c>
      <c r="G1378" t="s">
        <v>126</v>
      </c>
      <c r="H1378" t="s">
        <v>305</v>
      </c>
      <c r="I1378" t="s">
        <v>289</v>
      </c>
      <c r="J1378" t="s">
        <v>286</v>
      </c>
      <c r="K1378" t="s">
        <v>57</v>
      </c>
    </row>
    <row r="1379" spans="1:11" x14ac:dyDescent="0.35">
      <c r="A1379" t="s">
        <v>1822</v>
      </c>
      <c r="B1379">
        <v>2025</v>
      </c>
      <c r="C1379" t="s">
        <v>284</v>
      </c>
      <c r="D1379" t="s">
        <v>85</v>
      </c>
      <c r="E1379" t="s">
        <v>120</v>
      </c>
      <c r="F1379" t="s">
        <v>129</v>
      </c>
      <c r="G1379" t="s">
        <v>128</v>
      </c>
      <c r="H1379" t="s">
        <v>285</v>
      </c>
      <c r="I1379" t="s">
        <v>288</v>
      </c>
      <c r="J1379" t="s">
        <v>288</v>
      </c>
      <c r="K1379" t="s">
        <v>57</v>
      </c>
    </row>
    <row r="1380" spans="1:11" x14ac:dyDescent="0.35">
      <c r="A1380" t="s">
        <v>1823</v>
      </c>
      <c r="B1380">
        <v>2025</v>
      </c>
      <c r="C1380" t="s">
        <v>284</v>
      </c>
      <c r="D1380" t="s">
        <v>85</v>
      </c>
      <c r="E1380" t="s">
        <v>120</v>
      </c>
      <c r="F1380" t="s">
        <v>129</v>
      </c>
      <c r="G1380" t="s">
        <v>128</v>
      </c>
      <c r="H1380" t="s">
        <v>285</v>
      </c>
      <c r="I1380" t="s">
        <v>86</v>
      </c>
      <c r="J1380" t="s">
        <v>317</v>
      </c>
      <c r="K1380" t="s">
        <v>57</v>
      </c>
    </row>
    <row r="1381" spans="1:11" x14ac:dyDescent="0.35">
      <c r="A1381" t="s">
        <v>1824</v>
      </c>
      <c r="B1381">
        <v>2025</v>
      </c>
      <c r="C1381" t="s">
        <v>284</v>
      </c>
      <c r="D1381" t="s">
        <v>85</v>
      </c>
      <c r="E1381" t="s">
        <v>120</v>
      </c>
      <c r="F1381" t="s">
        <v>129</v>
      </c>
      <c r="G1381" t="s">
        <v>128</v>
      </c>
      <c r="H1381" t="s">
        <v>285</v>
      </c>
      <c r="I1381" t="s">
        <v>289</v>
      </c>
      <c r="J1381" t="s">
        <v>317</v>
      </c>
      <c r="K1381" t="s">
        <v>57</v>
      </c>
    </row>
    <row r="1382" spans="1:11" x14ac:dyDescent="0.35">
      <c r="A1382" t="s">
        <v>1825</v>
      </c>
      <c r="B1382">
        <v>2025</v>
      </c>
      <c r="C1382" t="s">
        <v>284</v>
      </c>
      <c r="D1382" t="s">
        <v>76</v>
      </c>
      <c r="E1382" t="s">
        <v>115</v>
      </c>
      <c r="F1382" t="s">
        <v>125</v>
      </c>
      <c r="G1382" t="s">
        <v>126</v>
      </c>
      <c r="H1382" t="s">
        <v>285</v>
      </c>
      <c r="I1382" t="s">
        <v>77</v>
      </c>
      <c r="J1382" t="s">
        <v>286</v>
      </c>
      <c r="K1382" t="s">
        <v>57</v>
      </c>
    </row>
    <row r="1383" spans="1:11" x14ac:dyDescent="0.35">
      <c r="A1383" t="s">
        <v>1826</v>
      </c>
      <c r="B1383">
        <v>2025</v>
      </c>
      <c r="C1383" t="s">
        <v>284</v>
      </c>
      <c r="D1383" t="s">
        <v>85</v>
      </c>
      <c r="E1383" t="s">
        <v>120</v>
      </c>
      <c r="F1383" t="s">
        <v>288</v>
      </c>
      <c r="G1383" t="s">
        <v>130</v>
      </c>
      <c r="H1383" t="s">
        <v>305</v>
      </c>
      <c r="I1383" t="s">
        <v>86</v>
      </c>
      <c r="J1383" t="s">
        <v>286</v>
      </c>
      <c r="K1383" t="s">
        <v>57</v>
      </c>
    </row>
    <row r="1384" spans="1:11" x14ac:dyDescent="0.35">
      <c r="A1384" t="s">
        <v>1827</v>
      </c>
      <c r="B1384">
        <v>2025</v>
      </c>
      <c r="C1384" t="s">
        <v>284</v>
      </c>
      <c r="D1384" t="s">
        <v>76</v>
      </c>
      <c r="E1384" t="s">
        <v>115</v>
      </c>
      <c r="F1384" t="s">
        <v>125</v>
      </c>
      <c r="G1384" t="s">
        <v>128</v>
      </c>
      <c r="H1384" t="s">
        <v>357</v>
      </c>
      <c r="I1384" t="s">
        <v>288</v>
      </c>
      <c r="J1384" t="s">
        <v>286</v>
      </c>
      <c r="K1384" t="s">
        <v>57</v>
      </c>
    </row>
    <row r="1385" spans="1:11" x14ac:dyDescent="0.35">
      <c r="A1385" t="s">
        <v>1828</v>
      </c>
      <c r="B1385">
        <v>2025</v>
      </c>
      <c r="C1385" t="s">
        <v>284</v>
      </c>
      <c r="D1385" t="s">
        <v>85</v>
      </c>
      <c r="E1385" t="s">
        <v>120</v>
      </c>
      <c r="F1385" t="s">
        <v>288</v>
      </c>
      <c r="G1385" t="s">
        <v>126</v>
      </c>
      <c r="H1385" t="s">
        <v>285</v>
      </c>
      <c r="I1385" t="s">
        <v>288</v>
      </c>
      <c r="J1385" t="s">
        <v>288</v>
      </c>
      <c r="K1385" t="s">
        <v>57</v>
      </c>
    </row>
    <row r="1386" spans="1:11" x14ac:dyDescent="0.35">
      <c r="A1386" t="s">
        <v>1829</v>
      </c>
      <c r="B1386">
        <v>2025</v>
      </c>
      <c r="C1386" t="s">
        <v>284</v>
      </c>
      <c r="D1386" t="s">
        <v>85</v>
      </c>
      <c r="E1386" t="s">
        <v>120</v>
      </c>
      <c r="F1386" t="s">
        <v>127</v>
      </c>
      <c r="G1386" t="s">
        <v>126</v>
      </c>
      <c r="H1386" t="s">
        <v>285</v>
      </c>
      <c r="I1386" t="s">
        <v>86</v>
      </c>
      <c r="J1386" t="s">
        <v>571</v>
      </c>
      <c r="K1386" t="s">
        <v>42</v>
      </c>
    </row>
    <row r="1387" spans="1:11" x14ac:dyDescent="0.35">
      <c r="A1387" t="s">
        <v>1830</v>
      </c>
      <c r="B1387">
        <v>2025</v>
      </c>
      <c r="C1387" t="s">
        <v>284</v>
      </c>
      <c r="D1387" t="s">
        <v>85</v>
      </c>
      <c r="E1387" t="s">
        <v>120</v>
      </c>
      <c r="F1387" t="s">
        <v>129</v>
      </c>
      <c r="G1387" t="s">
        <v>128</v>
      </c>
      <c r="H1387" t="s">
        <v>305</v>
      </c>
      <c r="I1387" t="s">
        <v>77</v>
      </c>
      <c r="J1387" t="s">
        <v>317</v>
      </c>
      <c r="K1387" t="s">
        <v>57</v>
      </c>
    </row>
    <row r="1388" spans="1:11" x14ac:dyDescent="0.35">
      <c r="A1388" t="s">
        <v>1831</v>
      </c>
      <c r="B1388">
        <v>2025</v>
      </c>
      <c r="C1388" t="s">
        <v>284</v>
      </c>
      <c r="D1388" t="s">
        <v>85</v>
      </c>
      <c r="E1388" t="s">
        <v>120</v>
      </c>
      <c r="F1388" t="s">
        <v>127</v>
      </c>
      <c r="G1388" t="s">
        <v>126</v>
      </c>
      <c r="H1388" t="s">
        <v>285</v>
      </c>
      <c r="I1388" t="s">
        <v>86</v>
      </c>
      <c r="J1388" t="s">
        <v>286</v>
      </c>
      <c r="K1388" t="s">
        <v>57</v>
      </c>
    </row>
    <row r="1389" spans="1:11" x14ac:dyDescent="0.35">
      <c r="A1389" t="s">
        <v>1832</v>
      </c>
      <c r="B1389">
        <v>2025</v>
      </c>
      <c r="C1389" t="s">
        <v>284</v>
      </c>
      <c r="D1389" t="s">
        <v>85</v>
      </c>
      <c r="E1389" t="s">
        <v>116</v>
      </c>
      <c r="F1389" t="s">
        <v>127</v>
      </c>
      <c r="G1389" t="s">
        <v>132</v>
      </c>
      <c r="H1389" t="s">
        <v>305</v>
      </c>
      <c r="I1389" t="s">
        <v>86</v>
      </c>
      <c r="J1389" t="s">
        <v>405</v>
      </c>
      <c r="K1389" t="s">
        <v>57</v>
      </c>
    </row>
    <row r="1390" spans="1:11" x14ac:dyDescent="0.35">
      <c r="A1390" t="s">
        <v>1833</v>
      </c>
      <c r="B1390">
        <v>2025</v>
      </c>
      <c r="C1390" t="s">
        <v>284</v>
      </c>
      <c r="D1390" t="s">
        <v>85</v>
      </c>
      <c r="E1390" t="s">
        <v>120</v>
      </c>
      <c r="F1390" t="s">
        <v>131</v>
      </c>
      <c r="G1390" t="s">
        <v>128</v>
      </c>
      <c r="H1390" t="s">
        <v>285</v>
      </c>
      <c r="I1390" t="s">
        <v>337</v>
      </c>
      <c r="J1390" t="s">
        <v>326</v>
      </c>
      <c r="K1390" t="s">
        <v>57</v>
      </c>
    </row>
    <row r="1391" spans="1:11" x14ac:dyDescent="0.35">
      <c r="A1391" t="s">
        <v>1834</v>
      </c>
      <c r="B1391">
        <v>2025</v>
      </c>
      <c r="C1391" t="s">
        <v>284</v>
      </c>
      <c r="D1391" t="s">
        <v>85</v>
      </c>
      <c r="E1391" t="s">
        <v>120</v>
      </c>
      <c r="F1391" t="s">
        <v>131</v>
      </c>
      <c r="G1391" t="s">
        <v>126</v>
      </c>
      <c r="H1391" t="s">
        <v>285</v>
      </c>
      <c r="I1391" t="s">
        <v>288</v>
      </c>
      <c r="J1391" t="s">
        <v>288</v>
      </c>
      <c r="K1391" t="s">
        <v>57</v>
      </c>
    </row>
    <row r="1392" spans="1:11" x14ac:dyDescent="0.35">
      <c r="A1392" t="s">
        <v>1835</v>
      </c>
      <c r="B1392">
        <v>2025</v>
      </c>
      <c r="C1392" t="s">
        <v>284</v>
      </c>
      <c r="D1392" t="s">
        <v>85</v>
      </c>
      <c r="E1392" t="s">
        <v>120</v>
      </c>
      <c r="F1392" t="s">
        <v>129</v>
      </c>
      <c r="G1392" t="s">
        <v>126</v>
      </c>
      <c r="H1392" t="s">
        <v>285</v>
      </c>
      <c r="I1392" t="s">
        <v>86</v>
      </c>
      <c r="J1392" t="s">
        <v>317</v>
      </c>
      <c r="K1392" t="s">
        <v>57</v>
      </c>
    </row>
    <row r="1393" spans="1:11" x14ac:dyDescent="0.35">
      <c r="A1393" t="s">
        <v>1836</v>
      </c>
      <c r="B1393">
        <v>2025</v>
      </c>
      <c r="C1393" t="s">
        <v>284</v>
      </c>
      <c r="D1393" t="s">
        <v>85</v>
      </c>
      <c r="E1393" t="s">
        <v>116</v>
      </c>
      <c r="F1393" t="s">
        <v>288</v>
      </c>
      <c r="G1393" t="s">
        <v>130</v>
      </c>
      <c r="H1393" t="s">
        <v>285</v>
      </c>
      <c r="I1393" t="s">
        <v>289</v>
      </c>
      <c r="J1393" t="s">
        <v>326</v>
      </c>
      <c r="K1393" t="s">
        <v>57</v>
      </c>
    </row>
    <row r="1394" spans="1:11" x14ac:dyDescent="0.35">
      <c r="A1394" t="s">
        <v>1837</v>
      </c>
      <c r="B1394">
        <v>2025</v>
      </c>
      <c r="C1394" t="s">
        <v>284</v>
      </c>
      <c r="D1394" t="s">
        <v>85</v>
      </c>
      <c r="E1394" t="s">
        <v>120</v>
      </c>
      <c r="F1394" t="s">
        <v>133</v>
      </c>
      <c r="G1394" t="s">
        <v>128</v>
      </c>
      <c r="H1394" t="s">
        <v>305</v>
      </c>
      <c r="I1394" t="s">
        <v>289</v>
      </c>
      <c r="J1394" t="s">
        <v>317</v>
      </c>
      <c r="K1394" t="s">
        <v>57</v>
      </c>
    </row>
    <row r="1395" spans="1:11" x14ac:dyDescent="0.35">
      <c r="A1395" t="s">
        <v>1838</v>
      </c>
      <c r="B1395">
        <v>2025</v>
      </c>
      <c r="C1395" t="s">
        <v>284</v>
      </c>
      <c r="D1395" t="s">
        <v>76</v>
      </c>
      <c r="E1395" t="s">
        <v>107</v>
      </c>
      <c r="F1395" t="s">
        <v>127</v>
      </c>
      <c r="G1395" t="s">
        <v>128</v>
      </c>
      <c r="H1395" t="s">
        <v>285</v>
      </c>
      <c r="I1395" t="s">
        <v>86</v>
      </c>
      <c r="J1395" t="s">
        <v>286</v>
      </c>
      <c r="K1395" t="s">
        <v>57</v>
      </c>
    </row>
    <row r="1396" spans="1:11" x14ac:dyDescent="0.35">
      <c r="A1396" t="s">
        <v>1839</v>
      </c>
      <c r="B1396">
        <v>2025</v>
      </c>
      <c r="C1396" t="s">
        <v>284</v>
      </c>
      <c r="D1396" t="s">
        <v>76</v>
      </c>
      <c r="E1396" t="s">
        <v>109</v>
      </c>
      <c r="F1396" t="s">
        <v>125</v>
      </c>
      <c r="G1396" t="s">
        <v>126</v>
      </c>
      <c r="H1396" t="s">
        <v>285</v>
      </c>
      <c r="I1396" t="s">
        <v>77</v>
      </c>
      <c r="J1396" t="s">
        <v>286</v>
      </c>
      <c r="K1396" t="s">
        <v>57</v>
      </c>
    </row>
    <row r="1397" spans="1:11" x14ac:dyDescent="0.35">
      <c r="A1397" t="s">
        <v>1840</v>
      </c>
      <c r="B1397">
        <v>2025</v>
      </c>
      <c r="C1397" t="s">
        <v>284</v>
      </c>
      <c r="D1397" t="s">
        <v>85</v>
      </c>
      <c r="E1397" t="s">
        <v>117</v>
      </c>
      <c r="F1397" t="s">
        <v>133</v>
      </c>
      <c r="G1397" t="s">
        <v>128</v>
      </c>
      <c r="H1397" t="s">
        <v>285</v>
      </c>
      <c r="I1397" t="s">
        <v>337</v>
      </c>
      <c r="J1397" t="s">
        <v>1841</v>
      </c>
      <c r="K1397" t="s">
        <v>42</v>
      </c>
    </row>
    <row r="1398" spans="1:11" x14ac:dyDescent="0.35">
      <c r="A1398" t="s">
        <v>1842</v>
      </c>
      <c r="B1398">
        <v>2025</v>
      </c>
      <c r="C1398" t="s">
        <v>284</v>
      </c>
      <c r="D1398" t="s">
        <v>85</v>
      </c>
      <c r="E1398" t="s">
        <v>344</v>
      </c>
      <c r="F1398" t="s">
        <v>288</v>
      </c>
      <c r="G1398" t="s">
        <v>130</v>
      </c>
      <c r="H1398" t="s">
        <v>305</v>
      </c>
      <c r="I1398" t="s">
        <v>289</v>
      </c>
      <c r="J1398" t="s">
        <v>308</v>
      </c>
      <c r="K1398" t="s">
        <v>42</v>
      </c>
    </row>
    <row r="1399" spans="1:11" x14ac:dyDescent="0.35">
      <c r="A1399" t="s">
        <v>1843</v>
      </c>
      <c r="B1399">
        <v>2025</v>
      </c>
      <c r="C1399" t="s">
        <v>284</v>
      </c>
      <c r="D1399" t="s">
        <v>76</v>
      </c>
      <c r="E1399" t="s">
        <v>108</v>
      </c>
      <c r="F1399" t="s">
        <v>125</v>
      </c>
      <c r="G1399" t="s">
        <v>132</v>
      </c>
      <c r="H1399" t="s">
        <v>285</v>
      </c>
      <c r="I1399" t="s">
        <v>86</v>
      </c>
      <c r="J1399" t="s">
        <v>405</v>
      </c>
      <c r="K1399" t="s">
        <v>57</v>
      </c>
    </row>
    <row r="1400" spans="1:11" x14ac:dyDescent="0.35">
      <c r="A1400" t="s">
        <v>1844</v>
      </c>
      <c r="B1400">
        <v>2025</v>
      </c>
      <c r="C1400" t="s">
        <v>284</v>
      </c>
      <c r="D1400" t="s">
        <v>85</v>
      </c>
      <c r="E1400" t="s">
        <v>377</v>
      </c>
      <c r="F1400" t="s">
        <v>127</v>
      </c>
      <c r="G1400" t="s">
        <v>128</v>
      </c>
      <c r="H1400" t="s">
        <v>305</v>
      </c>
      <c r="I1400" t="s">
        <v>86</v>
      </c>
      <c r="J1400" t="s">
        <v>405</v>
      </c>
      <c r="K1400" t="s">
        <v>57</v>
      </c>
    </row>
    <row r="1401" spans="1:11" x14ac:dyDescent="0.35">
      <c r="A1401" t="s">
        <v>1845</v>
      </c>
      <c r="B1401">
        <v>2025</v>
      </c>
      <c r="C1401" t="s">
        <v>284</v>
      </c>
      <c r="D1401" t="s">
        <v>85</v>
      </c>
      <c r="E1401" t="s">
        <v>120</v>
      </c>
      <c r="F1401" t="s">
        <v>127</v>
      </c>
      <c r="G1401" t="s">
        <v>130</v>
      </c>
      <c r="H1401" t="s">
        <v>285</v>
      </c>
      <c r="I1401" t="s">
        <v>86</v>
      </c>
      <c r="J1401" t="s">
        <v>686</v>
      </c>
      <c r="K1401" t="s">
        <v>57</v>
      </c>
    </row>
    <row r="1402" spans="1:11" x14ac:dyDescent="0.35">
      <c r="A1402" t="s">
        <v>1846</v>
      </c>
      <c r="B1402">
        <v>2025</v>
      </c>
      <c r="C1402" t="s">
        <v>284</v>
      </c>
      <c r="D1402" t="s">
        <v>85</v>
      </c>
      <c r="E1402" t="s">
        <v>120</v>
      </c>
      <c r="F1402" t="s">
        <v>133</v>
      </c>
      <c r="G1402" t="s">
        <v>130</v>
      </c>
      <c r="H1402" t="s">
        <v>305</v>
      </c>
      <c r="I1402" t="s">
        <v>535</v>
      </c>
      <c r="J1402" t="s">
        <v>286</v>
      </c>
      <c r="K1402" t="s">
        <v>57</v>
      </c>
    </row>
    <row r="1403" spans="1:11" x14ac:dyDescent="0.35">
      <c r="A1403" t="s">
        <v>1847</v>
      </c>
      <c r="B1403">
        <v>2025</v>
      </c>
      <c r="C1403" t="s">
        <v>284</v>
      </c>
      <c r="D1403" t="s">
        <v>85</v>
      </c>
      <c r="E1403" t="s">
        <v>120</v>
      </c>
      <c r="F1403" t="s">
        <v>127</v>
      </c>
      <c r="G1403" t="s">
        <v>130</v>
      </c>
      <c r="H1403" t="s">
        <v>305</v>
      </c>
      <c r="I1403" t="s">
        <v>77</v>
      </c>
      <c r="J1403" t="s">
        <v>326</v>
      </c>
      <c r="K1403" t="s">
        <v>57</v>
      </c>
    </row>
    <row r="1404" spans="1:11" x14ac:dyDescent="0.35">
      <c r="A1404" t="s">
        <v>1848</v>
      </c>
      <c r="B1404">
        <v>2025</v>
      </c>
      <c r="C1404" t="s">
        <v>284</v>
      </c>
      <c r="D1404" t="s">
        <v>85</v>
      </c>
      <c r="E1404" t="s">
        <v>116</v>
      </c>
      <c r="F1404" t="s">
        <v>125</v>
      </c>
      <c r="G1404" t="s">
        <v>126</v>
      </c>
      <c r="H1404" t="s">
        <v>285</v>
      </c>
      <c r="I1404" t="s">
        <v>289</v>
      </c>
      <c r="J1404" t="s">
        <v>288</v>
      </c>
      <c r="K1404" t="s">
        <v>57</v>
      </c>
    </row>
    <row r="1405" spans="1:11" x14ac:dyDescent="0.35">
      <c r="A1405" t="s">
        <v>1849</v>
      </c>
      <c r="B1405">
        <v>2025</v>
      </c>
      <c r="C1405" t="s">
        <v>284</v>
      </c>
      <c r="D1405" t="s">
        <v>85</v>
      </c>
      <c r="E1405" t="s">
        <v>116</v>
      </c>
      <c r="F1405" t="s">
        <v>288</v>
      </c>
      <c r="G1405" t="s">
        <v>130</v>
      </c>
      <c r="H1405" t="s">
        <v>285</v>
      </c>
      <c r="I1405" t="s">
        <v>86</v>
      </c>
      <c r="J1405" t="s">
        <v>286</v>
      </c>
      <c r="K1405" t="s">
        <v>57</v>
      </c>
    </row>
    <row r="1406" spans="1:11" x14ac:dyDescent="0.35">
      <c r="A1406" t="s">
        <v>1850</v>
      </c>
      <c r="B1406">
        <v>2025</v>
      </c>
      <c r="C1406" t="s">
        <v>284</v>
      </c>
      <c r="D1406" t="s">
        <v>76</v>
      </c>
      <c r="E1406" t="s">
        <v>115</v>
      </c>
      <c r="F1406" t="s">
        <v>131</v>
      </c>
      <c r="G1406" t="s">
        <v>132</v>
      </c>
      <c r="H1406" t="s">
        <v>285</v>
      </c>
      <c r="I1406" t="s">
        <v>77</v>
      </c>
      <c r="J1406" t="s">
        <v>286</v>
      </c>
      <c r="K1406" t="s">
        <v>57</v>
      </c>
    </row>
    <row r="1407" spans="1:11" x14ac:dyDescent="0.35">
      <c r="A1407" t="s">
        <v>1851</v>
      </c>
      <c r="B1407">
        <v>2025</v>
      </c>
      <c r="C1407" t="s">
        <v>284</v>
      </c>
      <c r="D1407" t="s">
        <v>85</v>
      </c>
      <c r="E1407" t="s">
        <v>120</v>
      </c>
      <c r="F1407" t="s">
        <v>131</v>
      </c>
      <c r="G1407" t="s">
        <v>130</v>
      </c>
      <c r="H1407" t="s">
        <v>285</v>
      </c>
      <c r="I1407" t="s">
        <v>86</v>
      </c>
      <c r="J1407" t="s">
        <v>286</v>
      </c>
      <c r="K1407" t="s">
        <v>57</v>
      </c>
    </row>
    <row r="1408" spans="1:11" x14ac:dyDescent="0.35">
      <c r="A1408" t="s">
        <v>1852</v>
      </c>
      <c r="B1408">
        <v>2025</v>
      </c>
      <c r="C1408" t="s">
        <v>284</v>
      </c>
      <c r="D1408" t="s">
        <v>76</v>
      </c>
      <c r="E1408" t="s">
        <v>107</v>
      </c>
      <c r="F1408" t="s">
        <v>125</v>
      </c>
      <c r="G1408" t="s">
        <v>128</v>
      </c>
      <c r="H1408" t="s">
        <v>285</v>
      </c>
      <c r="I1408" t="s">
        <v>77</v>
      </c>
      <c r="J1408" t="s">
        <v>286</v>
      </c>
      <c r="K1408" t="s">
        <v>57</v>
      </c>
    </row>
    <row r="1409" spans="1:11" x14ac:dyDescent="0.35">
      <c r="A1409" t="s">
        <v>1853</v>
      </c>
      <c r="B1409">
        <v>2025</v>
      </c>
      <c r="C1409" t="s">
        <v>284</v>
      </c>
      <c r="D1409" t="s">
        <v>85</v>
      </c>
      <c r="E1409" t="s">
        <v>344</v>
      </c>
      <c r="F1409" t="s">
        <v>129</v>
      </c>
      <c r="G1409" t="s">
        <v>128</v>
      </c>
      <c r="H1409" t="s">
        <v>305</v>
      </c>
      <c r="I1409" t="s">
        <v>86</v>
      </c>
      <c r="J1409" t="s">
        <v>317</v>
      </c>
      <c r="K1409" t="s">
        <v>57</v>
      </c>
    </row>
    <row r="1410" spans="1:11" x14ac:dyDescent="0.35">
      <c r="A1410" t="s">
        <v>1854</v>
      </c>
      <c r="B1410">
        <v>2025</v>
      </c>
      <c r="C1410" t="s">
        <v>284</v>
      </c>
      <c r="D1410" t="s">
        <v>85</v>
      </c>
      <c r="E1410" t="s">
        <v>116</v>
      </c>
      <c r="F1410" t="s">
        <v>131</v>
      </c>
      <c r="G1410" t="s">
        <v>130</v>
      </c>
      <c r="H1410" t="s">
        <v>285</v>
      </c>
      <c r="I1410" t="s">
        <v>77</v>
      </c>
      <c r="J1410" t="s">
        <v>286</v>
      </c>
      <c r="K1410" t="s">
        <v>57</v>
      </c>
    </row>
    <row r="1411" spans="1:11" x14ac:dyDescent="0.35">
      <c r="A1411" t="s">
        <v>1855</v>
      </c>
      <c r="B1411">
        <v>2025</v>
      </c>
      <c r="C1411" t="s">
        <v>284</v>
      </c>
      <c r="D1411" t="s">
        <v>85</v>
      </c>
      <c r="E1411" t="s">
        <v>116</v>
      </c>
      <c r="F1411" t="s">
        <v>131</v>
      </c>
      <c r="G1411" t="s">
        <v>128</v>
      </c>
      <c r="H1411" t="s">
        <v>285</v>
      </c>
      <c r="I1411" t="s">
        <v>289</v>
      </c>
      <c r="J1411" t="s">
        <v>286</v>
      </c>
      <c r="K1411" t="s">
        <v>57</v>
      </c>
    </row>
    <row r="1412" spans="1:11" x14ac:dyDescent="0.35">
      <c r="A1412" t="s">
        <v>1856</v>
      </c>
      <c r="B1412">
        <v>2025</v>
      </c>
      <c r="C1412" t="s">
        <v>284</v>
      </c>
      <c r="D1412" t="s">
        <v>76</v>
      </c>
      <c r="E1412" t="s">
        <v>119</v>
      </c>
      <c r="F1412" t="s">
        <v>125</v>
      </c>
      <c r="G1412" t="s">
        <v>132</v>
      </c>
      <c r="H1412" t="s">
        <v>285</v>
      </c>
      <c r="I1412" t="s">
        <v>86</v>
      </c>
      <c r="J1412" t="s">
        <v>405</v>
      </c>
      <c r="K1412" t="s">
        <v>57</v>
      </c>
    </row>
    <row r="1413" spans="1:11" x14ac:dyDescent="0.35">
      <c r="A1413" t="s">
        <v>1857</v>
      </c>
      <c r="B1413">
        <v>2025</v>
      </c>
      <c r="C1413" t="s">
        <v>284</v>
      </c>
      <c r="D1413" t="s">
        <v>85</v>
      </c>
      <c r="E1413" t="s">
        <v>116</v>
      </c>
      <c r="F1413" t="s">
        <v>288</v>
      </c>
      <c r="G1413" t="s">
        <v>128</v>
      </c>
      <c r="H1413" t="s">
        <v>285</v>
      </c>
      <c r="I1413" t="s">
        <v>289</v>
      </c>
      <c r="J1413" t="s">
        <v>686</v>
      </c>
      <c r="K1413" t="s">
        <v>57</v>
      </c>
    </row>
    <row r="1414" spans="1:11" x14ac:dyDescent="0.35">
      <c r="A1414" t="s">
        <v>1858</v>
      </c>
      <c r="B1414">
        <v>2025</v>
      </c>
      <c r="C1414" t="s">
        <v>284</v>
      </c>
      <c r="D1414" t="s">
        <v>85</v>
      </c>
      <c r="E1414" t="s">
        <v>116</v>
      </c>
      <c r="F1414" t="s">
        <v>131</v>
      </c>
      <c r="G1414" t="s">
        <v>128</v>
      </c>
      <c r="H1414" t="s">
        <v>305</v>
      </c>
      <c r="I1414" t="s">
        <v>407</v>
      </c>
      <c r="J1414" t="s">
        <v>286</v>
      </c>
      <c r="K1414" t="s">
        <v>57</v>
      </c>
    </row>
    <row r="1415" spans="1:11" x14ac:dyDescent="0.35">
      <c r="A1415" t="s">
        <v>1859</v>
      </c>
      <c r="B1415">
        <v>2025</v>
      </c>
      <c r="C1415" t="s">
        <v>284</v>
      </c>
      <c r="D1415" t="s">
        <v>85</v>
      </c>
      <c r="E1415" t="s">
        <v>116</v>
      </c>
      <c r="F1415" t="s">
        <v>129</v>
      </c>
      <c r="G1415" t="s">
        <v>132</v>
      </c>
      <c r="H1415" t="s">
        <v>285</v>
      </c>
      <c r="I1415" t="s">
        <v>86</v>
      </c>
      <c r="J1415" t="s">
        <v>286</v>
      </c>
      <c r="K1415" t="s">
        <v>57</v>
      </c>
    </row>
    <row r="1416" spans="1:11" x14ac:dyDescent="0.35">
      <c r="A1416" t="s">
        <v>1860</v>
      </c>
      <c r="B1416">
        <v>2025</v>
      </c>
      <c r="C1416" t="s">
        <v>284</v>
      </c>
      <c r="D1416" t="s">
        <v>76</v>
      </c>
      <c r="E1416" t="s">
        <v>119</v>
      </c>
      <c r="F1416" t="s">
        <v>125</v>
      </c>
      <c r="G1416" t="s">
        <v>130</v>
      </c>
      <c r="H1416" t="s">
        <v>285</v>
      </c>
      <c r="I1416" t="s">
        <v>86</v>
      </c>
      <c r="J1416" t="s">
        <v>286</v>
      </c>
      <c r="K1416" t="s">
        <v>57</v>
      </c>
    </row>
    <row r="1417" spans="1:11" x14ac:dyDescent="0.35">
      <c r="A1417" t="s">
        <v>1861</v>
      </c>
      <c r="B1417">
        <v>2025</v>
      </c>
      <c r="C1417" t="s">
        <v>284</v>
      </c>
      <c r="D1417" t="s">
        <v>85</v>
      </c>
      <c r="E1417" t="s">
        <v>116</v>
      </c>
      <c r="F1417" t="s">
        <v>129</v>
      </c>
      <c r="G1417" t="s">
        <v>128</v>
      </c>
      <c r="H1417" t="s">
        <v>285</v>
      </c>
      <c r="I1417" t="s">
        <v>289</v>
      </c>
      <c r="J1417" t="s">
        <v>286</v>
      </c>
      <c r="K1417" t="s">
        <v>57</v>
      </c>
    </row>
    <row r="1418" spans="1:11" x14ac:dyDescent="0.35">
      <c r="A1418" t="s">
        <v>1862</v>
      </c>
      <c r="B1418">
        <v>2025</v>
      </c>
      <c r="C1418" t="s">
        <v>284</v>
      </c>
      <c r="D1418" t="s">
        <v>85</v>
      </c>
      <c r="E1418" t="s">
        <v>116</v>
      </c>
      <c r="F1418" t="s">
        <v>125</v>
      </c>
      <c r="G1418" t="s">
        <v>126</v>
      </c>
      <c r="H1418" t="s">
        <v>285</v>
      </c>
      <c r="I1418" t="s">
        <v>86</v>
      </c>
      <c r="J1418" t="s">
        <v>347</v>
      </c>
      <c r="K1418" t="s">
        <v>57</v>
      </c>
    </row>
    <row r="1419" spans="1:11" x14ac:dyDescent="0.35">
      <c r="A1419" t="s">
        <v>1863</v>
      </c>
      <c r="B1419">
        <v>2025</v>
      </c>
      <c r="C1419" t="s">
        <v>284</v>
      </c>
      <c r="D1419" t="s">
        <v>85</v>
      </c>
      <c r="E1419" t="s">
        <v>117</v>
      </c>
      <c r="F1419" t="s">
        <v>127</v>
      </c>
      <c r="G1419" t="s">
        <v>128</v>
      </c>
      <c r="H1419" t="s">
        <v>305</v>
      </c>
      <c r="I1419" t="s">
        <v>337</v>
      </c>
      <c r="J1419" t="s">
        <v>286</v>
      </c>
      <c r="K1419" t="s">
        <v>57</v>
      </c>
    </row>
    <row r="1420" spans="1:11" x14ac:dyDescent="0.35">
      <c r="A1420" t="s">
        <v>1864</v>
      </c>
      <c r="B1420">
        <v>2025</v>
      </c>
      <c r="C1420" t="s">
        <v>284</v>
      </c>
      <c r="D1420" t="s">
        <v>85</v>
      </c>
      <c r="E1420" t="s">
        <v>120</v>
      </c>
      <c r="F1420" t="s">
        <v>129</v>
      </c>
      <c r="G1420" t="s">
        <v>126</v>
      </c>
      <c r="H1420" t="s">
        <v>305</v>
      </c>
      <c r="I1420" t="s">
        <v>289</v>
      </c>
      <c r="J1420" t="s">
        <v>464</v>
      </c>
      <c r="K1420" t="s">
        <v>42</v>
      </c>
    </row>
    <row r="1421" spans="1:11" x14ac:dyDescent="0.35">
      <c r="A1421" t="s">
        <v>1865</v>
      </c>
      <c r="B1421">
        <v>2025</v>
      </c>
      <c r="C1421" t="s">
        <v>284</v>
      </c>
      <c r="D1421" t="s">
        <v>85</v>
      </c>
      <c r="E1421" t="s">
        <v>116</v>
      </c>
      <c r="F1421" t="s">
        <v>133</v>
      </c>
      <c r="G1421" t="s">
        <v>128</v>
      </c>
      <c r="H1421" t="s">
        <v>285</v>
      </c>
      <c r="I1421" t="s">
        <v>288</v>
      </c>
      <c r="J1421" t="s">
        <v>286</v>
      </c>
      <c r="K1421" t="s">
        <v>57</v>
      </c>
    </row>
    <row r="1422" spans="1:11" x14ac:dyDescent="0.35">
      <c r="A1422" t="s">
        <v>1866</v>
      </c>
      <c r="B1422">
        <v>2025</v>
      </c>
      <c r="C1422" t="s">
        <v>284</v>
      </c>
      <c r="D1422" t="s">
        <v>85</v>
      </c>
      <c r="E1422" t="s">
        <v>117</v>
      </c>
      <c r="F1422" t="s">
        <v>288</v>
      </c>
      <c r="G1422" t="s">
        <v>132</v>
      </c>
      <c r="H1422" t="s">
        <v>305</v>
      </c>
      <c r="I1422" t="s">
        <v>288</v>
      </c>
      <c r="J1422" t="s">
        <v>288</v>
      </c>
      <c r="K1422" t="s">
        <v>57</v>
      </c>
    </row>
    <row r="1423" spans="1:11" x14ac:dyDescent="0.35">
      <c r="A1423" t="s">
        <v>1867</v>
      </c>
      <c r="B1423">
        <v>2025</v>
      </c>
      <c r="C1423" t="s">
        <v>284</v>
      </c>
      <c r="D1423" t="s">
        <v>85</v>
      </c>
      <c r="E1423" t="s">
        <v>120</v>
      </c>
      <c r="F1423" t="s">
        <v>129</v>
      </c>
      <c r="G1423" t="s">
        <v>128</v>
      </c>
      <c r="H1423" t="s">
        <v>285</v>
      </c>
      <c r="I1423" t="s">
        <v>77</v>
      </c>
      <c r="J1423" t="s">
        <v>317</v>
      </c>
      <c r="K1423" t="s">
        <v>57</v>
      </c>
    </row>
    <row r="1424" spans="1:11" x14ac:dyDescent="0.35">
      <c r="A1424" t="s">
        <v>1868</v>
      </c>
      <c r="B1424">
        <v>2025</v>
      </c>
      <c r="C1424" t="s">
        <v>284</v>
      </c>
      <c r="D1424" t="s">
        <v>76</v>
      </c>
      <c r="E1424" t="s">
        <v>119</v>
      </c>
      <c r="F1424" t="s">
        <v>125</v>
      </c>
      <c r="G1424" t="s">
        <v>130</v>
      </c>
      <c r="H1424" t="s">
        <v>285</v>
      </c>
      <c r="I1424" t="s">
        <v>1153</v>
      </c>
      <c r="J1424" t="s">
        <v>1268</v>
      </c>
      <c r="K1424" t="s">
        <v>42</v>
      </c>
    </row>
    <row r="1425" spans="1:11" x14ac:dyDescent="0.35">
      <c r="A1425" t="s">
        <v>1869</v>
      </c>
      <c r="B1425">
        <v>2025</v>
      </c>
      <c r="C1425" t="s">
        <v>284</v>
      </c>
      <c r="D1425" t="s">
        <v>76</v>
      </c>
      <c r="E1425" t="s">
        <v>119</v>
      </c>
      <c r="F1425" t="s">
        <v>288</v>
      </c>
      <c r="G1425" t="s">
        <v>126</v>
      </c>
      <c r="H1425" t="s">
        <v>285</v>
      </c>
      <c r="I1425" t="s">
        <v>77</v>
      </c>
      <c r="J1425" t="s">
        <v>286</v>
      </c>
      <c r="K1425" t="s">
        <v>57</v>
      </c>
    </row>
    <row r="1426" spans="1:11" x14ac:dyDescent="0.35">
      <c r="A1426" t="s">
        <v>1870</v>
      </c>
      <c r="B1426">
        <v>2025</v>
      </c>
      <c r="C1426" t="s">
        <v>284</v>
      </c>
      <c r="D1426" t="s">
        <v>85</v>
      </c>
      <c r="E1426" t="s">
        <v>377</v>
      </c>
      <c r="F1426" t="s">
        <v>131</v>
      </c>
      <c r="G1426" t="s">
        <v>130</v>
      </c>
      <c r="H1426" t="s">
        <v>285</v>
      </c>
      <c r="I1426" t="s">
        <v>319</v>
      </c>
      <c r="J1426" t="s">
        <v>1871</v>
      </c>
      <c r="K1426" t="s">
        <v>42</v>
      </c>
    </row>
    <row r="1427" spans="1:11" x14ac:dyDescent="0.35">
      <c r="A1427" t="s">
        <v>1872</v>
      </c>
      <c r="B1427">
        <v>2025</v>
      </c>
      <c r="C1427" t="s">
        <v>284</v>
      </c>
      <c r="D1427" t="s">
        <v>76</v>
      </c>
      <c r="E1427" t="s">
        <v>110</v>
      </c>
      <c r="F1427" t="s">
        <v>125</v>
      </c>
      <c r="G1427" t="s">
        <v>126</v>
      </c>
      <c r="H1427" t="s">
        <v>285</v>
      </c>
      <c r="I1427" t="s">
        <v>428</v>
      </c>
      <c r="J1427" t="s">
        <v>312</v>
      </c>
      <c r="K1427" t="s">
        <v>42</v>
      </c>
    </row>
    <row r="1428" spans="1:11" x14ac:dyDescent="0.35">
      <c r="A1428" t="s">
        <v>1873</v>
      </c>
      <c r="B1428">
        <v>2025</v>
      </c>
      <c r="C1428" t="s">
        <v>284</v>
      </c>
      <c r="D1428" t="s">
        <v>85</v>
      </c>
      <c r="E1428" t="s">
        <v>117</v>
      </c>
      <c r="F1428" t="s">
        <v>127</v>
      </c>
      <c r="G1428" t="s">
        <v>128</v>
      </c>
      <c r="H1428" t="s">
        <v>285</v>
      </c>
      <c r="I1428" t="s">
        <v>86</v>
      </c>
      <c r="J1428" t="s">
        <v>347</v>
      </c>
      <c r="K1428" t="s">
        <v>57</v>
      </c>
    </row>
    <row r="1429" spans="1:11" x14ac:dyDescent="0.35">
      <c r="A1429" t="s">
        <v>1874</v>
      </c>
      <c r="B1429">
        <v>2025</v>
      </c>
      <c r="C1429" t="s">
        <v>284</v>
      </c>
      <c r="D1429" t="s">
        <v>85</v>
      </c>
      <c r="E1429" t="s">
        <v>117</v>
      </c>
      <c r="F1429" t="s">
        <v>129</v>
      </c>
      <c r="G1429" t="s">
        <v>132</v>
      </c>
      <c r="H1429" t="s">
        <v>285</v>
      </c>
      <c r="I1429" t="s">
        <v>86</v>
      </c>
      <c r="J1429" t="s">
        <v>405</v>
      </c>
      <c r="K1429" t="s">
        <v>57</v>
      </c>
    </row>
    <row r="1430" spans="1:11" x14ac:dyDescent="0.35">
      <c r="A1430" t="s">
        <v>1875</v>
      </c>
      <c r="B1430">
        <v>2025</v>
      </c>
      <c r="C1430" t="s">
        <v>284</v>
      </c>
      <c r="D1430" t="s">
        <v>85</v>
      </c>
      <c r="E1430" t="s">
        <v>120</v>
      </c>
      <c r="F1430" t="s">
        <v>288</v>
      </c>
      <c r="G1430" t="s">
        <v>126</v>
      </c>
      <c r="H1430" t="s">
        <v>305</v>
      </c>
      <c r="I1430" t="s">
        <v>288</v>
      </c>
      <c r="J1430" t="s">
        <v>1876</v>
      </c>
      <c r="K1430" t="s">
        <v>57</v>
      </c>
    </row>
    <row r="1431" spans="1:11" x14ac:dyDescent="0.35">
      <c r="A1431" t="s">
        <v>1877</v>
      </c>
      <c r="B1431">
        <v>2025</v>
      </c>
      <c r="C1431" t="s">
        <v>284</v>
      </c>
      <c r="D1431" t="s">
        <v>85</v>
      </c>
      <c r="E1431" t="s">
        <v>116</v>
      </c>
      <c r="F1431" t="s">
        <v>125</v>
      </c>
      <c r="G1431" t="s">
        <v>126</v>
      </c>
      <c r="H1431" t="s">
        <v>285</v>
      </c>
      <c r="I1431" t="s">
        <v>288</v>
      </c>
      <c r="J1431" t="s">
        <v>288</v>
      </c>
      <c r="K1431" t="s">
        <v>57</v>
      </c>
    </row>
    <row r="1432" spans="1:11" x14ac:dyDescent="0.35">
      <c r="A1432" t="s">
        <v>1878</v>
      </c>
      <c r="B1432">
        <v>2025</v>
      </c>
      <c r="C1432" t="s">
        <v>284</v>
      </c>
      <c r="D1432" t="s">
        <v>85</v>
      </c>
      <c r="E1432" t="s">
        <v>116</v>
      </c>
      <c r="F1432" t="s">
        <v>129</v>
      </c>
      <c r="G1432" t="s">
        <v>132</v>
      </c>
      <c r="H1432" t="s">
        <v>285</v>
      </c>
      <c r="I1432" t="s">
        <v>77</v>
      </c>
      <c r="J1432" t="s">
        <v>326</v>
      </c>
      <c r="K1432" t="s">
        <v>57</v>
      </c>
    </row>
    <row r="1433" spans="1:11" x14ac:dyDescent="0.35">
      <c r="A1433" t="s">
        <v>1879</v>
      </c>
      <c r="B1433">
        <v>2025</v>
      </c>
      <c r="C1433" t="s">
        <v>284</v>
      </c>
      <c r="D1433" t="s">
        <v>85</v>
      </c>
      <c r="E1433" t="s">
        <v>120</v>
      </c>
      <c r="F1433" t="s">
        <v>133</v>
      </c>
      <c r="G1433" t="s">
        <v>132</v>
      </c>
      <c r="H1433" t="s">
        <v>285</v>
      </c>
      <c r="I1433" t="s">
        <v>77</v>
      </c>
      <c r="J1433" t="s">
        <v>286</v>
      </c>
      <c r="K1433" t="s">
        <v>57</v>
      </c>
    </row>
    <row r="1434" spans="1:11" x14ac:dyDescent="0.35">
      <c r="A1434" t="s">
        <v>1880</v>
      </c>
      <c r="B1434">
        <v>2025</v>
      </c>
      <c r="C1434" t="s">
        <v>284</v>
      </c>
      <c r="D1434" t="s">
        <v>76</v>
      </c>
      <c r="E1434" t="s">
        <v>108</v>
      </c>
      <c r="F1434" t="s">
        <v>125</v>
      </c>
      <c r="G1434" t="s">
        <v>130</v>
      </c>
      <c r="H1434" t="s">
        <v>285</v>
      </c>
      <c r="I1434" t="s">
        <v>77</v>
      </c>
      <c r="J1434" t="s">
        <v>317</v>
      </c>
      <c r="K1434" t="s">
        <v>57</v>
      </c>
    </row>
    <row r="1435" spans="1:11" x14ac:dyDescent="0.35">
      <c r="A1435" t="s">
        <v>1881</v>
      </c>
      <c r="B1435">
        <v>2025</v>
      </c>
      <c r="C1435" t="s">
        <v>284</v>
      </c>
      <c r="D1435" t="s">
        <v>85</v>
      </c>
      <c r="E1435" t="s">
        <v>116</v>
      </c>
      <c r="F1435" t="s">
        <v>127</v>
      </c>
      <c r="G1435" t="s">
        <v>128</v>
      </c>
      <c r="H1435" t="s">
        <v>285</v>
      </c>
      <c r="I1435" t="s">
        <v>289</v>
      </c>
      <c r="J1435" t="s">
        <v>286</v>
      </c>
      <c r="K1435" t="s">
        <v>57</v>
      </c>
    </row>
    <row r="1436" spans="1:11" x14ac:dyDescent="0.35">
      <c r="A1436" t="s">
        <v>1882</v>
      </c>
      <c r="B1436">
        <v>2025</v>
      </c>
      <c r="C1436" t="s">
        <v>284</v>
      </c>
      <c r="D1436" t="s">
        <v>85</v>
      </c>
      <c r="E1436" t="s">
        <v>116</v>
      </c>
      <c r="F1436" t="s">
        <v>129</v>
      </c>
      <c r="G1436" t="s">
        <v>128</v>
      </c>
      <c r="H1436" t="s">
        <v>285</v>
      </c>
      <c r="I1436" t="s">
        <v>289</v>
      </c>
      <c r="J1436" t="s">
        <v>286</v>
      </c>
      <c r="K1436" t="s">
        <v>57</v>
      </c>
    </row>
    <row r="1437" spans="1:11" x14ac:dyDescent="0.35">
      <c r="A1437" t="s">
        <v>1883</v>
      </c>
      <c r="B1437">
        <v>2025</v>
      </c>
      <c r="C1437" t="s">
        <v>284</v>
      </c>
      <c r="D1437" t="s">
        <v>85</v>
      </c>
      <c r="E1437" t="s">
        <v>120</v>
      </c>
      <c r="F1437" t="s">
        <v>133</v>
      </c>
      <c r="G1437" t="s">
        <v>126</v>
      </c>
      <c r="H1437" t="s">
        <v>285</v>
      </c>
      <c r="I1437" t="s">
        <v>407</v>
      </c>
      <c r="J1437" t="s">
        <v>326</v>
      </c>
      <c r="K1437" t="s">
        <v>57</v>
      </c>
    </row>
    <row r="1438" spans="1:11" x14ac:dyDescent="0.35">
      <c r="A1438" t="s">
        <v>1884</v>
      </c>
      <c r="B1438">
        <v>2025</v>
      </c>
      <c r="C1438" t="s">
        <v>284</v>
      </c>
      <c r="D1438" t="s">
        <v>76</v>
      </c>
      <c r="E1438" t="s">
        <v>113</v>
      </c>
      <c r="F1438" t="s">
        <v>129</v>
      </c>
      <c r="G1438" t="s">
        <v>128</v>
      </c>
      <c r="H1438" t="s">
        <v>285</v>
      </c>
      <c r="I1438" t="s">
        <v>77</v>
      </c>
      <c r="J1438" t="s">
        <v>286</v>
      </c>
      <c r="K1438" t="s">
        <v>57</v>
      </c>
    </row>
    <row r="1439" spans="1:11" x14ac:dyDescent="0.35">
      <c r="A1439" t="s">
        <v>1885</v>
      </c>
      <c r="B1439">
        <v>2025</v>
      </c>
      <c r="C1439" t="s">
        <v>284</v>
      </c>
      <c r="D1439" t="s">
        <v>85</v>
      </c>
      <c r="E1439" t="s">
        <v>120</v>
      </c>
      <c r="F1439" t="s">
        <v>125</v>
      </c>
      <c r="G1439" t="s">
        <v>126</v>
      </c>
      <c r="H1439" t="s">
        <v>285</v>
      </c>
      <c r="I1439" t="s">
        <v>426</v>
      </c>
      <c r="J1439" t="s">
        <v>1886</v>
      </c>
      <c r="K1439" t="s">
        <v>42</v>
      </c>
    </row>
    <row r="1440" spans="1:11" x14ac:dyDescent="0.35">
      <c r="A1440" t="s">
        <v>1887</v>
      </c>
      <c r="B1440">
        <v>2025</v>
      </c>
      <c r="C1440" t="s">
        <v>284</v>
      </c>
      <c r="D1440" t="s">
        <v>85</v>
      </c>
      <c r="E1440" t="s">
        <v>120</v>
      </c>
      <c r="F1440" t="s">
        <v>131</v>
      </c>
      <c r="G1440" t="s">
        <v>132</v>
      </c>
      <c r="H1440" t="s">
        <v>285</v>
      </c>
      <c r="I1440" t="s">
        <v>86</v>
      </c>
      <c r="J1440" t="s">
        <v>317</v>
      </c>
      <c r="K1440" t="s">
        <v>57</v>
      </c>
    </row>
    <row r="1441" spans="1:11" x14ac:dyDescent="0.35">
      <c r="A1441" t="s">
        <v>1888</v>
      </c>
      <c r="B1441">
        <v>2025</v>
      </c>
      <c r="C1441" t="s">
        <v>284</v>
      </c>
      <c r="D1441" t="s">
        <v>85</v>
      </c>
      <c r="E1441" t="s">
        <v>116</v>
      </c>
      <c r="F1441" t="s">
        <v>129</v>
      </c>
      <c r="G1441" t="s">
        <v>128</v>
      </c>
      <c r="H1441" t="s">
        <v>285</v>
      </c>
      <c r="I1441" t="s">
        <v>77</v>
      </c>
      <c r="J1441" t="s">
        <v>286</v>
      </c>
      <c r="K1441" t="s">
        <v>57</v>
      </c>
    </row>
    <row r="1442" spans="1:11" x14ac:dyDescent="0.35">
      <c r="A1442" t="s">
        <v>1889</v>
      </c>
      <c r="B1442">
        <v>2025</v>
      </c>
      <c r="C1442" t="s">
        <v>284</v>
      </c>
      <c r="D1442" t="s">
        <v>76</v>
      </c>
      <c r="E1442" t="s">
        <v>119</v>
      </c>
      <c r="F1442" t="s">
        <v>129</v>
      </c>
      <c r="G1442" t="s">
        <v>126</v>
      </c>
      <c r="H1442" t="s">
        <v>285</v>
      </c>
      <c r="I1442" t="s">
        <v>86</v>
      </c>
      <c r="J1442" t="s">
        <v>405</v>
      </c>
      <c r="K1442" t="s">
        <v>57</v>
      </c>
    </row>
    <row r="1443" spans="1:11" x14ac:dyDescent="0.35">
      <c r="A1443" t="s">
        <v>1890</v>
      </c>
      <c r="B1443">
        <v>2025</v>
      </c>
      <c r="C1443" t="s">
        <v>284</v>
      </c>
      <c r="D1443" t="s">
        <v>85</v>
      </c>
      <c r="E1443" t="s">
        <v>117</v>
      </c>
      <c r="F1443" t="s">
        <v>288</v>
      </c>
      <c r="G1443" t="s">
        <v>128</v>
      </c>
      <c r="H1443" t="s">
        <v>285</v>
      </c>
      <c r="I1443" t="s">
        <v>289</v>
      </c>
      <c r="J1443" t="s">
        <v>317</v>
      </c>
      <c r="K1443" t="s">
        <v>57</v>
      </c>
    </row>
    <row r="1444" spans="1:11" x14ac:dyDescent="0.35">
      <c r="A1444" t="s">
        <v>1891</v>
      </c>
      <c r="B1444">
        <v>2025</v>
      </c>
      <c r="C1444" t="s">
        <v>284</v>
      </c>
      <c r="D1444" t="s">
        <v>76</v>
      </c>
      <c r="E1444" t="s">
        <v>107</v>
      </c>
      <c r="F1444" t="s">
        <v>125</v>
      </c>
      <c r="G1444" t="s">
        <v>130</v>
      </c>
      <c r="H1444" t="s">
        <v>285</v>
      </c>
      <c r="I1444" t="s">
        <v>86</v>
      </c>
      <c r="J1444" t="s">
        <v>286</v>
      </c>
      <c r="K1444" t="s">
        <v>57</v>
      </c>
    </row>
    <row r="1445" spans="1:11" x14ac:dyDescent="0.35">
      <c r="A1445" t="s">
        <v>1892</v>
      </c>
      <c r="B1445">
        <v>2025</v>
      </c>
      <c r="C1445" t="s">
        <v>284</v>
      </c>
      <c r="D1445" t="s">
        <v>76</v>
      </c>
      <c r="E1445" t="s">
        <v>115</v>
      </c>
      <c r="F1445" t="s">
        <v>288</v>
      </c>
      <c r="G1445" t="s">
        <v>126</v>
      </c>
      <c r="H1445" t="s">
        <v>357</v>
      </c>
      <c r="I1445" t="s">
        <v>77</v>
      </c>
      <c r="J1445" t="s">
        <v>286</v>
      </c>
      <c r="K1445" t="s">
        <v>57</v>
      </c>
    </row>
    <row r="1446" spans="1:11" x14ac:dyDescent="0.35">
      <c r="A1446" t="s">
        <v>1893</v>
      </c>
      <c r="B1446">
        <v>2025</v>
      </c>
      <c r="C1446" t="s">
        <v>284</v>
      </c>
      <c r="D1446" t="s">
        <v>85</v>
      </c>
      <c r="E1446" t="s">
        <v>116</v>
      </c>
      <c r="F1446" t="s">
        <v>125</v>
      </c>
      <c r="G1446" t="s">
        <v>126</v>
      </c>
      <c r="H1446" t="s">
        <v>285</v>
      </c>
      <c r="I1446" t="s">
        <v>86</v>
      </c>
      <c r="J1446" t="s">
        <v>286</v>
      </c>
      <c r="K1446" t="s">
        <v>57</v>
      </c>
    </row>
    <row r="1447" spans="1:11" x14ac:dyDescent="0.35">
      <c r="A1447" t="s">
        <v>1894</v>
      </c>
      <c r="B1447">
        <v>2025</v>
      </c>
      <c r="C1447" t="s">
        <v>284</v>
      </c>
      <c r="D1447" t="s">
        <v>85</v>
      </c>
      <c r="E1447" t="s">
        <v>120</v>
      </c>
      <c r="F1447" t="s">
        <v>125</v>
      </c>
      <c r="G1447" t="s">
        <v>130</v>
      </c>
      <c r="H1447" t="s">
        <v>285</v>
      </c>
      <c r="I1447" t="s">
        <v>426</v>
      </c>
      <c r="J1447" t="s">
        <v>1895</v>
      </c>
      <c r="K1447" t="s">
        <v>42</v>
      </c>
    </row>
    <row r="1448" spans="1:11" x14ac:dyDescent="0.35">
      <c r="A1448" t="s">
        <v>1896</v>
      </c>
      <c r="B1448">
        <v>2025</v>
      </c>
      <c r="C1448" t="s">
        <v>284</v>
      </c>
      <c r="D1448" t="s">
        <v>76</v>
      </c>
      <c r="E1448" t="s">
        <v>118</v>
      </c>
      <c r="F1448" t="s">
        <v>288</v>
      </c>
      <c r="G1448" t="s">
        <v>130</v>
      </c>
      <c r="H1448" t="s">
        <v>285</v>
      </c>
      <c r="I1448" t="s">
        <v>333</v>
      </c>
      <c r="J1448" t="s">
        <v>365</v>
      </c>
      <c r="K1448" t="s">
        <v>42</v>
      </c>
    </row>
    <row r="1449" spans="1:11" x14ac:dyDescent="0.35">
      <c r="A1449" t="s">
        <v>1897</v>
      </c>
      <c r="B1449">
        <v>2025</v>
      </c>
      <c r="C1449" t="s">
        <v>284</v>
      </c>
      <c r="D1449" t="s">
        <v>76</v>
      </c>
      <c r="E1449" t="s">
        <v>115</v>
      </c>
      <c r="F1449" t="s">
        <v>127</v>
      </c>
      <c r="G1449" t="s">
        <v>126</v>
      </c>
      <c r="H1449" t="s">
        <v>285</v>
      </c>
      <c r="I1449" t="s">
        <v>77</v>
      </c>
      <c r="J1449" t="s">
        <v>317</v>
      </c>
      <c r="K1449" t="s">
        <v>57</v>
      </c>
    </row>
    <row r="1450" spans="1:11" x14ac:dyDescent="0.35">
      <c r="A1450" t="s">
        <v>1898</v>
      </c>
      <c r="B1450">
        <v>2025</v>
      </c>
      <c r="C1450" t="s">
        <v>284</v>
      </c>
      <c r="D1450" t="s">
        <v>76</v>
      </c>
      <c r="E1450" t="s">
        <v>118</v>
      </c>
      <c r="F1450" t="s">
        <v>127</v>
      </c>
      <c r="G1450" t="s">
        <v>130</v>
      </c>
      <c r="H1450" t="s">
        <v>285</v>
      </c>
      <c r="I1450" t="s">
        <v>77</v>
      </c>
      <c r="J1450" t="s">
        <v>286</v>
      </c>
      <c r="K1450" t="s">
        <v>57</v>
      </c>
    </row>
    <row r="1451" spans="1:11" x14ac:dyDescent="0.35">
      <c r="A1451" t="s">
        <v>1899</v>
      </c>
      <c r="B1451">
        <v>2025</v>
      </c>
      <c r="C1451" t="s">
        <v>284</v>
      </c>
      <c r="D1451" t="s">
        <v>85</v>
      </c>
      <c r="E1451" t="s">
        <v>116</v>
      </c>
      <c r="F1451" t="s">
        <v>127</v>
      </c>
      <c r="G1451" t="s">
        <v>132</v>
      </c>
      <c r="H1451" t="s">
        <v>285</v>
      </c>
      <c r="I1451" t="s">
        <v>77</v>
      </c>
      <c r="J1451" t="s">
        <v>286</v>
      </c>
      <c r="K1451" t="s">
        <v>57</v>
      </c>
    </row>
    <row r="1452" spans="1:11" x14ac:dyDescent="0.35">
      <c r="A1452" t="s">
        <v>1900</v>
      </c>
      <c r="B1452">
        <v>2025</v>
      </c>
      <c r="C1452" t="s">
        <v>284</v>
      </c>
      <c r="D1452" t="s">
        <v>76</v>
      </c>
      <c r="E1452" t="s">
        <v>110</v>
      </c>
      <c r="F1452" t="s">
        <v>125</v>
      </c>
      <c r="G1452" t="s">
        <v>130</v>
      </c>
      <c r="H1452" t="s">
        <v>357</v>
      </c>
      <c r="I1452" t="s">
        <v>86</v>
      </c>
      <c r="J1452" t="s">
        <v>308</v>
      </c>
      <c r="K1452" t="s">
        <v>42</v>
      </c>
    </row>
    <row r="1453" spans="1:11" x14ac:dyDescent="0.35">
      <c r="A1453" t="s">
        <v>1901</v>
      </c>
      <c r="B1453">
        <v>2025</v>
      </c>
      <c r="C1453" t="s">
        <v>284</v>
      </c>
      <c r="D1453" t="s">
        <v>85</v>
      </c>
      <c r="E1453" t="s">
        <v>120</v>
      </c>
      <c r="F1453" t="s">
        <v>288</v>
      </c>
      <c r="G1453" t="s">
        <v>126</v>
      </c>
      <c r="H1453" t="s">
        <v>285</v>
      </c>
      <c r="I1453" t="s">
        <v>86</v>
      </c>
      <c r="J1453" t="s">
        <v>405</v>
      </c>
      <c r="K1453" t="s">
        <v>57</v>
      </c>
    </row>
    <row r="1454" spans="1:11" x14ac:dyDescent="0.35">
      <c r="A1454" t="s">
        <v>1902</v>
      </c>
      <c r="B1454">
        <v>2025</v>
      </c>
      <c r="C1454" t="s">
        <v>284</v>
      </c>
      <c r="D1454" t="s">
        <v>85</v>
      </c>
      <c r="E1454" t="s">
        <v>116</v>
      </c>
      <c r="F1454" t="s">
        <v>129</v>
      </c>
      <c r="G1454" t="s">
        <v>128</v>
      </c>
      <c r="H1454" t="s">
        <v>285</v>
      </c>
      <c r="I1454" t="s">
        <v>288</v>
      </c>
      <c r="J1454" t="s">
        <v>288</v>
      </c>
      <c r="K1454" t="s">
        <v>57</v>
      </c>
    </row>
    <row r="1455" spans="1:11" x14ac:dyDescent="0.35">
      <c r="A1455" t="s">
        <v>1903</v>
      </c>
      <c r="B1455">
        <v>2025</v>
      </c>
      <c r="C1455" t="s">
        <v>284</v>
      </c>
      <c r="D1455" t="s">
        <v>85</v>
      </c>
      <c r="E1455" t="s">
        <v>117</v>
      </c>
      <c r="F1455" t="s">
        <v>127</v>
      </c>
      <c r="G1455" t="s">
        <v>128</v>
      </c>
      <c r="H1455" t="s">
        <v>285</v>
      </c>
      <c r="I1455" t="s">
        <v>288</v>
      </c>
      <c r="J1455" t="s">
        <v>288</v>
      </c>
      <c r="K1455" t="s">
        <v>57</v>
      </c>
    </row>
    <row r="1456" spans="1:11" x14ac:dyDescent="0.35">
      <c r="A1456" t="s">
        <v>1904</v>
      </c>
      <c r="B1456">
        <v>2025</v>
      </c>
      <c r="C1456" t="s">
        <v>284</v>
      </c>
      <c r="D1456" t="s">
        <v>76</v>
      </c>
      <c r="E1456" t="s">
        <v>118</v>
      </c>
      <c r="F1456" t="s">
        <v>129</v>
      </c>
      <c r="G1456" t="s">
        <v>128</v>
      </c>
      <c r="H1456" t="s">
        <v>285</v>
      </c>
      <c r="I1456" t="s">
        <v>288</v>
      </c>
      <c r="J1456" t="s">
        <v>288</v>
      </c>
      <c r="K1456" t="s">
        <v>57</v>
      </c>
    </row>
    <row r="1457" spans="1:11" x14ac:dyDescent="0.35">
      <c r="A1457" t="s">
        <v>1905</v>
      </c>
      <c r="B1457">
        <v>2025</v>
      </c>
      <c r="C1457" t="s">
        <v>284</v>
      </c>
      <c r="D1457" t="s">
        <v>76</v>
      </c>
      <c r="E1457" t="s">
        <v>119</v>
      </c>
      <c r="F1457" t="s">
        <v>125</v>
      </c>
      <c r="G1457" t="s">
        <v>128</v>
      </c>
      <c r="H1457" t="s">
        <v>285</v>
      </c>
      <c r="I1457" t="s">
        <v>428</v>
      </c>
      <c r="J1457" t="s">
        <v>286</v>
      </c>
      <c r="K1457" t="s">
        <v>57</v>
      </c>
    </row>
    <row r="1458" spans="1:11" x14ac:dyDescent="0.35">
      <c r="A1458" t="s">
        <v>1906</v>
      </c>
      <c r="B1458">
        <v>2025</v>
      </c>
      <c r="C1458" t="s">
        <v>284</v>
      </c>
      <c r="D1458" t="s">
        <v>85</v>
      </c>
      <c r="E1458" t="s">
        <v>116</v>
      </c>
      <c r="F1458" t="s">
        <v>125</v>
      </c>
      <c r="G1458" t="s">
        <v>126</v>
      </c>
      <c r="H1458" t="s">
        <v>285</v>
      </c>
      <c r="I1458" t="s">
        <v>86</v>
      </c>
      <c r="J1458" t="s">
        <v>317</v>
      </c>
      <c r="K1458" t="s">
        <v>57</v>
      </c>
    </row>
    <row r="1459" spans="1:11" x14ac:dyDescent="0.35">
      <c r="A1459" t="s">
        <v>1907</v>
      </c>
      <c r="B1459">
        <v>2025</v>
      </c>
      <c r="C1459" t="s">
        <v>284</v>
      </c>
      <c r="D1459" t="s">
        <v>85</v>
      </c>
      <c r="E1459" t="s">
        <v>120</v>
      </c>
      <c r="F1459" t="s">
        <v>288</v>
      </c>
      <c r="G1459" t="s">
        <v>128</v>
      </c>
      <c r="H1459" t="s">
        <v>285</v>
      </c>
      <c r="I1459" t="s">
        <v>337</v>
      </c>
      <c r="J1459" t="s">
        <v>317</v>
      </c>
      <c r="K1459" t="s">
        <v>57</v>
      </c>
    </row>
    <row r="1460" spans="1:11" x14ac:dyDescent="0.35">
      <c r="A1460" t="s">
        <v>1908</v>
      </c>
      <c r="B1460">
        <v>2025</v>
      </c>
      <c r="C1460" t="s">
        <v>284</v>
      </c>
      <c r="D1460" t="s">
        <v>85</v>
      </c>
      <c r="E1460" t="s">
        <v>116</v>
      </c>
      <c r="F1460" t="s">
        <v>125</v>
      </c>
      <c r="G1460" t="s">
        <v>128</v>
      </c>
      <c r="H1460" t="s">
        <v>285</v>
      </c>
      <c r="I1460" t="s">
        <v>77</v>
      </c>
      <c r="J1460" t="s">
        <v>286</v>
      </c>
      <c r="K1460" t="s">
        <v>57</v>
      </c>
    </row>
    <row r="1461" spans="1:11" x14ac:dyDescent="0.35">
      <c r="A1461" t="s">
        <v>1909</v>
      </c>
      <c r="B1461">
        <v>2025</v>
      </c>
      <c r="C1461" t="s">
        <v>284</v>
      </c>
      <c r="D1461" t="s">
        <v>76</v>
      </c>
      <c r="E1461" t="s">
        <v>360</v>
      </c>
      <c r="F1461" t="s">
        <v>127</v>
      </c>
      <c r="G1461" t="s">
        <v>128</v>
      </c>
      <c r="H1461" t="s">
        <v>285</v>
      </c>
      <c r="I1461" t="s">
        <v>288</v>
      </c>
      <c r="J1461" t="s">
        <v>288</v>
      </c>
      <c r="K1461" t="s">
        <v>57</v>
      </c>
    </row>
    <row r="1462" spans="1:11" x14ac:dyDescent="0.35">
      <c r="A1462" t="s">
        <v>1910</v>
      </c>
      <c r="B1462">
        <v>2025</v>
      </c>
      <c r="C1462" t="s">
        <v>284</v>
      </c>
      <c r="D1462" t="s">
        <v>85</v>
      </c>
      <c r="E1462" t="s">
        <v>116</v>
      </c>
      <c r="F1462" t="s">
        <v>129</v>
      </c>
      <c r="G1462" t="s">
        <v>132</v>
      </c>
      <c r="H1462" t="s">
        <v>285</v>
      </c>
      <c r="I1462" t="s">
        <v>77</v>
      </c>
      <c r="J1462" t="s">
        <v>317</v>
      </c>
      <c r="K1462" t="s">
        <v>57</v>
      </c>
    </row>
    <row r="1463" spans="1:11" x14ac:dyDescent="0.35">
      <c r="A1463" t="s">
        <v>1911</v>
      </c>
      <c r="B1463">
        <v>2025</v>
      </c>
      <c r="C1463" t="s">
        <v>284</v>
      </c>
      <c r="D1463" t="s">
        <v>76</v>
      </c>
      <c r="E1463" t="s">
        <v>109</v>
      </c>
      <c r="F1463" t="s">
        <v>127</v>
      </c>
      <c r="G1463" t="s">
        <v>126</v>
      </c>
      <c r="H1463" t="s">
        <v>285</v>
      </c>
      <c r="I1463" t="s">
        <v>86</v>
      </c>
      <c r="J1463" t="s">
        <v>286</v>
      </c>
      <c r="K1463" t="s">
        <v>57</v>
      </c>
    </row>
    <row r="1464" spans="1:11" x14ac:dyDescent="0.35">
      <c r="A1464" t="s">
        <v>1912</v>
      </c>
      <c r="B1464">
        <v>2025</v>
      </c>
      <c r="C1464" t="s">
        <v>284</v>
      </c>
      <c r="D1464" t="s">
        <v>85</v>
      </c>
      <c r="E1464" t="s">
        <v>116</v>
      </c>
      <c r="F1464" t="s">
        <v>131</v>
      </c>
      <c r="G1464" t="s">
        <v>128</v>
      </c>
      <c r="H1464" t="s">
        <v>285</v>
      </c>
      <c r="I1464" t="s">
        <v>289</v>
      </c>
      <c r="J1464" t="s">
        <v>286</v>
      </c>
      <c r="K1464" t="s">
        <v>57</v>
      </c>
    </row>
    <row r="1465" spans="1:11" x14ac:dyDescent="0.35">
      <c r="A1465" t="s">
        <v>1913</v>
      </c>
      <c r="B1465">
        <v>2025</v>
      </c>
      <c r="C1465" t="s">
        <v>284</v>
      </c>
      <c r="D1465" t="s">
        <v>85</v>
      </c>
      <c r="E1465" t="s">
        <v>117</v>
      </c>
      <c r="F1465" t="s">
        <v>131</v>
      </c>
      <c r="G1465" t="s">
        <v>132</v>
      </c>
      <c r="H1465" t="s">
        <v>285</v>
      </c>
      <c r="I1465" t="s">
        <v>289</v>
      </c>
      <c r="J1465" t="s">
        <v>544</v>
      </c>
      <c r="K1465" t="s">
        <v>57</v>
      </c>
    </row>
    <row r="1466" spans="1:11" x14ac:dyDescent="0.35">
      <c r="A1466" t="s">
        <v>1914</v>
      </c>
      <c r="B1466">
        <v>2025</v>
      </c>
      <c r="C1466" t="s">
        <v>284</v>
      </c>
      <c r="D1466" t="s">
        <v>76</v>
      </c>
      <c r="E1466" t="s">
        <v>115</v>
      </c>
      <c r="F1466" t="s">
        <v>127</v>
      </c>
      <c r="G1466" t="s">
        <v>132</v>
      </c>
      <c r="H1466" t="s">
        <v>285</v>
      </c>
      <c r="I1466" t="s">
        <v>1915</v>
      </c>
      <c r="J1466" t="s">
        <v>1871</v>
      </c>
      <c r="K1466" t="s">
        <v>42</v>
      </c>
    </row>
    <row r="1467" spans="1:11" x14ac:dyDescent="0.35">
      <c r="A1467" t="s">
        <v>1916</v>
      </c>
      <c r="B1467">
        <v>2025</v>
      </c>
      <c r="C1467" t="s">
        <v>284</v>
      </c>
      <c r="D1467" t="s">
        <v>85</v>
      </c>
      <c r="E1467" t="s">
        <v>120</v>
      </c>
      <c r="F1467" t="s">
        <v>131</v>
      </c>
      <c r="G1467" t="s">
        <v>128</v>
      </c>
      <c r="H1467" t="s">
        <v>297</v>
      </c>
      <c r="I1467" t="s">
        <v>289</v>
      </c>
      <c r="J1467" t="s">
        <v>326</v>
      </c>
      <c r="K1467" t="s">
        <v>57</v>
      </c>
    </row>
    <row r="1468" spans="1:11" x14ac:dyDescent="0.35">
      <c r="A1468" t="s">
        <v>1917</v>
      </c>
      <c r="B1468">
        <v>2025</v>
      </c>
      <c r="C1468" t="s">
        <v>284</v>
      </c>
      <c r="D1468" t="s">
        <v>85</v>
      </c>
      <c r="E1468" t="s">
        <v>117</v>
      </c>
      <c r="F1468" t="s">
        <v>134</v>
      </c>
      <c r="G1468" t="s">
        <v>126</v>
      </c>
      <c r="H1468" t="s">
        <v>285</v>
      </c>
      <c r="I1468" t="s">
        <v>77</v>
      </c>
      <c r="J1468" t="s">
        <v>286</v>
      </c>
      <c r="K1468" t="s">
        <v>57</v>
      </c>
    </row>
    <row r="1469" spans="1:11" x14ac:dyDescent="0.35">
      <c r="A1469" t="s">
        <v>1918</v>
      </c>
      <c r="B1469">
        <v>2025</v>
      </c>
      <c r="C1469" t="s">
        <v>284</v>
      </c>
      <c r="D1469" t="s">
        <v>85</v>
      </c>
      <c r="E1469" t="s">
        <v>120</v>
      </c>
      <c r="F1469" t="s">
        <v>129</v>
      </c>
      <c r="G1469" t="s">
        <v>128</v>
      </c>
      <c r="H1469" t="s">
        <v>285</v>
      </c>
      <c r="I1469" t="s">
        <v>86</v>
      </c>
      <c r="J1469" t="s">
        <v>447</v>
      </c>
      <c r="K1469" t="s">
        <v>57</v>
      </c>
    </row>
    <row r="1470" spans="1:11" x14ac:dyDescent="0.35">
      <c r="A1470" t="s">
        <v>1919</v>
      </c>
      <c r="B1470">
        <v>2025</v>
      </c>
      <c r="C1470" t="s">
        <v>284</v>
      </c>
      <c r="D1470" t="s">
        <v>76</v>
      </c>
      <c r="E1470" t="s">
        <v>119</v>
      </c>
      <c r="F1470" t="s">
        <v>125</v>
      </c>
      <c r="G1470" t="s">
        <v>126</v>
      </c>
      <c r="H1470" t="s">
        <v>285</v>
      </c>
      <c r="I1470" t="s">
        <v>288</v>
      </c>
      <c r="J1470" t="s">
        <v>286</v>
      </c>
      <c r="K1470" t="s">
        <v>57</v>
      </c>
    </row>
    <row r="1471" spans="1:11" x14ac:dyDescent="0.35">
      <c r="A1471" t="s">
        <v>1920</v>
      </c>
      <c r="B1471">
        <v>2025</v>
      </c>
      <c r="C1471" t="s">
        <v>284</v>
      </c>
      <c r="D1471" t="s">
        <v>76</v>
      </c>
      <c r="E1471" t="s">
        <v>118</v>
      </c>
      <c r="F1471" t="s">
        <v>129</v>
      </c>
      <c r="G1471" t="s">
        <v>126</v>
      </c>
      <c r="H1471" t="s">
        <v>285</v>
      </c>
      <c r="I1471" t="s">
        <v>288</v>
      </c>
      <c r="J1471" t="s">
        <v>286</v>
      </c>
      <c r="K1471" t="s">
        <v>57</v>
      </c>
    </row>
    <row r="1472" spans="1:11" x14ac:dyDescent="0.35">
      <c r="A1472" t="s">
        <v>1921</v>
      </c>
      <c r="B1472">
        <v>2025</v>
      </c>
      <c r="C1472" t="s">
        <v>284</v>
      </c>
      <c r="D1472" t="s">
        <v>76</v>
      </c>
      <c r="E1472" t="s">
        <v>119</v>
      </c>
      <c r="F1472" t="s">
        <v>288</v>
      </c>
      <c r="G1472" t="s">
        <v>128</v>
      </c>
      <c r="H1472" t="s">
        <v>285</v>
      </c>
      <c r="I1472" t="s">
        <v>77</v>
      </c>
      <c r="J1472" t="s">
        <v>515</v>
      </c>
      <c r="K1472" t="s">
        <v>57</v>
      </c>
    </row>
    <row r="1473" spans="1:11" x14ac:dyDescent="0.35">
      <c r="A1473" t="s">
        <v>1922</v>
      </c>
      <c r="B1473">
        <v>2025</v>
      </c>
      <c r="C1473" t="s">
        <v>284</v>
      </c>
      <c r="D1473" t="s">
        <v>85</v>
      </c>
      <c r="E1473" t="s">
        <v>116</v>
      </c>
      <c r="F1473" t="s">
        <v>129</v>
      </c>
      <c r="G1473" t="s">
        <v>130</v>
      </c>
      <c r="H1473" t="s">
        <v>285</v>
      </c>
      <c r="I1473" t="s">
        <v>86</v>
      </c>
      <c r="J1473" t="s">
        <v>326</v>
      </c>
      <c r="K1473" t="s">
        <v>57</v>
      </c>
    </row>
    <row r="1474" spans="1:11" x14ac:dyDescent="0.35">
      <c r="A1474" t="s">
        <v>1923</v>
      </c>
      <c r="B1474">
        <v>2025</v>
      </c>
      <c r="C1474" t="s">
        <v>284</v>
      </c>
      <c r="D1474" t="s">
        <v>85</v>
      </c>
      <c r="E1474" t="s">
        <v>117</v>
      </c>
      <c r="F1474" t="s">
        <v>131</v>
      </c>
      <c r="G1474" t="s">
        <v>128</v>
      </c>
      <c r="H1474" t="s">
        <v>285</v>
      </c>
      <c r="I1474" t="s">
        <v>77</v>
      </c>
      <c r="J1474" t="s">
        <v>405</v>
      </c>
      <c r="K1474" t="s">
        <v>57</v>
      </c>
    </row>
    <row r="1475" spans="1:11" x14ac:dyDescent="0.35">
      <c r="A1475" t="s">
        <v>1924</v>
      </c>
      <c r="B1475">
        <v>2025</v>
      </c>
      <c r="C1475" t="s">
        <v>284</v>
      </c>
      <c r="D1475" t="s">
        <v>76</v>
      </c>
      <c r="E1475" t="s">
        <v>110</v>
      </c>
      <c r="F1475" t="s">
        <v>127</v>
      </c>
      <c r="G1475" t="s">
        <v>130</v>
      </c>
      <c r="H1475" t="s">
        <v>285</v>
      </c>
      <c r="I1475" t="s">
        <v>86</v>
      </c>
      <c r="J1475" t="s">
        <v>286</v>
      </c>
      <c r="K1475" t="s">
        <v>57</v>
      </c>
    </row>
    <row r="1476" spans="1:11" x14ac:dyDescent="0.35">
      <c r="A1476" t="s">
        <v>1925</v>
      </c>
      <c r="B1476">
        <v>2025</v>
      </c>
      <c r="C1476" t="s">
        <v>284</v>
      </c>
      <c r="D1476" t="s">
        <v>85</v>
      </c>
      <c r="E1476" t="s">
        <v>120</v>
      </c>
      <c r="F1476" t="s">
        <v>131</v>
      </c>
      <c r="G1476" t="s">
        <v>132</v>
      </c>
      <c r="H1476" t="s">
        <v>285</v>
      </c>
      <c r="I1476" t="s">
        <v>426</v>
      </c>
      <c r="J1476" t="s">
        <v>947</v>
      </c>
      <c r="K1476" t="s">
        <v>57</v>
      </c>
    </row>
    <row r="1477" spans="1:11" x14ac:dyDescent="0.35">
      <c r="A1477" t="s">
        <v>1926</v>
      </c>
      <c r="B1477">
        <v>2025</v>
      </c>
      <c r="C1477" t="s">
        <v>284</v>
      </c>
      <c r="D1477" t="s">
        <v>85</v>
      </c>
      <c r="E1477" t="s">
        <v>120</v>
      </c>
      <c r="F1477" t="s">
        <v>127</v>
      </c>
      <c r="G1477" t="s">
        <v>130</v>
      </c>
      <c r="H1477" t="s">
        <v>285</v>
      </c>
      <c r="I1477" t="s">
        <v>77</v>
      </c>
      <c r="J1477" t="s">
        <v>317</v>
      </c>
      <c r="K1477" t="s">
        <v>57</v>
      </c>
    </row>
    <row r="1478" spans="1:11" x14ac:dyDescent="0.35">
      <c r="A1478" t="s">
        <v>1927</v>
      </c>
      <c r="B1478">
        <v>2025</v>
      </c>
      <c r="C1478" t="s">
        <v>284</v>
      </c>
      <c r="D1478" t="s">
        <v>85</v>
      </c>
      <c r="E1478" t="s">
        <v>120</v>
      </c>
      <c r="F1478" t="s">
        <v>127</v>
      </c>
      <c r="G1478" t="s">
        <v>128</v>
      </c>
      <c r="H1478" t="s">
        <v>285</v>
      </c>
      <c r="I1478" t="s">
        <v>86</v>
      </c>
      <c r="J1478" t="s">
        <v>317</v>
      </c>
      <c r="K1478" t="s">
        <v>57</v>
      </c>
    </row>
    <row r="1479" spans="1:11" x14ac:dyDescent="0.35">
      <c r="A1479" t="s">
        <v>1928</v>
      </c>
      <c r="B1479">
        <v>2025</v>
      </c>
      <c r="C1479" t="s">
        <v>284</v>
      </c>
      <c r="D1479" t="s">
        <v>85</v>
      </c>
      <c r="E1479" t="s">
        <v>120</v>
      </c>
      <c r="F1479" t="s">
        <v>131</v>
      </c>
      <c r="G1479" t="s">
        <v>128</v>
      </c>
      <c r="H1479" t="s">
        <v>285</v>
      </c>
      <c r="I1479" t="s">
        <v>86</v>
      </c>
      <c r="J1479" t="s">
        <v>286</v>
      </c>
      <c r="K1479" t="s">
        <v>57</v>
      </c>
    </row>
    <row r="1480" spans="1:11" x14ac:dyDescent="0.35">
      <c r="A1480" t="s">
        <v>1929</v>
      </c>
      <c r="B1480">
        <v>2025</v>
      </c>
      <c r="C1480" t="s">
        <v>284</v>
      </c>
      <c r="D1480" t="s">
        <v>76</v>
      </c>
      <c r="E1480" t="s">
        <v>119</v>
      </c>
      <c r="F1480" t="s">
        <v>129</v>
      </c>
      <c r="G1480" t="s">
        <v>126</v>
      </c>
      <c r="H1480" t="s">
        <v>285</v>
      </c>
      <c r="I1480" t="s">
        <v>86</v>
      </c>
      <c r="J1480" t="s">
        <v>286</v>
      </c>
      <c r="K1480" t="s">
        <v>57</v>
      </c>
    </row>
    <row r="1481" spans="1:11" x14ac:dyDescent="0.35">
      <c r="A1481" t="s">
        <v>1930</v>
      </c>
      <c r="B1481">
        <v>2025</v>
      </c>
      <c r="C1481" t="s">
        <v>284</v>
      </c>
      <c r="D1481" t="s">
        <v>85</v>
      </c>
      <c r="E1481" t="s">
        <v>117</v>
      </c>
      <c r="F1481" t="s">
        <v>129</v>
      </c>
      <c r="G1481" t="s">
        <v>128</v>
      </c>
      <c r="H1481" t="s">
        <v>285</v>
      </c>
      <c r="I1481" t="s">
        <v>289</v>
      </c>
      <c r="J1481" t="s">
        <v>424</v>
      </c>
      <c r="K1481" t="s">
        <v>42</v>
      </c>
    </row>
    <row r="1482" spans="1:11" x14ac:dyDescent="0.35">
      <c r="A1482" t="s">
        <v>1931</v>
      </c>
      <c r="B1482">
        <v>2025</v>
      </c>
      <c r="C1482" t="s">
        <v>284</v>
      </c>
      <c r="D1482" t="s">
        <v>85</v>
      </c>
      <c r="E1482" t="s">
        <v>116</v>
      </c>
      <c r="F1482" t="s">
        <v>129</v>
      </c>
      <c r="G1482" t="s">
        <v>126</v>
      </c>
      <c r="H1482" t="s">
        <v>285</v>
      </c>
      <c r="I1482" t="s">
        <v>77</v>
      </c>
      <c r="J1482" t="s">
        <v>317</v>
      </c>
      <c r="K1482" t="s">
        <v>57</v>
      </c>
    </row>
    <row r="1483" spans="1:11" x14ac:dyDescent="0.35">
      <c r="A1483" t="s">
        <v>1932</v>
      </c>
      <c r="B1483">
        <v>2025</v>
      </c>
      <c r="C1483" t="s">
        <v>284</v>
      </c>
      <c r="D1483" t="s">
        <v>76</v>
      </c>
      <c r="E1483" t="s">
        <v>110</v>
      </c>
      <c r="F1483" t="s">
        <v>125</v>
      </c>
      <c r="G1483" t="s">
        <v>126</v>
      </c>
      <c r="H1483" t="s">
        <v>285</v>
      </c>
      <c r="I1483" t="s">
        <v>86</v>
      </c>
      <c r="J1483" t="s">
        <v>405</v>
      </c>
      <c r="K1483" t="s">
        <v>57</v>
      </c>
    </row>
    <row r="1484" spans="1:11" x14ac:dyDescent="0.35">
      <c r="A1484" t="s">
        <v>1933</v>
      </c>
      <c r="B1484">
        <v>2025</v>
      </c>
      <c r="C1484" t="s">
        <v>284</v>
      </c>
      <c r="D1484" t="s">
        <v>76</v>
      </c>
      <c r="E1484" t="s">
        <v>115</v>
      </c>
      <c r="F1484" t="s">
        <v>127</v>
      </c>
      <c r="G1484" t="s">
        <v>126</v>
      </c>
      <c r="H1484" t="s">
        <v>285</v>
      </c>
      <c r="I1484" t="s">
        <v>86</v>
      </c>
      <c r="J1484" t="s">
        <v>288</v>
      </c>
      <c r="K1484" t="s">
        <v>57</v>
      </c>
    </row>
    <row r="1485" spans="1:11" x14ac:dyDescent="0.35">
      <c r="A1485" t="s">
        <v>1934</v>
      </c>
      <c r="B1485">
        <v>2025</v>
      </c>
      <c r="C1485" t="s">
        <v>284</v>
      </c>
      <c r="D1485" t="s">
        <v>76</v>
      </c>
      <c r="E1485" t="s">
        <v>119</v>
      </c>
      <c r="F1485" t="s">
        <v>125</v>
      </c>
      <c r="G1485" t="s">
        <v>128</v>
      </c>
      <c r="H1485" t="s">
        <v>285</v>
      </c>
      <c r="I1485" t="s">
        <v>86</v>
      </c>
      <c r="J1485" t="s">
        <v>286</v>
      </c>
      <c r="K1485" t="s">
        <v>57</v>
      </c>
    </row>
    <row r="1486" spans="1:11" x14ac:dyDescent="0.35">
      <c r="A1486" t="s">
        <v>1935</v>
      </c>
      <c r="B1486">
        <v>2025</v>
      </c>
      <c r="C1486" t="s">
        <v>284</v>
      </c>
      <c r="D1486" t="s">
        <v>85</v>
      </c>
      <c r="E1486" t="s">
        <v>116</v>
      </c>
      <c r="F1486" t="s">
        <v>131</v>
      </c>
      <c r="G1486" t="s">
        <v>128</v>
      </c>
      <c r="H1486" t="s">
        <v>285</v>
      </c>
      <c r="I1486" t="s">
        <v>289</v>
      </c>
      <c r="J1486" t="s">
        <v>286</v>
      </c>
      <c r="K1486" t="s">
        <v>57</v>
      </c>
    </row>
    <row r="1487" spans="1:11" x14ac:dyDescent="0.35">
      <c r="A1487" t="s">
        <v>1936</v>
      </c>
      <c r="B1487">
        <v>2025</v>
      </c>
      <c r="C1487" t="s">
        <v>284</v>
      </c>
      <c r="D1487" t="s">
        <v>85</v>
      </c>
      <c r="E1487" t="s">
        <v>116</v>
      </c>
      <c r="F1487" t="s">
        <v>125</v>
      </c>
      <c r="G1487" t="s">
        <v>128</v>
      </c>
      <c r="H1487" t="s">
        <v>285</v>
      </c>
      <c r="I1487" t="s">
        <v>289</v>
      </c>
      <c r="J1487" t="s">
        <v>286</v>
      </c>
      <c r="K1487" t="s">
        <v>57</v>
      </c>
    </row>
    <row r="1488" spans="1:11" x14ac:dyDescent="0.35">
      <c r="A1488" t="s">
        <v>1937</v>
      </c>
      <c r="B1488">
        <v>2025</v>
      </c>
      <c r="C1488" t="s">
        <v>284</v>
      </c>
      <c r="D1488" t="s">
        <v>76</v>
      </c>
      <c r="E1488" t="s">
        <v>113</v>
      </c>
      <c r="F1488" t="s">
        <v>288</v>
      </c>
      <c r="G1488" t="s">
        <v>128</v>
      </c>
      <c r="H1488" t="s">
        <v>285</v>
      </c>
      <c r="I1488" t="s">
        <v>86</v>
      </c>
      <c r="J1488" t="s">
        <v>308</v>
      </c>
      <c r="K1488" t="s">
        <v>42</v>
      </c>
    </row>
    <row r="1489" spans="1:11" x14ac:dyDescent="0.35">
      <c r="A1489" t="s">
        <v>1938</v>
      </c>
      <c r="B1489">
        <v>2025</v>
      </c>
      <c r="C1489" t="s">
        <v>284</v>
      </c>
      <c r="D1489" t="s">
        <v>76</v>
      </c>
      <c r="E1489" t="s">
        <v>108</v>
      </c>
      <c r="F1489" t="s">
        <v>125</v>
      </c>
      <c r="G1489" t="s">
        <v>130</v>
      </c>
      <c r="H1489" t="s">
        <v>297</v>
      </c>
      <c r="I1489" t="s">
        <v>1124</v>
      </c>
      <c r="J1489" t="s">
        <v>447</v>
      </c>
      <c r="K1489" t="s">
        <v>57</v>
      </c>
    </row>
    <row r="1490" spans="1:11" x14ac:dyDescent="0.35">
      <c r="A1490" t="s">
        <v>1939</v>
      </c>
      <c r="B1490">
        <v>2025</v>
      </c>
      <c r="C1490" t="s">
        <v>284</v>
      </c>
      <c r="D1490" t="s">
        <v>76</v>
      </c>
      <c r="E1490" t="s">
        <v>115</v>
      </c>
      <c r="F1490" t="s">
        <v>125</v>
      </c>
      <c r="G1490" t="s">
        <v>128</v>
      </c>
      <c r="H1490" t="s">
        <v>285</v>
      </c>
      <c r="I1490" t="s">
        <v>86</v>
      </c>
      <c r="J1490" t="s">
        <v>286</v>
      </c>
      <c r="K1490" t="s">
        <v>57</v>
      </c>
    </row>
    <row r="1491" spans="1:11" x14ac:dyDescent="0.35">
      <c r="A1491" t="s">
        <v>1940</v>
      </c>
      <c r="B1491">
        <v>2025</v>
      </c>
      <c r="C1491" t="s">
        <v>284</v>
      </c>
      <c r="D1491" t="s">
        <v>85</v>
      </c>
      <c r="E1491" t="s">
        <v>117</v>
      </c>
      <c r="F1491" t="s">
        <v>129</v>
      </c>
      <c r="G1491" t="s">
        <v>128</v>
      </c>
      <c r="H1491" t="s">
        <v>305</v>
      </c>
      <c r="I1491" t="s">
        <v>77</v>
      </c>
      <c r="J1491" t="s">
        <v>403</v>
      </c>
      <c r="K1491" t="s">
        <v>57</v>
      </c>
    </row>
    <row r="1492" spans="1:11" x14ac:dyDescent="0.35">
      <c r="A1492" t="s">
        <v>1941</v>
      </c>
      <c r="B1492">
        <v>2025</v>
      </c>
      <c r="C1492" t="s">
        <v>284</v>
      </c>
      <c r="D1492" t="s">
        <v>85</v>
      </c>
      <c r="E1492" t="s">
        <v>116</v>
      </c>
      <c r="F1492" t="s">
        <v>288</v>
      </c>
      <c r="G1492" t="s">
        <v>128</v>
      </c>
      <c r="H1492" t="s">
        <v>305</v>
      </c>
      <c r="I1492" t="s">
        <v>289</v>
      </c>
      <c r="J1492" t="s">
        <v>286</v>
      </c>
      <c r="K1492" t="s">
        <v>57</v>
      </c>
    </row>
    <row r="1493" spans="1:11" x14ac:dyDescent="0.35">
      <c r="A1493" t="s">
        <v>1942</v>
      </c>
      <c r="B1493">
        <v>2025</v>
      </c>
      <c r="C1493" t="s">
        <v>284</v>
      </c>
      <c r="D1493" t="s">
        <v>85</v>
      </c>
      <c r="E1493" t="s">
        <v>117</v>
      </c>
      <c r="F1493" t="s">
        <v>129</v>
      </c>
      <c r="G1493" t="s">
        <v>130</v>
      </c>
      <c r="H1493" t="s">
        <v>285</v>
      </c>
      <c r="I1493" t="s">
        <v>1943</v>
      </c>
      <c r="J1493" t="s">
        <v>1094</v>
      </c>
      <c r="K1493" t="s">
        <v>42</v>
      </c>
    </row>
    <row r="1494" spans="1:11" x14ac:dyDescent="0.35">
      <c r="A1494" t="s">
        <v>1944</v>
      </c>
      <c r="B1494">
        <v>2025</v>
      </c>
      <c r="C1494" t="s">
        <v>284</v>
      </c>
      <c r="D1494" t="s">
        <v>76</v>
      </c>
      <c r="E1494" t="s">
        <v>110</v>
      </c>
      <c r="F1494" t="s">
        <v>125</v>
      </c>
      <c r="G1494" t="s">
        <v>128</v>
      </c>
      <c r="H1494" t="s">
        <v>357</v>
      </c>
      <c r="I1494" t="s">
        <v>86</v>
      </c>
      <c r="J1494" t="s">
        <v>286</v>
      </c>
      <c r="K1494" t="s">
        <v>57</v>
      </c>
    </row>
    <row r="1495" spans="1:11" x14ac:dyDescent="0.35">
      <c r="A1495" t="s">
        <v>1945</v>
      </c>
      <c r="B1495">
        <v>2025</v>
      </c>
      <c r="C1495" t="s">
        <v>284</v>
      </c>
      <c r="D1495" t="s">
        <v>85</v>
      </c>
      <c r="E1495" t="s">
        <v>117</v>
      </c>
      <c r="F1495" t="s">
        <v>129</v>
      </c>
      <c r="G1495" t="s">
        <v>130</v>
      </c>
      <c r="H1495" t="s">
        <v>285</v>
      </c>
      <c r="I1495" t="s">
        <v>289</v>
      </c>
      <c r="J1495" t="s">
        <v>895</v>
      </c>
      <c r="K1495" t="s">
        <v>42</v>
      </c>
    </row>
    <row r="1496" spans="1:11" x14ac:dyDescent="0.35">
      <c r="A1496" t="s">
        <v>1946</v>
      </c>
      <c r="B1496">
        <v>2025</v>
      </c>
      <c r="C1496" t="s">
        <v>284</v>
      </c>
      <c r="D1496" t="s">
        <v>85</v>
      </c>
      <c r="E1496" t="s">
        <v>116</v>
      </c>
      <c r="F1496" t="s">
        <v>129</v>
      </c>
      <c r="G1496" t="s">
        <v>128</v>
      </c>
      <c r="H1496" t="s">
        <v>285</v>
      </c>
      <c r="I1496" t="s">
        <v>337</v>
      </c>
      <c r="J1496" t="s">
        <v>286</v>
      </c>
      <c r="K1496" t="s">
        <v>57</v>
      </c>
    </row>
    <row r="1497" spans="1:11" x14ac:dyDescent="0.35">
      <c r="A1497" t="s">
        <v>1947</v>
      </c>
      <c r="B1497">
        <v>2025</v>
      </c>
      <c r="C1497" t="s">
        <v>284</v>
      </c>
      <c r="D1497" t="s">
        <v>85</v>
      </c>
      <c r="E1497" t="s">
        <v>116</v>
      </c>
      <c r="F1497" t="s">
        <v>131</v>
      </c>
      <c r="G1497" t="s">
        <v>128</v>
      </c>
      <c r="H1497" t="s">
        <v>285</v>
      </c>
      <c r="I1497" t="s">
        <v>77</v>
      </c>
      <c r="J1497" t="s">
        <v>286</v>
      </c>
      <c r="K1497" t="s">
        <v>57</v>
      </c>
    </row>
    <row r="1498" spans="1:11" x14ac:dyDescent="0.35">
      <c r="A1498" t="s">
        <v>1948</v>
      </c>
      <c r="B1498">
        <v>2025</v>
      </c>
      <c r="C1498" t="s">
        <v>284</v>
      </c>
      <c r="D1498" t="s">
        <v>85</v>
      </c>
      <c r="E1498" t="s">
        <v>116</v>
      </c>
      <c r="F1498" t="s">
        <v>129</v>
      </c>
      <c r="G1498" t="s">
        <v>126</v>
      </c>
      <c r="H1498" t="s">
        <v>285</v>
      </c>
      <c r="I1498" t="s">
        <v>337</v>
      </c>
      <c r="J1498" t="s">
        <v>403</v>
      </c>
      <c r="K1498" t="s">
        <v>57</v>
      </c>
    </row>
    <row r="1499" spans="1:11" x14ac:dyDescent="0.35">
      <c r="A1499" t="s">
        <v>1949</v>
      </c>
      <c r="B1499">
        <v>2025</v>
      </c>
      <c r="C1499" t="s">
        <v>284</v>
      </c>
      <c r="D1499" t="s">
        <v>85</v>
      </c>
      <c r="E1499" t="s">
        <v>116</v>
      </c>
      <c r="F1499" t="s">
        <v>129</v>
      </c>
      <c r="G1499" t="s">
        <v>128</v>
      </c>
      <c r="H1499" t="s">
        <v>285</v>
      </c>
      <c r="I1499" t="s">
        <v>86</v>
      </c>
      <c r="J1499" t="s">
        <v>405</v>
      </c>
      <c r="K1499" t="s">
        <v>57</v>
      </c>
    </row>
    <row r="1500" spans="1:11" x14ac:dyDescent="0.35">
      <c r="A1500" t="s">
        <v>1950</v>
      </c>
      <c r="B1500">
        <v>2025</v>
      </c>
      <c r="C1500" t="s">
        <v>284</v>
      </c>
      <c r="D1500" t="s">
        <v>85</v>
      </c>
      <c r="E1500" t="s">
        <v>116</v>
      </c>
      <c r="F1500" t="s">
        <v>288</v>
      </c>
      <c r="G1500" t="s">
        <v>132</v>
      </c>
      <c r="H1500" t="s">
        <v>285</v>
      </c>
      <c r="I1500" t="s">
        <v>289</v>
      </c>
      <c r="J1500" t="s">
        <v>286</v>
      </c>
      <c r="K1500" t="s">
        <v>57</v>
      </c>
    </row>
    <row r="1501" spans="1:11" x14ac:dyDescent="0.35">
      <c r="A1501" t="s">
        <v>1951</v>
      </c>
      <c r="B1501">
        <v>2025</v>
      </c>
      <c r="C1501" t="s">
        <v>284</v>
      </c>
      <c r="D1501" t="s">
        <v>76</v>
      </c>
      <c r="E1501" t="s">
        <v>113</v>
      </c>
      <c r="F1501" t="s">
        <v>125</v>
      </c>
      <c r="G1501" t="s">
        <v>130</v>
      </c>
      <c r="H1501" t="s">
        <v>285</v>
      </c>
      <c r="I1501" t="s">
        <v>77</v>
      </c>
      <c r="J1501" t="s">
        <v>286</v>
      </c>
      <c r="K1501" t="s">
        <v>57</v>
      </c>
    </row>
    <row r="1502" spans="1:11" x14ac:dyDescent="0.35">
      <c r="A1502" t="s">
        <v>1952</v>
      </c>
      <c r="B1502">
        <v>2025</v>
      </c>
      <c r="C1502" t="s">
        <v>284</v>
      </c>
      <c r="D1502" t="s">
        <v>85</v>
      </c>
      <c r="E1502" t="s">
        <v>116</v>
      </c>
      <c r="F1502" t="s">
        <v>127</v>
      </c>
      <c r="G1502" t="s">
        <v>132</v>
      </c>
      <c r="H1502" t="s">
        <v>285</v>
      </c>
      <c r="I1502" t="s">
        <v>337</v>
      </c>
      <c r="J1502" t="s">
        <v>286</v>
      </c>
      <c r="K1502" t="s">
        <v>57</v>
      </c>
    </row>
    <row r="1503" spans="1:11" x14ac:dyDescent="0.35">
      <c r="A1503" t="s">
        <v>1953</v>
      </c>
      <c r="B1503">
        <v>2025</v>
      </c>
      <c r="C1503" t="s">
        <v>284</v>
      </c>
      <c r="D1503" t="s">
        <v>85</v>
      </c>
      <c r="E1503" t="s">
        <v>117</v>
      </c>
      <c r="F1503" t="s">
        <v>127</v>
      </c>
      <c r="G1503" t="s">
        <v>128</v>
      </c>
      <c r="H1503" t="s">
        <v>305</v>
      </c>
      <c r="I1503" t="s">
        <v>86</v>
      </c>
      <c r="J1503" t="s">
        <v>1954</v>
      </c>
      <c r="K1503" t="s">
        <v>42</v>
      </c>
    </row>
    <row r="1504" spans="1:11" x14ac:dyDescent="0.35">
      <c r="A1504" t="s">
        <v>1955</v>
      </c>
      <c r="B1504">
        <v>2025</v>
      </c>
      <c r="C1504" t="s">
        <v>284</v>
      </c>
      <c r="D1504" t="s">
        <v>76</v>
      </c>
      <c r="E1504" t="s">
        <v>118</v>
      </c>
      <c r="F1504" t="s">
        <v>129</v>
      </c>
      <c r="G1504" t="s">
        <v>128</v>
      </c>
      <c r="H1504" t="s">
        <v>285</v>
      </c>
      <c r="I1504" t="s">
        <v>86</v>
      </c>
      <c r="J1504" t="s">
        <v>367</v>
      </c>
      <c r="K1504" t="s">
        <v>42</v>
      </c>
    </row>
    <row r="1505" spans="1:11" x14ac:dyDescent="0.35">
      <c r="A1505" t="s">
        <v>1956</v>
      </c>
      <c r="B1505">
        <v>2025</v>
      </c>
      <c r="C1505" t="s">
        <v>284</v>
      </c>
      <c r="D1505" t="s">
        <v>76</v>
      </c>
      <c r="E1505" t="s">
        <v>107</v>
      </c>
      <c r="F1505" t="s">
        <v>127</v>
      </c>
      <c r="G1505" t="s">
        <v>128</v>
      </c>
      <c r="H1505" t="s">
        <v>285</v>
      </c>
      <c r="I1505" t="s">
        <v>289</v>
      </c>
      <c r="J1505" t="s">
        <v>317</v>
      </c>
      <c r="K1505" t="s">
        <v>57</v>
      </c>
    </row>
    <row r="1506" spans="1:11" x14ac:dyDescent="0.35">
      <c r="A1506" t="s">
        <v>1957</v>
      </c>
      <c r="B1506">
        <v>2025</v>
      </c>
      <c r="C1506" t="s">
        <v>284</v>
      </c>
      <c r="D1506" t="s">
        <v>85</v>
      </c>
      <c r="E1506" t="s">
        <v>116</v>
      </c>
      <c r="F1506" t="s">
        <v>131</v>
      </c>
      <c r="G1506" t="s">
        <v>128</v>
      </c>
      <c r="H1506" t="s">
        <v>285</v>
      </c>
      <c r="I1506" t="s">
        <v>289</v>
      </c>
      <c r="J1506" t="s">
        <v>286</v>
      </c>
      <c r="K1506" t="s">
        <v>57</v>
      </c>
    </row>
    <row r="1507" spans="1:11" x14ac:dyDescent="0.35">
      <c r="A1507" t="s">
        <v>1958</v>
      </c>
      <c r="B1507">
        <v>2025</v>
      </c>
      <c r="C1507" t="s">
        <v>284</v>
      </c>
      <c r="D1507" t="s">
        <v>85</v>
      </c>
      <c r="E1507" t="s">
        <v>117</v>
      </c>
      <c r="F1507" t="s">
        <v>125</v>
      </c>
      <c r="G1507" t="s">
        <v>128</v>
      </c>
      <c r="H1507" t="s">
        <v>305</v>
      </c>
      <c r="I1507" t="s">
        <v>288</v>
      </c>
      <c r="J1507" t="s">
        <v>317</v>
      </c>
      <c r="K1507" t="s">
        <v>57</v>
      </c>
    </row>
    <row r="1508" spans="1:11" x14ac:dyDescent="0.35">
      <c r="A1508" t="s">
        <v>1959</v>
      </c>
      <c r="B1508">
        <v>2025</v>
      </c>
      <c r="C1508" t="s">
        <v>284</v>
      </c>
      <c r="D1508" t="s">
        <v>85</v>
      </c>
      <c r="E1508" t="s">
        <v>116</v>
      </c>
      <c r="F1508" t="s">
        <v>131</v>
      </c>
      <c r="G1508" t="s">
        <v>128</v>
      </c>
      <c r="H1508" t="s">
        <v>285</v>
      </c>
      <c r="I1508" t="s">
        <v>289</v>
      </c>
      <c r="J1508" t="s">
        <v>286</v>
      </c>
      <c r="K1508" t="s">
        <v>57</v>
      </c>
    </row>
    <row r="1509" spans="1:11" x14ac:dyDescent="0.35">
      <c r="A1509" t="s">
        <v>1960</v>
      </c>
      <c r="B1509">
        <v>2025</v>
      </c>
      <c r="C1509" t="s">
        <v>284</v>
      </c>
      <c r="D1509" t="s">
        <v>76</v>
      </c>
      <c r="E1509" t="s">
        <v>115</v>
      </c>
      <c r="F1509" t="s">
        <v>129</v>
      </c>
      <c r="G1509" t="s">
        <v>128</v>
      </c>
      <c r="H1509" t="s">
        <v>305</v>
      </c>
      <c r="I1509" t="s">
        <v>337</v>
      </c>
      <c r="J1509" t="s">
        <v>1961</v>
      </c>
      <c r="K1509" t="s">
        <v>42</v>
      </c>
    </row>
    <row r="1510" spans="1:11" x14ac:dyDescent="0.35">
      <c r="A1510" t="s">
        <v>1962</v>
      </c>
      <c r="B1510">
        <v>2025</v>
      </c>
      <c r="C1510" t="s">
        <v>284</v>
      </c>
      <c r="D1510" t="s">
        <v>76</v>
      </c>
      <c r="E1510" t="s">
        <v>118</v>
      </c>
      <c r="F1510" t="s">
        <v>129</v>
      </c>
      <c r="G1510" t="s">
        <v>130</v>
      </c>
      <c r="H1510" t="s">
        <v>285</v>
      </c>
      <c r="I1510" t="s">
        <v>77</v>
      </c>
      <c r="J1510" t="s">
        <v>286</v>
      </c>
      <c r="K1510" t="s">
        <v>57</v>
      </c>
    </row>
    <row r="1511" spans="1:11" x14ac:dyDescent="0.35">
      <c r="A1511" t="s">
        <v>1963</v>
      </c>
      <c r="B1511">
        <v>2025</v>
      </c>
      <c r="C1511" t="s">
        <v>284</v>
      </c>
      <c r="D1511" t="s">
        <v>76</v>
      </c>
      <c r="E1511" t="s">
        <v>107</v>
      </c>
      <c r="F1511" t="s">
        <v>125</v>
      </c>
      <c r="G1511" t="s">
        <v>126</v>
      </c>
      <c r="H1511" t="s">
        <v>285</v>
      </c>
      <c r="I1511" t="s">
        <v>77</v>
      </c>
      <c r="J1511" t="s">
        <v>286</v>
      </c>
      <c r="K1511" t="s">
        <v>57</v>
      </c>
    </row>
    <row r="1512" spans="1:11" x14ac:dyDescent="0.35">
      <c r="A1512" t="s">
        <v>1964</v>
      </c>
      <c r="B1512">
        <v>2025</v>
      </c>
      <c r="C1512" t="s">
        <v>284</v>
      </c>
      <c r="D1512" t="s">
        <v>76</v>
      </c>
      <c r="E1512" t="s">
        <v>115</v>
      </c>
      <c r="F1512" t="s">
        <v>133</v>
      </c>
      <c r="G1512" t="s">
        <v>128</v>
      </c>
      <c r="H1512" t="s">
        <v>357</v>
      </c>
      <c r="I1512" t="s">
        <v>1965</v>
      </c>
      <c r="J1512" t="s">
        <v>1966</v>
      </c>
      <c r="K1512" t="s">
        <v>42</v>
      </c>
    </row>
    <row r="1513" spans="1:11" x14ac:dyDescent="0.35">
      <c r="A1513" t="s">
        <v>1967</v>
      </c>
      <c r="B1513">
        <v>2025</v>
      </c>
      <c r="C1513" t="s">
        <v>284</v>
      </c>
      <c r="D1513" t="s">
        <v>76</v>
      </c>
      <c r="E1513" t="s">
        <v>119</v>
      </c>
      <c r="F1513" t="s">
        <v>125</v>
      </c>
      <c r="G1513" t="s">
        <v>126</v>
      </c>
      <c r="H1513" t="s">
        <v>285</v>
      </c>
      <c r="I1513" t="s">
        <v>333</v>
      </c>
      <c r="J1513" t="s">
        <v>365</v>
      </c>
      <c r="K1513" t="s">
        <v>42</v>
      </c>
    </row>
    <row r="1514" spans="1:11" x14ac:dyDescent="0.35">
      <c r="A1514" t="s">
        <v>1968</v>
      </c>
      <c r="B1514">
        <v>2025</v>
      </c>
      <c r="C1514" t="s">
        <v>284</v>
      </c>
      <c r="D1514" t="s">
        <v>76</v>
      </c>
      <c r="E1514" t="s">
        <v>118</v>
      </c>
      <c r="F1514" t="s">
        <v>129</v>
      </c>
      <c r="G1514" t="s">
        <v>126</v>
      </c>
      <c r="H1514" t="s">
        <v>285</v>
      </c>
      <c r="I1514" t="s">
        <v>86</v>
      </c>
      <c r="J1514" t="s">
        <v>347</v>
      </c>
      <c r="K1514" t="s">
        <v>57</v>
      </c>
    </row>
    <row r="1515" spans="1:11" x14ac:dyDescent="0.35">
      <c r="A1515" t="s">
        <v>1969</v>
      </c>
      <c r="B1515">
        <v>2025</v>
      </c>
      <c r="C1515" t="s">
        <v>284</v>
      </c>
      <c r="D1515" t="s">
        <v>76</v>
      </c>
      <c r="E1515" t="s">
        <v>112</v>
      </c>
      <c r="F1515" t="s">
        <v>125</v>
      </c>
      <c r="G1515" t="s">
        <v>130</v>
      </c>
      <c r="H1515" t="s">
        <v>285</v>
      </c>
      <c r="I1515" t="s">
        <v>289</v>
      </c>
      <c r="J1515" t="s">
        <v>1970</v>
      </c>
      <c r="K1515" t="s">
        <v>42</v>
      </c>
    </row>
    <row r="1516" spans="1:11" x14ac:dyDescent="0.35">
      <c r="A1516" t="s">
        <v>1971</v>
      </c>
      <c r="B1516">
        <v>2025</v>
      </c>
      <c r="C1516" t="s">
        <v>284</v>
      </c>
      <c r="D1516" t="s">
        <v>76</v>
      </c>
      <c r="E1516" t="s">
        <v>108</v>
      </c>
      <c r="F1516" t="s">
        <v>125</v>
      </c>
      <c r="G1516" t="s">
        <v>128</v>
      </c>
      <c r="H1516" t="s">
        <v>285</v>
      </c>
      <c r="I1516" t="s">
        <v>86</v>
      </c>
      <c r="J1516" t="s">
        <v>286</v>
      </c>
      <c r="K1516" t="s">
        <v>57</v>
      </c>
    </row>
    <row r="1517" spans="1:11" x14ac:dyDescent="0.35">
      <c r="A1517" t="s">
        <v>1972</v>
      </c>
      <c r="B1517">
        <v>2025</v>
      </c>
      <c r="C1517" t="s">
        <v>284</v>
      </c>
      <c r="D1517" t="s">
        <v>85</v>
      </c>
      <c r="E1517" t="s">
        <v>117</v>
      </c>
      <c r="F1517" t="s">
        <v>288</v>
      </c>
      <c r="G1517" t="s">
        <v>128</v>
      </c>
      <c r="H1517" t="s">
        <v>305</v>
      </c>
      <c r="I1517" t="s">
        <v>86</v>
      </c>
      <c r="J1517" t="s">
        <v>566</v>
      </c>
      <c r="K1517" t="s">
        <v>42</v>
      </c>
    </row>
    <row r="1518" spans="1:11" x14ac:dyDescent="0.35">
      <c r="A1518" t="s">
        <v>1973</v>
      </c>
      <c r="B1518">
        <v>2025</v>
      </c>
      <c r="C1518" t="s">
        <v>284</v>
      </c>
      <c r="D1518" t="s">
        <v>85</v>
      </c>
      <c r="E1518" t="s">
        <v>117</v>
      </c>
      <c r="F1518" t="s">
        <v>288</v>
      </c>
      <c r="G1518" t="s">
        <v>128</v>
      </c>
      <c r="H1518" t="s">
        <v>305</v>
      </c>
      <c r="I1518" t="s">
        <v>86</v>
      </c>
      <c r="J1518" t="s">
        <v>895</v>
      </c>
      <c r="K1518" t="s">
        <v>42</v>
      </c>
    </row>
    <row r="1519" spans="1:11" x14ac:dyDescent="0.35">
      <c r="A1519" t="s">
        <v>1974</v>
      </c>
      <c r="B1519">
        <v>2025</v>
      </c>
      <c r="C1519" t="s">
        <v>284</v>
      </c>
      <c r="D1519" t="s">
        <v>76</v>
      </c>
      <c r="E1519" t="s">
        <v>111</v>
      </c>
      <c r="F1519" t="s">
        <v>125</v>
      </c>
      <c r="G1519" t="s">
        <v>132</v>
      </c>
      <c r="H1519" t="s">
        <v>285</v>
      </c>
      <c r="I1519" t="s">
        <v>77</v>
      </c>
      <c r="J1519" t="s">
        <v>286</v>
      </c>
      <c r="K1519" t="s">
        <v>57</v>
      </c>
    </row>
    <row r="1520" spans="1:11" x14ac:dyDescent="0.35">
      <c r="A1520" t="s">
        <v>1975</v>
      </c>
      <c r="B1520">
        <v>2025</v>
      </c>
      <c r="C1520" t="s">
        <v>284</v>
      </c>
      <c r="D1520" t="s">
        <v>85</v>
      </c>
      <c r="E1520" t="s">
        <v>120</v>
      </c>
      <c r="F1520" t="s">
        <v>288</v>
      </c>
      <c r="G1520" t="s">
        <v>130</v>
      </c>
      <c r="H1520" t="s">
        <v>285</v>
      </c>
      <c r="I1520" t="s">
        <v>288</v>
      </c>
      <c r="J1520" t="s">
        <v>288</v>
      </c>
      <c r="K1520" t="s">
        <v>57</v>
      </c>
    </row>
    <row r="1521" spans="1:11" x14ac:dyDescent="0.35">
      <c r="A1521" t="s">
        <v>1976</v>
      </c>
      <c r="B1521">
        <v>2025</v>
      </c>
      <c r="C1521" t="s">
        <v>284</v>
      </c>
      <c r="D1521" t="s">
        <v>85</v>
      </c>
      <c r="E1521" t="s">
        <v>117</v>
      </c>
      <c r="F1521" t="s">
        <v>129</v>
      </c>
      <c r="G1521" t="s">
        <v>128</v>
      </c>
      <c r="H1521" t="s">
        <v>305</v>
      </c>
      <c r="I1521" t="s">
        <v>86</v>
      </c>
      <c r="J1521" t="s">
        <v>566</v>
      </c>
      <c r="K1521" t="s">
        <v>42</v>
      </c>
    </row>
    <row r="1522" spans="1:11" x14ac:dyDescent="0.35">
      <c r="A1522" t="s">
        <v>1977</v>
      </c>
      <c r="B1522">
        <v>2025</v>
      </c>
      <c r="C1522" t="s">
        <v>284</v>
      </c>
      <c r="D1522" t="s">
        <v>85</v>
      </c>
      <c r="E1522" t="s">
        <v>116</v>
      </c>
      <c r="F1522" t="s">
        <v>127</v>
      </c>
      <c r="G1522" t="s">
        <v>126</v>
      </c>
      <c r="H1522" t="s">
        <v>285</v>
      </c>
      <c r="I1522" t="s">
        <v>86</v>
      </c>
      <c r="J1522" t="s">
        <v>288</v>
      </c>
      <c r="K1522" t="s">
        <v>57</v>
      </c>
    </row>
    <row r="1523" spans="1:11" x14ac:dyDescent="0.35">
      <c r="A1523" t="s">
        <v>1978</v>
      </c>
      <c r="B1523">
        <v>2025</v>
      </c>
      <c r="C1523" t="s">
        <v>284</v>
      </c>
      <c r="D1523" t="s">
        <v>85</v>
      </c>
      <c r="E1523" t="s">
        <v>120</v>
      </c>
      <c r="F1523" t="s">
        <v>127</v>
      </c>
      <c r="G1523" t="s">
        <v>128</v>
      </c>
      <c r="H1523" t="s">
        <v>305</v>
      </c>
      <c r="I1523" t="s">
        <v>77</v>
      </c>
      <c r="J1523" t="s">
        <v>405</v>
      </c>
      <c r="K1523" t="s">
        <v>57</v>
      </c>
    </row>
    <row r="1524" spans="1:11" x14ac:dyDescent="0.35">
      <c r="A1524" t="s">
        <v>1979</v>
      </c>
      <c r="B1524">
        <v>2025</v>
      </c>
      <c r="C1524" t="s">
        <v>284</v>
      </c>
      <c r="D1524" t="s">
        <v>85</v>
      </c>
      <c r="E1524" t="s">
        <v>117</v>
      </c>
      <c r="F1524" t="s">
        <v>127</v>
      </c>
      <c r="G1524" t="s">
        <v>130</v>
      </c>
      <c r="H1524" t="s">
        <v>285</v>
      </c>
      <c r="I1524" t="s">
        <v>86</v>
      </c>
      <c r="J1524" t="s">
        <v>405</v>
      </c>
      <c r="K1524" t="s">
        <v>57</v>
      </c>
    </row>
    <row r="1525" spans="1:11" x14ac:dyDescent="0.35">
      <c r="A1525" t="s">
        <v>1980</v>
      </c>
      <c r="B1525">
        <v>2025</v>
      </c>
      <c r="C1525" t="s">
        <v>284</v>
      </c>
      <c r="D1525" t="s">
        <v>76</v>
      </c>
      <c r="E1525" t="s">
        <v>109</v>
      </c>
      <c r="F1525" t="s">
        <v>129</v>
      </c>
      <c r="G1525" t="s">
        <v>130</v>
      </c>
      <c r="H1525" t="s">
        <v>285</v>
      </c>
      <c r="I1525" t="s">
        <v>288</v>
      </c>
      <c r="J1525" t="s">
        <v>288</v>
      </c>
      <c r="K1525" t="s">
        <v>57</v>
      </c>
    </row>
    <row r="1526" spans="1:11" x14ac:dyDescent="0.35">
      <c r="A1526" t="s">
        <v>1981</v>
      </c>
      <c r="B1526">
        <v>2025</v>
      </c>
      <c r="C1526" t="s">
        <v>284</v>
      </c>
      <c r="D1526" t="s">
        <v>76</v>
      </c>
      <c r="E1526" t="s">
        <v>111</v>
      </c>
      <c r="F1526" t="s">
        <v>125</v>
      </c>
      <c r="G1526" t="s">
        <v>126</v>
      </c>
      <c r="H1526" t="s">
        <v>285</v>
      </c>
      <c r="I1526" t="s">
        <v>77</v>
      </c>
      <c r="J1526" t="s">
        <v>286</v>
      </c>
      <c r="K1526" t="s">
        <v>57</v>
      </c>
    </row>
    <row r="1527" spans="1:11" x14ac:dyDescent="0.35">
      <c r="A1527" t="s">
        <v>1982</v>
      </c>
      <c r="B1527">
        <v>2025</v>
      </c>
      <c r="C1527" t="s">
        <v>284</v>
      </c>
      <c r="D1527" t="s">
        <v>85</v>
      </c>
      <c r="E1527" t="s">
        <v>117</v>
      </c>
      <c r="F1527" t="s">
        <v>129</v>
      </c>
      <c r="G1527" t="s">
        <v>130</v>
      </c>
      <c r="H1527" t="s">
        <v>305</v>
      </c>
      <c r="I1527" t="s">
        <v>86</v>
      </c>
      <c r="J1527" t="s">
        <v>331</v>
      </c>
      <c r="K1527" t="s">
        <v>42</v>
      </c>
    </row>
    <row r="1528" spans="1:11" x14ac:dyDescent="0.35">
      <c r="A1528" t="s">
        <v>1983</v>
      </c>
      <c r="B1528">
        <v>2025</v>
      </c>
      <c r="C1528" t="s">
        <v>284</v>
      </c>
      <c r="D1528" t="s">
        <v>85</v>
      </c>
      <c r="E1528" t="s">
        <v>116</v>
      </c>
      <c r="F1528" t="s">
        <v>129</v>
      </c>
      <c r="G1528" t="s">
        <v>128</v>
      </c>
      <c r="H1528" t="s">
        <v>285</v>
      </c>
      <c r="I1528" t="s">
        <v>1984</v>
      </c>
      <c r="J1528" t="s">
        <v>286</v>
      </c>
      <c r="K1528" t="s">
        <v>57</v>
      </c>
    </row>
    <row r="1529" spans="1:11" x14ac:dyDescent="0.35">
      <c r="A1529" t="s">
        <v>1985</v>
      </c>
      <c r="B1529">
        <v>2025</v>
      </c>
      <c r="C1529" t="s">
        <v>284</v>
      </c>
      <c r="D1529" t="s">
        <v>76</v>
      </c>
      <c r="E1529" t="s">
        <v>108</v>
      </c>
      <c r="F1529" t="s">
        <v>125</v>
      </c>
      <c r="G1529" t="s">
        <v>132</v>
      </c>
      <c r="H1529" t="s">
        <v>285</v>
      </c>
      <c r="I1529" t="s">
        <v>333</v>
      </c>
      <c r="J1529" t="s">
        <v>1986</v>
      </c>
      <c r="K1529" t="s">
        <v>57</v>
      </c>
    </row>
    <row r="1530" spans="1:11" x14ac:dyDescent="0.35">
      <c r="A1530" t="s">
        <v>1987</v>
      </c>
      <c r="B1530">
        <v>2025</v>
      </c>
      <c r="C1530" t="s">
        <v>284</v>
      </c>
      <c r="D1530" t="s">
        <v>76</v>
      </c>
      <c r="E1530" t="s">
        <v>118</v>
      </c>
      <c r="F1530" t="s">
        <v>131</v>
      </c>
      <c r="G1530" t="s">
        <v>128</v>
      </c>
      <c r="H1530" t="s">
        <v>285</v>
      </c>
      <c r="I1530" t="s">
        <v>86</v>
      </c>
      <c r="J1530" t="s">
        <v>286</v>
      </c>
      <c r="K1530" t="s">
        <v>57</v>
      </c>
    </row>
    <row r="1531" spans="1:11" x14ac:dyDescent="0.35">
      <c r="A1531" t="s">
        <v>1988</v>
      </c>
      <c r="B1531">
        <v>2025</v>
      </c>
      <c r="C1531" t="s">
        <v>284</v>
      </c>
      <c r="D1531" t="s">
        <v>76</v>
      </c>
      <c r="E1531" t="s">
        <v>107</v>
      </c>
      <c r="F1531" t="s">
        <v>125</v>
      </c>
      <c r="G1531" t="s">
        <v>126</v>
      </c>
      <c r="H1531" t="s">
        <v>285</v>
      </c>
      <c r="I1531" t="s">
        <v>86</v>
      </c>
      <c r="J1531" t="s">
        <v>895</v>
      </c>
      <c r="K1531" t="s">
        <v>42</v>
      </c>
    </row>
    <row r="1532" spans="1:11" x14ac:dyDescent="0.35">
      <c r="A1532" t="s">
        <v>1989</v>
      </c>
      <c r="B1532">
        <v>2025</v>
      </c>
      <c r="C1532" t="s">
        <v>284</v>
      </c>
      <c r="D1532" t="s">
        <v>85</v>
      </c>
      <c r="E1532" t="s">
        <v>116</v>
      </c>
      <c r="F1532" t="s">
        <v>129</v>
      </c>
      <c r="G1532" t="s">
        <v>128</v>
      </c>
      <c r="H1532" t="s">
        <v>285</v>
      </c>
      <c r="I1532" t="s">
        <v>288</v>
      </c>
      <c r="J1532" t="s">
        <v>288</v>
      </c>
      <c r="K1532" t="s">
        <v>57</v>
      </c>
    </row>
    <row r="1533" spans="1:11" x14ac:dyDescent="0.35">
      <c r="A1533" t="s">
        <v>1990</v>
      </c>
      <c r="B1533">
        <v>2025</v>
      </c>
      <c r="C1533" t="s">
        <v>284</v>
      </c>
      <c r="D1533" t="s">
        <v>76</v>
      </c>
      <c r="E1533" t="s">
        <v>107</v>
      </c>
      <c r="F1533" t="s">
        <v>125</v>
      </c>
      <c r="G1533" t="s">
        <v>128</v>
      </c>
      <c r="H1533" t="s">
        <v>285</v>
      </c>
      <c r="I1533" t="s">
        <v>86</v>
      </c>
      <c r="J1533" t="s">
        <v>317</v>
      </c>
      <c r="K1533" t="s">
        <v>57</v>
      </c>
    </row>
    <row r="1534" spans="1:11" x14ac:dyDescent="0.35">
      <c r="A1534" t="s">
        <v>1991</v>
      </c>
      <c r="B1534">
        <v>2025</v>
      </c>
      <c r="C1534" t="s">
        <v>284</v>
      </c>
      <c r="D1534" t="s">
        <v>85</v>
      </c>
      <c r="E1534" t="s">
        <v>117</v>
      </c>
      <c r="F1534" t="s">
        <v>129</v>
      </c>
      <c r="G1534" t="s">
        <v>126</v>
      </c>
      <c r="H1534" t="s">
        <v>305</v>
      </c>
      <c r="I1534" t="s">
        <v>289</v>
      </c>
      <c r="J1534" t="s">
        <v>288</v>
      </c>
      <c r="K1534" t="s">
        <v>57</v>
      </c>
    </row>
    <row r="1535" spans="1:11" x14ac:dyDescent="0.35">
      <c r="A1535" t="s">
        <v>1992</v>
      </c>
      <c r="B1535">
        <v>2025</v>
      </c>
      <c r="C1535" t="s">
        <v>284</v>
      </c>
      <c r="D1535" t="s">
        <v>85</v>
      </c>
      <c r="E1535" t="s">
        <v>120</v>
      </c>
      <c r="F1535" t="s">
        <v>129</v>
      </c>
      <c r="G1535" t="s">
        <v>130</v>
      </c>
      <c r="H1535" t="s">
        <v>305</v>
      </c>
      <c r="I1535" t="s">
        <v>86</v>
      </c>
      <c r="J1535" t="s">
        <v>409</v>
      </c>
      <c r="K1535" t="s">
        <v>57</v>
      </c>
    </row>
    <row r="1536" spans="1:11" x14ac:dyDescent="0.35">
      <c r="A1536" t="s">
        <v>1993</v>
      </c>
      <c r="B1536">
        <v>2025</v>
      </c>
      <c r="C1536" t="s">
        <v>284</v>
      </c>
      <c r="D1536" t="s">
        <v>76</v>
      </c>
      <c r="E1536" t="s">
        <v>115</v>
      </c>
      <c r="F1536" t="s">
        <v>129</v>
      </c>
      <c r="G1536" t="s">
        <v>128</v>
      </c>
      <c r="H1536" t="s">
        <v>285</v>
      </c>
      <c r="I1536" t="s">
        <v>407</v>
      </c>
      <c r="J1536" t="s">
        <v>326</v>
      </c>
      <c r="K1536" t="s">
        <v>57</v>
      </c>
    </row>
    <row r="1537" spans="1:11" x14ac:dyDescent="0.35">
      <c r="A1537" t="s">
        <v>1994</v>
      </c>
      <c r="B1537">
        <v>2025</v>
      </c>
      <c r="C1537" t="s">
        <v>284</v>
      </c>
      <c r="D1537" t="s">
        <v>76</v>
      </c>
      <c r="E1537" t="s">
        <v>119</v>
      </c>
      <c r="F1537" t="s">
        <v>125</v>
      </c>
      <c r="G1537" t="s">
        <v>128</v>
      </c>
      <c r="H1537" t="s">
        <v>285</v>
      </c>
      <c r="I1537" t="s">
        <v>86</v>
      </c>
      <c r="J1537" t="s">
        <v>286</v>
      </c>
      <c r="K1537" t="s">
        <v>57</v>
      </c>
    </row>
    <row r="1538" spans="1:11" x14ac:dyDescent="0.35">
      <c r="A1538" t="s">
        <v>1995</v>
      </c>
      <c r="B1538">
        <v>2025</v>
      </c>
      <c r="C1538" t="s">
        <v>284</v>
      </c>
      <c r="D1538" t="s">
        <v>76</v>
      </c>
      <c r="E1538" t="s">
        <v>115</v>
      </c>
      <c r="F1538" t="s">
        <v>125</v>
      </c>
      <c r="G1538" t="s">
        <v>130</v>
      </c>
      <c r="H1538" t="s">
        <v>285</v>
      </c>
      <c r="I1538" t="s">
        <v>77</v>
      </c>
      <c r="J1538" t="s">
        <v>447</v>
      </c>
      <c r="K1538" t="s">
        <v>57</v>
      </c>
    </row>
    <row r="1539" spans="1:11" x14ac:dyDescent="0.35">
      <c r="A1539" t="s">
        <v>1996</v>
      </c>
      <c r="B1539">
        <v>2025</v>
      </c>
      <c r="C1539" t="s">
        <v>284</v>
      </c>
      <c r="D1539" t="s">
        <v>85</v>
      </c>
      <c r="E1539" t="s">
        <v>120</v>
      </c>
      <c r="F1539" t="s">
        <v>288</v>
      </c>
      <c r="G1539" t="s">
        <v>132</v>
      </c>
      <c r="H1539" t="s">
        <v>305</v>
      </c>
      <c r="I1539" t="s">
        <v>1536</v>
      </c>
      <c r="J1539" t="s">
        <v>1997</v>
      </c>
      <c r="K1539" t="s">
        <v>42</v>
      </c>
    </row>
    <row r="1540" spans="1:11" x14ac:dyDescent="0.35">
      <c r="A1540" t="s">
        <v>1998</v>
      </c>
      <c r="B1540">
        <v>2025</v>
      </c>
      <c r="C1540" t="s">
        <v>284</v>
      </c>
      <c r="D1540" t="s">
        <v>85</v>
      </c>
      <c r="E1540" t="s">
        <v>116</v>
      </c>
      <c r="F1540" t="s">
        <v>125</v>
      </c>
      <c r="G1540" t="s">
        <v>128</v>
      </c>
      <c r="H1540" t="s">
        <v>285</v>
      </c>
      <c r="I1540" t="s">
        <v>426</v>
      </c>
      <c r="J1540" t="s">
        <v>326</v>
      </c>
      <c r="K1540" t="s">
        <v>57</v>
      </c>
    </row>
    <row r="1541" spans="1:11" x14ac:dyDescent="0.35">
      <c r="A1541" t="s">
        <v>1999</v>
      </c>
      <c r="B1541">
        <v>2025</v>
      </c>
      <c r="C1541" t="s">
        <v>284</v>
      </c>
      <c r="D1541" t="s">
        <v>85</v>
      </c>
      <c r="E1541" t="s">
        <v>116</v>
      </c>
      <c r="F1541" t="s">
        <v>125</v>
      </c>
      <c r="G1541" t="s">
        <v>128</v>
      </c>
      <c r="H1541" t="s">
        <v>285</v>
      </c>
      <c r="I1541" t="s">
        <v>86</v>
      </c>
      <c r="J1541" t="s">
        <v>286</v>
      </c>
      <c r="K1541" t="s">
        <v>57</v>
      </c>
    </row>
    <row r="1542" spans="1:11" x14ac:dyDescent="0.35">
      <c r="A1542" t="s">
        <v>2000</v>
      </c>
      <c r="B1542">
        <v>2025</v>
      </c>
      <c r="C1542" t="s">
        <v>284</v>
      </c>
      <c r="D1542" t="s">
        <v>76</v>
      </c>
      <c r="E1542" t="s">
        <v>107</v>
      </c>
      <c r="F1542" t="s">
        <v>127</v>
      </c>
      <c r="G1542" t="s">
        <v>128</v>
      </c>
      <c r="H1542" t="s">
        <v>285</v>
      </c>
      <c r="I1542" t="s">
        <v>86</v>
      </c>
      <c r="J1542" t="s">
        <v>286</v>
      </c>
      <c r="K1542" t="s">
        <v>57</v>
      </c>
    </row>
    <row r="1543" spans="1:11" x14ac:dyDescent="0.35">
      <c r="A1543" t="s">
        <v>2001</v>
      </c>
      <c r="B1543">
        <v>2025</v>
      </c>
      <c r="C1543" t="s">
        <v>284</v>
      </c>
      <c r="D1543" t="s">
        <v>76</v>
      </c>
      <c r="E1543" t="s">
        <v>115</v>
      </c>
      <c r="F1543" t="s">
        <v>125</v>
      </c>
      <c r="G1543" t="s">
        <v>128</v>
      </c>
      <c r="H1543" t="s">
        <v>285</v>
      </c>
      <c r="I1543" t="s">
        <v>77</v>
      </c>
      <c r="J1543" t="s">
        <v>286</v>
      </c>
      <c r="K1543" t="s">
        <v>57</v>
      </c>
    </row>
    <row r="1544" spans="1:11" x14ac:dyDescent="0.35">
      <c r="A1544" t="s">
        <v>2002</v>
      </c>
      <c r="B1544">
        <v>2025</v>
      </c>
      <c r="C1544" t="s">
        <v>284</v>
      </c>
      <c r="D1544" t="s">
        <v>76</v>
      </c>
      <c r="E1544" t="s">
        <v>119</v>
      </c>
      <c r="F1544" t="s">
        <v>127</v>
      </c>
      <c r="G1544" t="s">
        <v>130</v>
      </c>
      <c r="H1544" t="s">
        <v>285</v>
      </c>
      <c r="I1544" t="s">
        <v>86</v>
      </c>
      <c r="J1544" t="s">
        <v>317</v>
      </c>
      <c r="K1544" t="s">
        <v>57</v>
      </c>
    </row>
    <row r="1545" spans="1:11" x14ac:dyDescent="0.35">
      <c r="A1545" t="s">
        <v>2003</v>
      </c>
      <c r="B1545">
        <v>2025</v>
      </c>
      <c r="C1545" t="s">
        <v>284</v>
      </c>
      <c r="D1545" t="s">
        <v>85</v>
      </c>
      <c r="E1545" t="s">
        <v>117</v>
      </c>
      <c r="F1545" t="s">
        <v>288</v>
      </c>
      <c r="G1545" t="s">
        <v>128</v>
      </c>
      <c r="H1545" t="s">
        <v>305</v>
      </c>
      <c r="I1545" t="s">
        <v>288</v>
      </c>
      <c r="J1545" t="s">
        <v>288</v>
      </c>
      <c r="K1545" t="s">
        <v>57</v>
      </c>
    </row>
    <row r="1546" spans="1:11" x14ac:dyDescent="0.35">
      <c r="A1546" t="s">
        <v>2004</v>
      </c>
      <c r="B1546">
        <v>2025</v>
      </c>
      <c r="C1546" t="s">
        <v>284</v>
      </c>
      <c r="D1546" t="s">
        <v>85</v>
      </c>
      <c r="E1546" t="s">
        <v>116</v>
      </c>
      <c r="F1546" t="s">
        <v>125</v>
      </c>
      <c r="G1546" t="s">
        <v>128</v>
      </c>
      <c r="H1546" t="s">
        <v>285</v>
      </c>
      <c r="I1546" t="s">
        <v>77</v>
      </c>
      <c r="J1546" t="s">
        <v>286</v>
      </c>
      <c r="K1546" t="s">
        <v>57</v>
      </c>
    </row>
    <row r="1547" spans="1:11" x14ac:dyDescent="0.35">
      <c r="A1547" t="s">
        <v>2005</v>
      </c>
      <c r="B1547">
        <v>2025</v>
      </c>
      <c r="C1547" t="s">
        <v>284</v>
      </c>
      <c r="D1547" t="s">
        <v>76</v>
      </c>
      <c r="E1547" t="s">
        <v>115</v>
      </c>
      <c r="F1547" t="s">
        <v>129</v>
      </c>
      <c r="G1547" t="s">
        <v>126</v>
      </c>
      <c r="H1547" t="s">
        <v>285</v>
      </c>
      <c r="I1547" t="s">
        <v>289</v>
      </c>
      <c r="J1547" t="s">
        <v>2006</v>
      </c>
      <c r="K1547" t="s">
        <v>57</v>
      </c>
    </row>
    <row r="1548" spans="1:11" x14ac:dyDescent="0.35">
      <c r="A1548" t="s">
        <v>2007</v>
      </c>
      <c r="B1548">
        <v>2025</v>
      </c>
      <c r="C1548" t="s">
        <v>284</v>
      </c>
      <c r="D1548" t="s">
        <v>85</v>
      </c>
      <c r="E1548" t="s">
        <v>117</v>
      </c>
      <c r="F1548" t="s">
        <v>131</v>
      </c>
      <c r="G1548" t="s">
        <v>130</v>
      </c>
      <c r="H1548" t="s">
        <v>285</v>
      </c>
      <c r="I1548" t="s">
        <v>289</v>
      </c>
      <c r="J1548" t="s">
        <v>347</v>
      </c>
      <c r="K1548" t="s">
        <v>57</v>
      </c>
    </row>
    <row r="1549" spans="1:11" x14ac:dyDescent="0.35">
      <c r="A1549" t="s">
        <v>2008</v>
      </c>
      <c r="B1549">
        <v>2025</v>
      </c>
      <c r="C1549" t="s">
        <v>284</v>
      </c>
      <c r="D1549" t="s">
        <v>85</v>
      </c>
      <c r="E1549" t="s">
        <v>116</v>
      </c>
      <c r="F1549" t="s">
        <v>129</v>
      </c>
      <c r="G1549" t="s">
        <v>128</v>
      </c>
      <c r="H1549" t="s">
        <v>285</v>
      </c>
      <c r="I1549" t="s">
        <v>288</v>
      </c>
      <c r="J1549" t="s">
        <v>286</v>
      </c>
      <c r="K1549" t="s">
        <v>57</v>
      </c>
    </row>
    <row r="1550" spans="1:11" x14ac:dyDescent="0.35">
      <c r="A1550" t="s">
        <v>2009</v>
      </c>
      <c r="B1550">
        <v>2025</v>
      </c>
      <c r="C1550" t="s">
        <v>284</v>
      </c>
      <c r="D1550" t="s">
        <v>85</v>
      </c>
      <c r="E1550" t="s">
        <v>117</v>
      </c>
      <c r="F1550" t="s">
        <v>129</v>
      </c>
      <c r="G1550" t="s">
        <v>128</v>
      </c>
      <c r="H1550" t="s">
        <v>285</v>
      </c>
      <c r="I1550" t="s">
        <v>289</v>
      </c>
      <c r="J1550" t="s">
        <v>347</v>
      </c>
      <c r="K1550" t="s">
        <v>57</v>
      </c>
    </row>
    <row r="1551" spans="1:11" x14ac:dyDescent="0.35">
      <c r="A1551" t="s">
        <v>2010</v>
      </c>
      <c r="B1551">
        <v>2025</v>
      </c>
      <c r="C1551" t="s">
        <v>284</v>
      </c>
      <c r="D1551" t="s">
        <v>76</v>
      </c>
      <c r="E1551" t="s">
        <v>115</v>
      </c>
      <c r="F1551" t="s">
        <v>129</v>
      </c>
      <c r="G1551" t="s">
        <v>126</v>
      </c>
      <c r="H1551" t="s">
        <v>285</v>
      </c>
      <c r="I1551" t="s">
        <v>77</v>
      </c>
      <c r="J1551" t="s">
        <v>286</v>
      </c>
      <c r="K1551" t="s">
        <v>57</v>
      </c>
    </row>
    <row r="1552" spans="1:11" x14ac:dyDescent="0.35">
      <c r="A1552" t="s">
        <v>2011</v>
      </c>
      <c r="B1552">
        <v>2025</v>
      </c>
      <c r="C1552" t="s">
        <v>284</v>
      </c>
      <c r="D1552" t="s">
        <v>85</v>
      </c>
      <c r="E1552" t="s">
        <v>116</v>
      </c>
      <c r="F1552" t="s">
        <v>129</v>
      </c>
      <c r="G1552" t="s">
        <v>128</v>
      </c>
      <c r="H1552" t="s">
        <v>285</v>
      </c>
      <c r="I1552" t="s">
        <v>289</v>
      </c>
      <c r="J1552" t="s">
        <v>412</v>
      </c>
      <c r="K1552" t="s">
        <v>57</v>
      </c>
    </row>
    <row r="1553" spans="1:11" x14ac:dyDescent="0.35">
      <c r="A1553" t="s">
        <v>2012</v>
      </c>
      <c r="B1553">
        <v>2025</v>
      </c>
      <c r="C1553" t="s">
        <v>284</v>
      </c>
      <c r="D1553" t="s">
        <v>76</v>
      </c>
      <c r="E1553" t="s">
        <v>115</v>
      </c>
      <c r="F1553" t="s">
        <v>131</v>
      </c>
      <c r="G1553" t="s">
        <v>130</v>
      </c>
      <c r="H1553" t="s">
        <v>285</v>
      </c>
      <c r="I1553" t="s">
        <v>77</v>
      </c>
      <c r="J1553" t="s">
        <v>447</v>
      </c>
      <c r="K1553" t="s">
        <v>57</v>
      </c>
    </row>
    <row r="1554" spans="1:11" x14ac:dyDescent="0.35">
      <c r="A1554" t="s">
        <v>2013</v>
      </c>
      <c r="B1554">
        <v>2025</v>
      </c>
      <c r="C1554" t="s">
        <v>284</v>
      </c>
      <c r="D1554" t="s">
        <v>85</v>
      </c>
      <c r="E1554" t="s">
        <v>117</v>
      </c>
      <c r="F1554" t="s">
        <v>129</v>
      </c>
      <c r="G1554" t="s">
        <v>128</v>
      </c>
      <c r="H1554" t="s">
        <v>285</v>
      </c>
      <c r="I1554" t="s">
        <v>86</v>
      </c>
      <c r="J1554" t="s">
        <v>1505</v>
      </c>
      <c r="K1554" t="s">
        <v>42</v>
      </c>
    </row>
    <row r="1555" spans="1:11" x14ac:dyDescent="0.35">
      <c r="A1555" t="s">
        <v>2014</v>
      </c>
      <c r="B1555">
        <v>2025</v>
      </c>
      <c r="C1555" t="s">
        <v>284</v>
      </c>
      <c r="D1555" t="s">
        <v>76</v>
      </c>
      <c r="E1555" t="s">
        <v>115</v>
      </c>
      <c r="F1555" t="s">
        <v>131</v>
      </c>
      <c r="G1555" t="s">
        <v>132</v>
      </c>
      <c r="H1555" t="s">
        <v>285</v>
      </c>
      <c r="I1555" t="s">
        <v>77</v>
      </c>
      <c r="J1555" t="s">
        <v>286</v>
      </c>
      <c r="K1555" t="s">
        <v>57</v>
      </c>
    </row>
    <row r="1556" spans="1:11" x14ac:dyDescent="0.35">
      <c r="A1556" t="s">
        <v>2015</v>
      </c>
      <c r="B1556">
        <v>2025</v>
      </c>
      <c r="C1556" t="s">
        <v>284</v>
      </c>
      <c r="D1556" t="s">
        <v>85</v>
      </c>
      <c r="E1556" t="s">
        <v>117</v>
      </c>
      <c r="F1556" t="s">
        <v>129</v>
      </c>
      <c r="G1556" t="s">
        <v>128</v>
      </c>
      <c r="H1556" t="s">
        <v>305</v>
      </c>
      <c r="I1556" t="s">
        <v>289</v>
      </c>
      <c r="J1556" t="s">
        <v>2016</v>
      </c>
      <c r="K1556" t="s">
        <v>42</v>
      </c>
    </row>
    <row r="1557" spans="1:11" x14ac:dyDescent="0.35">
      <c r="A1557" t="s">
        <v>2017</v>
      </c>
      <c r="B1557">
        <v>2025</v>
      </c>
      <c r="C1557" t="s">
        <v>284</v>
      </c>
      <c r="D1557" t="s">
        <v>85</v>
      </c>
      <c r="E1557" t="s">
        <v>116</v>
      </c>
      <c r="F1557" t="s">
        <v>127</v>
      </c>
      <c r="G1557" t="s">
        <v>126</v>
      </c>
      <c r="H1557" t="s">
        <v>285</v>
      </c>
      <c r="I1557" t="s">
        <v>86</v>
      </c>
      <c r="J1557" t="s">
        <v>405</v>
      </c>
      <c r="K1557" t="s">
        <v>57</v>
      </c>
    </row>
    <row r="1558" spans="1:11" x14ac:dyDescent="0.35">
      <c r="A1558" t="s">
        <v>2018</v>
      </c>
      <c r="B1558">
        <v>2025</v>
      </c>
      <c r="C1558" t="s">
        <v>284</v>
      </c>
      <c r="D1558" t="s">
        <v>85</v>
      </c>
      <c r="E1558" t="s">
        <v>117</v>
      </c>
      <c r="F1558" t="s">
        <v>288</v>
      </c>
      <c r="G1558" t="s">
        <v>128</v>
      </c>
      <c r="H1558" t="s">
        <v>285</v>
      </c>
      <c r="I1558" t="s">
        <v>289</v>
      </c>
      <c r="J1558" t="s">
        <v>347</v>
      </c>
      <c r="K1558" t="s">
        <v>57</v>
      </c>
    </row>
    <row r="1559" spans="1:11" x14ac:dyDescent="0.35">
      <c r="A1559" t="s">
        <v>2019</v>
      </c>
      <c r="B1559">
        <v>2025</v>
      </c>
      <c r="C1559" t="s">
        <v>284</v>
      </c>
      <c r="D1559" t="s">
        <v>85</v>
      </c>
      <c r="E1559" t="s">
        <v>120</v>
      </c>
      <c r="F1559" t="s">
        <v>129</v>
      </c>
      <c r="G1559" t="s">
        <v>132</v>
      </c>
      <c r="H1559" t="s">
        <v>285</v>
      </c>
      <c r="I1559" t="s">
        <v>535</v>
      </c>
      <c r="J1559" t="s">
        <v>2020</v>
      </c>
      <c r="K1559" t="s">
        <v>42</v>
      </c>
    </row>
    <row r="1560" spans="1:11" x14ac:dyDescent="0.35">
      <c r="A1560" t="s">
        <v>2021</v>
      </c>
      <c r="B1560">
        <v>2025</v>
      </c>
      <c r="C1560" t="s">
        <v>284</v>
      </c>
      <c r="D1560" t="s">
        <v>76</v>
      </c>
      <c r="E1560" t="s">
        <v>119</v>
      </c>
      <c r="F1560" t="s">
        <v>125</v>
      </c>
      <c r="G1560" t="s">
        <v>128</v>
      </c>
      <c r="H1560" t="s">
        <v>285</v>
      </c>
      <c r="I1560" t="s">
        <v>77</v>
      </c>
      <c r="J1560" t="s">
        <v>286</v>
      </c>
      <c r="K1560" t="s">
        <v>57</v>
      </c>
    </row>
    <row r="1561" spans="1:11" x14ac:dyDescent="0.35">
      <c r="A1561" t="s">
        <v>2022</v>
      </c>
      <c r="B1561">
        <v>2025</v>
      </c>
      <c r="C1561" t="s">
        <v>284</v>
      </c>
      <c r="D1561" t="s">
        <v>85</v>
      </c>
      <c r="E1561" t="s">
        <v>116</v>
      </c>
      <c r="F1561" t="s">
        <v>129</v>
      </c>
      <c r="G1561" t="s">
        <v>132</v>
      </c>
      <c r="H1561" t="s">
        <v>285</v>
      </c>
      <c r="I1561" t="s">
        <v>86</v>
      </c>
      <c r="J1561" t="s">
        <v>405</v>
      </c>
      <c r="K1561" t="s">
        <v>57</v>
      </c>
    </row>
    <row r="1562" spans="1:11" x14ac:dyDescent="0.35">
      <c r="A1562" t="s">
        <v>2023</v>
      </c>
      <c r="B1562">
        <v>2025</v>
      </c>
      <c r="C1562" t="s">
        <v>284</v>
      </c>
      <c r="D1562" t="s">
        <v>76</v>
      </c>
      <c r="E1562" t="s">
        <v>115</v>
      </c>
      <c r="F1562" t="s">
        <v>129</v>
      </c>
      <c r="G1562" t="s">
        <v>126</v>
      </c>
      <c r="H1562" t="s">
        <v>305</v>
      </c>
      <c r="I1562" t="s">
        <v>77</v>
      </c>
      <c r="J1562" t="s">
        <v>286</v>
      </c>
      <c r="K1562" t="s">
        <v>57</v>
      </c>
    </row>
    <row r="1563" spans="1:11" x14ac:dyDescent="0.35">
      <c r="A1563" t="s">
        <v>2024</v>
      </c>
      <c r="B1563">
        <v>2025</v>
      </c>
      <c r="C1563" t="s">
        <v>284</v>
      </c>
      <c r="D1563" t="s">
        <v>76</v>
      </c>
      <c r="E1563" t="s">
        <v>110</v>
      </c>
      <c r="F1563" t="s">
        <v>125</v>
      </c>
      <c r="G1563" t="s">
        <v>132</v>
      </c>
      <c r="H1563" t="s">
        <v>285</v>
      </c>
      <c r="I1563" t="s">
        <v>288</v>
      </c>
      <c r="J1563" t="s">
        <v>286</v>
      </c>
      <c r="K1563" t="s">
        <v>57</v>
      </c>
    </row>
    <row r="1564" spans="1:11" x14ac:dyDescent="0.35">
      <c r="A1564" t="s">
        <v>2025</v>
      </c>
      <c r="B1564">
        <v>2025</v>
      </c>
      <c r="C1564" t="s">
        <v>284</v>
      </c>
      <c r="D1564" t="s">
        <v>85</v>
      </c>
      <c r="E1564" t="s">
        <v>116</v>
      </c>
      <c r="F1564" t="s">
        <v>129</v>
      </c>
      <c r="G1564" t="s">
        <v>130</v>
      </c>
      <c r="H1564" t="s">
        <v>285</v>
      </c>
      <c r="I1564" t="s">
        <v>288</v>
      </c>
      <c r="J1564" t="s">
        <v>288</v>
      </c>
      <c r="K1564" t="s">
        <v>57</v>
      </c>
    </row>
    <row r="1565" spans="1:11" x14ac:dyDescent="0.35">
      <c r="A1565" t="s">
        <v>2026</v>
      </c>
      <c r="B1565">
        <v>2025</v>
      </c>
      <c r="C1565" t="s">
        <v>284</v>
      </c>
      <c r="D1565" t="s">
        <v>85</v>
      </c>
      <c r="E1565" t="s">
        <v>116</v>
      </c>
      <c r="F1565" t="s">
        <v>125</v>
      </c>
      <c r="G1565" t="s">
        <v>126</v>
      </c>
      <c r="H1565" t="s">
        <v>285</v>
      </c>
      <c r="I1565" t="s">
        <v>86</v>
      </c>
      <c r="J1565" t="s">
        <v>286</v>
      </c>
      <c r="K1565" t="s">
        <v>57</v>
      </c>
    </row>
    <row r="1566" spans="1:11" x14ac:dyDescent="0.35">
      <c r="A1566" t="s">
        <v>2027</v>
      </c>
      <c r="B1566">
        <v>2025</v>
      </c>
      <c r="C1566" t="s">
        <v>284</v>
      </c>
      <c r="D1566" t="s">
        <v>85</v>
      </c>
      <c r="E1566" t="s">
        <v>117</v>
      </c>
      <c r="F1566" t="s">
        <v>131</v>
      </c>
      <c r="G1566" t="s">
        <v>128</v>
      </c>
      <c r="H1566" t="s">
        <v>285</v>
      </c>
      <c r="I1566" t="s">
        <v>77</v>
      </c>
      <c r="J1566" t="s">
        <v>286</v>
      </c>
      <c r="K1566" t="s">
        <v>57</v>
      </c>
    </row>
    <row r="1567" spans="1:11" x14ac:dyDescent="0.35">
      <c r="A1567" t="s">
        <v>2028</v>
      </c>
      <c r="B1567">
        <v>2025</v>
      </c>
      <c r="C1567" t="s">
        <v>284</v>
      </c>
      <c r="D1567" t="s">
        <v>85</v>
      </c>
      <c r="E1567" t="s">
        <v>116</v>
      </c>
      <c r="F1567" t="s">
        <v>127</v>
      </c>
      <c r="G1567" t="s">
        <v>128</v>
      </c>
      <c r="H1567" t="s">
        <v>285</v>
      </c>
      <c r="I1567" t="s">
        <v>289</v>
      </c>
      <c r="J1567" t="s">
        <v>515</v>
      </c>
      <c r="K1567" t="s">
        <v>57</v>
      </c>
    </row>
    <row r="1568" spans="1:11" x14ac:dyDescent="0.35">
      <c r="A1568" t="s">
        <v>2029</v>
      </c>
      <c r="B1568">
        <v>2025</v>
      </c>
      <c r="C1568" t="s">
        <v>284</v>
      </c>
      <c r="D1568" t="s">
        <v>76</v>
      </c>
      <c r="E1568" t="s">
        <v>107</v>
      </c>
      <c r="F1568" t="s">
        <v>125</v>
      </c>
      <c r="G1568" t="s">
        <v>130</v>
      </c>
      <c r="H1568" t="s">
        <v>285</v>
      </c>
      <c r="I1568" t="s">
        <v>77</v>
      </c>
      <c r="J1568" t="s">
        <v>286</v>
      </c>
      <c r="K1568" t="s">
        <v>57</v>
      </c>
    </row>
    <row r="1569" spans="1:11" x14ac:dyDescent="0.35">
      <c r="A1569" t="s">
        <v>2030</v>
      </c>
      <c r="B1569">
        <v>2025</v>
      </c>
      <c r="C1569" t="s">
        <v>284</v>
      </c>
      <c r="D1569" t="s">
        <v>85</v>
      </c>
      <c r="E1569" t="s">
        <v>116</v>
      </c>
      <c r="F1569" t="s">
        <v>131</v>
      </c>
      <c r="G1569" t="s">
        <v>128</v>
      </c>
      <c r="H1569" t="s">
        <v>285</v>
      </c>
      <c r="I1569" t="s">
        <v>289</v>
      </c>
      <c r="J1569" t="s">
        <v>412</v>
      </c>
      <c r="K1569" t="s">
        <v>57</v>
      </c>
    </row>
    <row r="1570" spans="1:11" x14ac:dyDescent="0.35">
      <c r="A1570" t="s">
        <v>2031</v>
      </c>
      <c r="B1570">
        <v>2025</v>
      </c>
      <c r="C1570" t="s">
        <v>284</v>
      </c>
      <c r="D1570" t="s">
        <v>76</v>
      </c>
      <c r="E1570" t="s">
        <v>119</v>
      </c>
      <c r="F1570" t="s">
        <v>125</v>
      </c>
      <c r="G1570" t="s">
        <v>128</v>
      </c>
      <c r="H1570" t="s">
        <v>285</v>
      </c>
      <c r="I1570" t="s">
        <v>288</v>
      </c>
      <c r="J1570" t="s">
        <v>317</v>
      </c>
      <c r="K1570" t="s">
        <v>57</v>
      </c>
    </row>
    <row r="1571" spans="1:11" x14ac:dyDescent="0.35">
      <c r="A1571" t="s">
        <v>259</v>
      </c>
      <c r="B1571">
        <v>2025</v>
      </c>
      <c r="C1571" t="s">
        <v>284</v>
      </c>
      <c r="D1571" t="s">
        <v>85</v>
      </c>
      <c r="E1571" t="s">
        <v>117</v>
      </c>
      <c r="F1571" t="s">
        <v>129</v>
      </c>
      <c r="G1571" t="s">
        <v>130</v>
      </c>
      <c r="H1571" t="s">
        <v>285</v>
      </c>
      <c r="I1571" t="s">
        <v>288</v>
      </c>
      <c r="J1571" t="s">
        <v>288</v>
      </c>
      <c r="K1571" t="s">
        <v>57</v>
      </c>
    </row>
    <row r="1572" spans="1:11" x14ac:dyDescent="0.35">
      <c r="A1572" t="s">
        <v>2032</v>
      </c>
      <c r="B1572">
        <v>2025</v>
      </c>
      <c r="C1572" t="s">
        <v>284</v>
      </c>
      <c r="D1572" t="s">
        <v>76</v>
      </c>
      <c r="E1572" t="s">
        <v>107</v>
      </c>
      <c r="F1572" t="s">
        <v>125</v>
      </c>
      <c r="G1572" t="s">
        <v>126</v>
      </c>
      <c r="H1572" t="s">
        <v>285</v>
      </c>
      <c r="I1572" t="s">
        <v>77</v>
      </c>
      <c r="J1572" t="s">
        <v>286</v>
      </c>
      <c r="K1572" t="s">
        <v>57</v>
      </c>
    </row>
    <row r="1573" spans="1:11" x14ac:dyDescent="0.35">
      <c r="A1573" t="s">
        <v>2033</v>
      </c>
      <c r="B1573">
        <v>2025</v>
      </c>
      <c r="C1573" t="s">
        <v>284</v>
      </c>
      <c r="D1573" t="s">
        <v>85</v>
      </c>
      <c r="E1573" t="s">
        <v>116</v>
      </c>
      <c r="F1573" t="s">
        <v>288</v>
      </c>
      <c r="G1573" t="s">
        <v>128</v>
      </c>
      <c r="H1573" t="s">
        <v>285</v>
      </c>
      <c r="I1573" t="s">
        <v>77</v>
      </c>
      <c r="J1573" t="s">
        <v>317</v>
      </c>
      <c r="K1573" t="s">
        <v>57</v>
      </c>
    </row>
    <row r="1574" spans="1:11" x14ac:dyDescent="0.35">
      <c r="A1574" t="s">
        <v>2034</v>
      </c>
      <c r="B1574">
        <v>2025</v>
      </c>
      <c r="C1574" t="s">
        <v>284</v>
      </c>
      <c r="D1574" t="s">
        <v>85</v>
      </c>
      <c r="E1574" t="s">
        <v>116</v>
      </c>
      <c r="F1574" t="s">
        <v>125</v>
      </c>
      <c r="G1574" t="s">
        <v>132</v>
      </c>
      <c r="H1574" t="s">
        <v>285</v>
      </c>
      <c r="I1574" t="s">
        <v>289</v>
      </c>
      <c r="J1574" t="s">
        <v>286</v>
      </c>
      <c r="K1574" t="s">
        <v>57</v>
      </c>
    </row>
    <row r="1575" spans="1:11" x14ac:dyDescent="0.35">
      <c r="A1575" t="s">
        <v>2035</v>
      </c>
      <c r="B1575">
        <v>2025</v>
      </c>
      <c r="C1575" t="s">
        <v>284</v>
      </c>
      <c r="D1575" t="s">
        <v>85</v>
      </c>
      <c r="E1575" t="s">
        <v>117</v>
      </c>
      <c r="F1575" t="s">
        <v>288</v>
      </c>
      <c r="G1575" t="s">
        <v>128</v>
      </c>
      <c r="H1575" t="s">
        <v>285</v>
      </c>
      <c r="I1575" t="s">
        <v>77</v>
      </c>
      <c r="J1575" t="s">
        <v>286</v>
      </c>
      <c r="K1575" t="s">
        <v>57</v>
      </c>
    </row>
    <row r="1576" spans="1:11" x14ac:dyDescent="0.35">
      <c r="A1576" t="s">
        <v>2036</v>
      </c>
      <c r="B1576">
        <v>2025</v>
      </c>
      <c r="C1576" t="s">
        <v>284</v>
      </c>
      <c r="D1576" t="s">
        <v>85</v>
      </c>
      <c r="E1576" t="s">
        <v>120</v>
      </c>
      <c r="F1576" t="s">
        <v>127</v>
      </c>
      <c r="G1576" t="s">
        <v>126</v>
      </c>
      <c r="H1576" t="s">
        <v>285</v>
      </c>
      <c r="I1576" t="s">
        <v>77</v>
      </c>
      <c r="J1576" t="s">
        <v>409</v>
      </c>
      <c r="K1576" t="s">
        <v>57</v>
      </c>
    </row>
    <row r="1577" spans="1:11" x14ac:dyDescent="0.35">
      <c r="A1577" t="s">
        <v>2037</v>
      </c>
      <c r="B1577">
        <v>2025</v>
      </c>
      <c r="C1577" t="s">
        <v>284</v>
      </c>
      <c r="D1577" t="s">
        <v>76</v>
      </c>
      <c r="E1577" t="s">
        <v>119</v>
      </c>
      <c r="F1577" t="s">
        <v>127</v>
      </c>
      <c r="G1577" t="s">
        <v>126</v>
      </c>
      <c r="H1577" t="s">
        <v>285</v>
      </c>
      <c r="I1577" t="s">
        <v>426</v>
      </c>
      <c r="J1577" t="s">
        <v>317</v>
      </c>
      <c r="K1577" t="s">
        <v>57</v>
      </c>
    </row>
    <row r="1578" spans="1:11" x14ac:dyDescent="0.35">
      <c r="A1578" t="s">
        <v>2038</v>
      </c>
      <c r="B1578">
        <v>2025</v>
      </c>
      <c r="C1578" t="s">
        <v>284</v>
      </c>
      <c r="D1578" t="s">
        <v>85</v>
      </c>
      <c r="E1578" t="s">
        <v>120</v>
      </c>
      <c r="F1578" t="s">
        <v>127</v>
      </c>
      <c r="G1578" t="s">
        <v>128</v>
      </c>
      <c r="H1578" t="s">
        <v>285</v>
      </c>
      <c r="I1578" t="s">
        <v>86</v>
      </c>
      <c r="J1578" t="s">
        <v>405</v>
      </c>
      <c r="K1578" t="s">
        <v>57</v>
      </c>
    </row>
    <row r="1579" spans="1:11" x14ac:dyDescent="0.35">
      <c r="A1579" t="s">
        <v>2039</v>
      </c>
      <c r="B1579">
        <v>2025</v>
      </c>
      <c r="C1579" t="s">
        <v>284</v>
      </c>
      <c r="D1579" t="s">
        <v>85</v>
      </c>
      <c r="E1579" t="s">
        <v>117</v>
      </c>
      <c r="F1579" t="s">
        <v>125</v>
      </c>
      <c r="G1579" t="s">
        <v>130</v>
      </c>
      <c r="H1579" t="s">
        <v>285</v>
      </c>
      <c r="I1579" t="s">
        <v>86</v>
      </c>
      <c r="J1579" t="s">
        <v>347</v>
      </c>
      <c r="K1579" t="s">
        <v>57</v>
      </c>
    </row>
    <row r="1580" spans="1:11" x14ac:dyDescent="0.35">
      <c r="A1580" t="s">
        <v>2040</v>
      </c>
      <c r="B1580">
        <v>2025</v>
      </c>
      <c r="C1580" t="s">
        <v>284</v>
      </c>
      <c r="D1580" t="s">
        <v>85</v>
      </c>
      <c r="E1580" t="s">
        <v>116</v>
      </c>
      <c r="F1580" t="s">
        <v>129</v>
      </c>
      <c r="G1580" t="s">
        <v>128</v>
      </c>
      <c r="H1580" t="s">
        <v>285</v>
      </c>
      <c r="I1580" t="s">
        <v>426</v>
      </c>
      <c r="J1580" t="s">
        <v>286</v>
      </c>
      <c r="K1580" t="s">
        <v>57</v>
      </c>
    </row>
    <row r="1581" spans="1:11" x14ac:dyDescent="0.35">
      <c r="A1581" t="s">
        <v>2041</v>
      </c>
      <c r="B1581">
        <v>2025</v>
      </c>
      <c r="C1581" t="s">
        <v>284</v>
      </c>
      <c r="D1581" t="s">
        <v>76</v>
      </c>
      <c r="E1581" t="s">
        <v>107</v>
      </c>
      <c r="F1581" t="s">
        <v>125</v>
      </c>
      <c r="G1581" t="s">
        <v>128</v>
      </c>
      <c r="H1581" t="s">
        <v>285</v>
      </c>
      <c r="I1581" t="s">
        <v>288</v>
      </c>
      <c r="J1581" t="s">
        <v>286</v>
      </c>
      <c r="K1581" t="s">
        <v>57</v>
      </c>
    </row>
    <row r="1582" spans="1:11" x14ac:dyDescent="0.35">
      <c r="A1582" t="s">
        <v>2042</v>
      </c>
      <c r="B1582">
        <v>2025</v>
      </c>
      <c r="C1582" t="s">
        <v>284</v>
      </c>
      <c r="D1582" t="s">
        <v>76</v>
      </c>
      <c r="E1582" t="s">
        <v>115</v>
      </c>
      <c r="F1582" t="s">
        <v>127</v>
      </c>
      <c r="G1582" t="s">
        <v>132</v>
      </c>
      <c r="H1582" t="s">
        <v>285</v>
      </c>
      <c r="I1582" t="s">
        <v>288</v>
      </c>
      <c r="J1582" t="s">
        <v>2043</v>
      </c>
      <c r="K1582" t="s">
        <v>42</v>
      </c>
    </row>
    <row r="1583" spans="1:11" x14ac:dyDescent="0.35">
      <c r="A1583" t="s">
        <v>2044</v>
      </c>
      <c r="B1583">
        <v>2025</v>
      </c>
      <c r="C1583" t="s">
        <v>284</v>
      </c>
      <c r="D1583" t="s">
        <v>76</v>
      </c>
      <c r="E1583" t="s">
        <v>107</v>
      </c>
      <c r="F1583" t="s">
        <v>127</v>
      </c>
      <c r="G1583" t="s">
        <v>128</v>
      </c>
      <c r="H1583" t="s">
        <v>285</v>
      </c>
      <c r="I1583" t="s">
        <v>288</v>
      </c>
      <c r="J1583" t="s">
        <v>286</v>
      </c>
      <c r="K1583" t="s">
        <v>57</v>
      </c>
    </row>
    <row r="1584" spans="1:11" x14ac:dyDescent="0.35">
      <c r="A1584" t="s">
        <v>2045</v>
      </c>
      <c r="B1584">
        <v>2025</v>
      </c>
      <c r="C1584" t="s">
        <v>284</v>
      </c>
      <c r="D1584" t="s">
        <v>76</v>
      </c>
      <c r="E1584" t="s">
        <v>118</v>
      </c>
      <c r="F1584" t="s">
        <v>127</v>
      </c>
      <c r="G1584" t="s">
        <v>126</v>
      </c>
      <c r="H1584" t="s">
        <v>285</v>
      </c>
      <c r="I1584" t="s">
        <v>86</v>
      </c>
      <c r="J1584" t="s">
        <v>286</v>
      </c>
      <c r="K1584" t="s">
        <v>57</v>
      </c>
    </row>
    <row r="1585" spans="1:11" x14ac:dyDescent="0.35">
      <c r="A1585" t="s">
        <v>2046</v>
      </c>
      <c r="B1585">
        <v>2025</v>
      </c>
      <c r="C1585" t="s">
        <v>284</v>
      </c>
      <c r="D1585" t="s">
        <v>85</v>
      </c>
      <c r="E1585" t="s">
        <v>117</v>
      </c>
      <c r="F1585" t="s">
        <v>131</v>
      </c>
      <c r="G1585" t="s">
        <v>130</v>
      </c>
      <c r="H1585" t="s">
        <v>285</v>
      </c>
      <c r="I1585" t="s">
        <v>288</v>
      </c>
      <c r="J1585" t="s">
        <v>286</v>
      </c>
      <c r="K1585" t="s">
        <v>57</v>
      </c>
    </row>
    <row r="1586" spans="1:11" x14ac:dyDescent="0.35">
      <c r="A1586" t="s">
        <v>2047</v>
      </c>
      <c r="B1586">
        <v>2025</v>
      </c>
      <c r="C1586" t="s">
        <v>284</v>
      </c>
      <c r="D1586" t="s">
        <v>85</v>
      </c>
      <c r="E1586" t="s">
        <v>116</v>
      </c>
      <c r="F1586" t="s">
        <v>129</v>
      </c>
      <c r="G1586" t="s">
        <v>130</v>
      </c>
      <c r="H1586" t="s">
        <v>285</v>
      </c>
      <c r="I1586" t="s">
        <v>289</v>
      </c>
      <c r="J1586" t="s">
        <v>286</v>
      </c>
      <c r="K1586" t="s">
        <v>57</v>
      </c>
    </row>
    <row r="1587" spans="1:11" x14ac:dyDescent="0.35">
      <c r="A1587" t="s">
        <v>2048</v>
      </c>
      <c r="B1587">
        <v>2025</v>
      </c>
      <c r="C1587" t="s">
        <v>284</v>
      </c>
      <c r="D1587" t="s">
        <v>85</v>
      </c>
      <c r="E1587" t="s">
        <v>120</v>
      </c>
      <c r="F1587" t="s">
        <v>131</v>
      </c>
      <c r="G1587" t="s">
        <v>130</v>
      </c>
      <c r="H1587" t="s">
        <v>285</v>
      </c>
      <c r="I1587" t="s">
        <v>289</v>
      </c>
      <c r="J1587" t="s">
        <v>2049</v>
      </c>
      <c r="K1587" t="s">
        <v>42</v>
      </c>
    </row>
    <row r="1588" spans="1:11" x14ac:dyDescent="0.35">
      <c r="A1588" t="s">
        <v>2050</v>
      </c>
      <c r="B1588">
        <v>2025</v>
      </c>
      <c r="C1588" t="s">
        <v>284</v>
      </c>
      <c r="D1588" t="s">
        <v>85</v>
      </c>
      <c r="E1588" t="s">
        <v>120</v>
      </c>
      <c r="F1588" t="s">
        <v>131</v>
      </c>
      <c r="G1588" t="s">
        <v>130</v>
      </c>
      <c r="H1588" t="s">
        <v>285</v>
      </c>
      <c r="I1588" t="s">
        <v>289</v>
      </c>
      <c r="J1588" t="s">
        <v>2049</v>
      </c>
      <c r="K1588" t="s">
        <v>42</v>
      </c>
    </row>
    <row r="1589" spans="1:11" x14ac:dyDescent="0.35">
      <c r="A1589" t="s">
        <v>2051</v>
      </c>
      <c r="B1589">
        <v>2025</v>
      </c>
      <c r="C1589" t="s">
        <v>284</v>
      </c>
      <c r="D1589" t="s">
        <v>76</v>
      </c>
      <c r="E1589" t="s">
        <v>115</v>
      </c>
      <c r="F1589" t="s">
        <v>125</v>
      </c>
      <c r="G1589" t="s">
        <v>132</v>
      </c>
      <c r="H1589" t="s">
        <v>285</v>
      </c>
      <c r="I1589" t="s">
        <v>1077</v>
      </c>
      <c r="J1589" t="s">
        <v>286</v>
      </c>
      <c r="K1589" t="s">
        <v>57</v>
      </c>
    </row>
    <row r="1590" spans="1:11" x14ac:dyDescent="0.35">
      <c r="A1590" t="s">
        <v>2052</v>
      </c>
      <c r="B1590">
        <v>2025</v>
      </c>
      <c r="C1590" t="s">
        <v>284</v>
      </c>
      <c r="D1590" t="s">
        <v>76</v>
      </c>
      <c r="E1590" t="s">
        <v>108</v>
      </c>
      <c r="F1590" t="s">
        <v>125</v>
      </c>
      <c r="G1590" t="s">
        <v>132</v>
      </c>
      <c r="H1590" t="s">
        <v>285</v>
      </c>
      <c r="I1590" t="s">
        <v>77</v>
      </c>
      <c r="J1590" t="s">
        <v>286</v>
      </c>
      <c r="K1590" t="s">
        <v>57</v>
      </c>
    </row>
    <row r="1591" spans="1:11" x14ac:dyDescent="0.35">
      <c r="A1591" t="s">
        <v>2053</v>
      </c>
      <c r="B1591">
        <v>2025</v>
      </c>
      <c r="C1591" t="s">
        <v>284</v>
      </c>
      <c r="D1591" t="s">
        <v>85</v>
      </c>
      <c r="E1591" t="s">
        <v>117</v>
      </c>
      <c r="F1591" t="s">
        <v>131</v>
      </c>
      <c r="G1591" t="s">
        <v>130</v>
      </c>
      <c r="H1591" t="s">
        <v>285</v>
      </c>
      <c r="I1591" t="s">
        <v>86</v>
      </c>
      <c r="J1591" t="s">
        <v>571</v>
      </c>
      <c r="K1591" t="s">
        <v>42</v>
      </c>
    </row>
    <row r="1592" spans="1:11" x14ac:dyDescent="0.35">
      <c r="A1592" t="s">
        <v>2054</v>
      </c>
      <c r="B1592">
        <v>2025</v>
      </c>
      <c r="C1592" t="s">
        <v>284</v>
      </c>
      <c r="D1592" t="s">
        <v>85</v>
      </c>
      <c r="E1592" t="s">
        <v>116</v>
      </c>
      <c r="F1592" t="s">
        <v>129</v>
      </c>
      <c r="G1592" t="s">
        <v>128</v>
      </c>
      <c r="H1592" t="s">
        <v>285</v>
      </c>
      <c r="I1592" t="s">
        <v>77</v>
      </c>
      <c r="J1592" t="s">
        <v>286</v>
      </c>
      <c r="K1592" t="s">
        <v>57</v>
      </c>
    </row>
    <row r="1593" spans="1:11" x14ac:dyDescent="0.35">
      <c r="A1593" t="s">
        <v>2055</v>
      </c>
      <c r="B1593">
        <v>2025</v>
      </c>
      <c r="C1593" t="s">
        <v>284</v>
      </c>
      <c r="D1593" t="s">
        <v>76</v>
      </c>
      <c r="E1593" t="s">
        <v>119</v>
      </c>
      <c r="F1593" t="s">
        <v>125</v>
      </c>
      <c r="G1593" t="s">
        <v>128</v>
      </c>
      <c r="H1593" t="s">
        <v>285</v>
      </c>
      <c r="I1593" t="s">
        <v>288</v>
      </c>
      <c r="J1593" t="s">
        <v>286</v>
      </c>
      <c r="K1593" t="s">
        <v>57</v>
      </c>
    </row>
    <row r="1594" spans="1:11" x14ac:dyDescent="0.35">
      <c r="A1594" t="s">
        <v>2056</v>
      </c>
      <c r="B1594">
        <v>2025</v>
      </c>
      <c r="C1594" t="s">
        <v>284</v>
      </c>
      <c r="D1594" t="s">
        <v>85</v>
      </c>
      <c r="E1594" t="s">
        <v>377</v>
      </c>
      <c r="F1594" t="s">
        <v>129</v>
      </c>
      <c r="G1594" t="s">
        <v>126</v>
      </c>
      <c r="H1594" t="s">
        <v>285</v>
      </c>
      <c r="I1594" t="s">
        <v>77</v>
      </c>
      <c r="J1594" t="s">
        <v>295</v>
      </c>
      <c r="K1594" t="s">
        <v>57</v>
      </c>
    </row>
    <row r="1595" spans="1:11" x14ac:dyDescent="0.35">
      <c r="A1595" t="s">
        <v>2057</v>
      </c>
      <c r="B1595">
        <v>2025</v>
      </c>
      <c r="C1595" t="s">
        <v>284</v>
      </c>
      <c r="D1595" t="s">
        <v>76</v>
      </c>
      <c r="E1595" t="s">
        <v>118</v>
      </c>
      <c r="F1595" t="s">
        <v>127</v>
      </c>
      <c r="G1595" t="s">
        <v>126</v>
      </c>
      <c r="H1595" t="s">
        <v>285</v>
      </c>
      <c r="I1595" t="s">
        <v>333</v>
      </c>
      <c r="J1595" t="s">
        <v>286</v>
      </c>
      <c r="K1595" t="s">
        <v>57</v>
      </c>
    </row>
    <row r="1596" spans="1:11" x14ac:dyDescent="0.35">
      <c r="A1596" t="s">
        <v>2058</v>
      </c>
      <c r="B1596">
        <v>2025</v>
      </c>
      <c r="C1596" t="s">
        <v>284</v>
      </c>
      <c r="D1596" t="s">
        <v>85</v>
      </c>
      <c r="E1596" t="s">
        <v>117</v>
      </c>
      <c r="F1596" t="s">
        <v>127</v>
      </c>
      <c r="G1596" t="s">
        <v>128</v>
      </c>
      <c r="H1596" t="s">
        <v>285</v>
      </c>
      <c r="I1596" t="s">
        <v>289</v>
      </c>
      <c r="J1596" t="s">
        <v>295</v>
      </c>
      <c r="K1596" t="s">
        <v>57</v>
      </c>
    </row>
    <row r="1597" spans="1:11" x14ac:dyDescent="0.35">
      <c r="A1597" t="s">
        <v>2059</v>
      </c>
      <c r="B1597">
        <v>2025</v>
      </c>
      <c r="C1597" t="s">
        <v>284</v>
      </c>
      <c r="D1597" t="s">
        <v>76</v>
      </c>
      <c r="E1597" t="s">
        <v>113</v>
      </c>
      <c r="F1597" t="s">
        <v>125</v>
      </c>
      <c r="G1597" t="s">
        <v>128</v>
      </c>
      <c r="H1597" t="s">
        <v>285</v>
      </c>
      <c r="I1597" t="s">
        <v>77</v>
      </c>
      <c r="J1597" t="s">
        <v>286</v>
      </c>
      <c r="K1597" t="s">
        <v>57</v>
      </c>
    </row>
    <row r="1598" spans="1:11" x14ac:dyDescent="0.35">
      <c r="A1598" t="s">
        <v>2060</v>
      </c>
      <c r="B1598">
        <v>2025</v>
      </c>
      <c r="C1598" t="s">
        <v>284</v>
      </c>
      <c r="D1598" t="s">
        <v>85</v>
      </c>
      <c r="E1598" t="s">
        <v>116</v>
      </c>
      <c r="F1598" t="s">
        <v>129</v>
      </c>
      <c r="G1598" t="s">
        <v>128</v>
      </c>
      <c r="H1598" t="s">
        <v>285</v>
      </c>
      <c r="I1598" t="s">
        <v>288</v>
      </c>
      <c r="J1598" t="s">
        <v>288</v>
      </c>
      <c r="K1598" t="s">
        <v>57</v>
      </c>
    </row>
    <row r="1599" spans="1:11" x14ac:dyDescent="0.35">
      <c r="A1599" t="s">
        <v>2061</v>
      </c>
      <c r="B1599">
        <v>2025</v>
      </c>
      <c r="C1599" t="s">
        <v>284</v>
      </c>
      <c r="D1599" t="s">
        <v>85</v>
      </c>
      <c r="E1599" t="s">
        <v>116</v>
      </c>
      <c r="F1599" t="s">
        <v>127</v>
      </c>
      <c r="G1599" t="s">
        <v>126</v>
      </c>
      <c r="H1599" t="s">
        <v>285</v>
      </c>
      <c r="I1599" t="s">
        <v>288</v>
      </c>
      <c r="J1599" t="s">
        <v>286</v>
      </c>
      <c r="K1599" t="s">
        <v>57</v>
      </c>
    </row>
    <row r="1600" spans="1:11" x14ac:dyDescent="0.35">
      <c r="A1600" t="s">
        <v>2062</v>
      </c>
      <c r="B1600">
        <v>2025</v>
      </c>
      <c r="C1600" t="s">
        <v>284</v>
      </c>
      <c r="D1600" t="s">
        <v>76</v>
      </c>
      <c r="E1600" t="s">
        <v>107</v>
      </c>
      <c r="F1600" t="s">
        <v>125</v>
      </c>
      <c r="G1600" t="s">
        <v>128</v>
      </c>
      <c r="H1600" t="s">
        <v>285</v>
      </c>
      <c r="I1600" t="s">
        <v>86</v>
      </c>
      <c r="J1600" t="s">
        <v>286</v>
      </c>
      <c r="K1600" t="s">
        <v>57</v>
      </c>
    </row>
    <row r="1601" spans="1:11" x14ac:dyDescent="0.35">
      <c r="A1601" t="s">
        <v>2063</v>
      </c>
      <c r="B1601">
        <v>2025</v>
      </c>
      <c r="C1601" t="s">
        <v>284</v>
      </c>
      <c r="D1601" t="s">
        <v>76</v>
      </c>
      <c r="E1601" t="s">
        <v>107</v>
      </c>
      <c r="F1601" t="s">
        <v>125</v>
      </c>
      <c r="G1601" t="s">
        <v>126</v>
      </c>
      <c r="H1601" t="s">
        <v>285</v>
      </c>
      <c r="I1601" t="s">
        <v>289</v>
      </c>
      <c r="J1601" t="s">
        <v>317</v>
      </c>
      <c r="K1601" t="s">
        <v>57</v>
      </c>
    </row>
    <row r="1602" spans="1:11" x14ac:dyDescent="0.35">
      <c r="A1602" t="s">
        <v>2064</v>
      </c>
      <c r="B1602">
        <v>2025</v>
      </c>
      <c r="C1602" t="s">
        <v>284</v>
      </c>
      <c r="D1602" t="s">
        <v>76</v>
      </c>
      <c r="E1602" t="s">
        <v>108</v>
      </c>
      <c r="F1602" t="s">
        <v>125</v>
      </c>
      <c r="G1602" t="s">
        <v>130</v>
      </c>
      <c r="H1602" t="s">
        <v>285</v>
      </c>
      <c r="I1602" t="s">
        <v>86</v>
      </c>
      <c r="J1602" t="s">
        <v>295</v>
      </c>
      <c r="K1602" t="s">
        <v>57</v>
      </c>
    </row>
    <row r="1603" spans="1:11" x14ac:dyDescent="0.35">
      <c r="A1603" t="s">
        <v>2065</v>
      </c>
      <c r="B1603">
        <v>2025</v>
      </c>
      <c r="C1603" t="s">
        <v>284</v>
      </c>
      <c r="D1603" t="s">
        <v>76</v>
      </c>
      <c r="E1603" t="s">
        <v>115</v>
      </c>
      <c r="F1603" t="s">
        <v>131</v>
      </c>
      <c r="G1603" t="s">
        <v>130</v>
      </c>
      <c r="H1603" t="s">
        <v>285</v>
      </c>
      <c r="I1603" t="s">
        <v>77</v>
      </c>
      <c r="J1603" t="s">
        <v>447</v>
      </c>
      <c r="K1603" t="s">
        <v>57</v>
      </c>
    </row>
    <row r="1604" spans="1:11" x14ac:dyDescent="0.35">
      <c r="A1604" t="s">
        <v>2066</v>
      </c>
      <c r="B1604">
        <v>2025</v>
      </c>
      <c r="C1604" t="s">
        <v>284</v>
      </c>
      <c r="D1604" t="s">
        <v>76</v>
      </c>
      <c r="E1604" t="s">
        <v>107</v>
      </c>
      <c r="F1604" t="s">
        <v>125</v>
      </c>
      <c r="G1604" t="s">
        <v>128</v>
      </c>
      <c r="H1604" t="s">
        <v>285</v>
      </c>
      <c r="I1604" t="s">
        <v>86</v>
      </c>
      <c r="J1604" t="s">
        <v>286</v>
      </c>
      <c r="K1604" t="s">
        <v>57</v>
      </c>
    </row>
    <row r="1605" spans="1:11" x14ac:dyDescent="0.35">
      <c r="A1605" t="s">
        <v>2067</v>
      </c>
      <c r="B1605">
        <v>2025</v>
      </c>
      <c r="C1605" t="s">
        <v>284</v>
      </c>
      <c r="D1605" t="s">
        <v>85</v>
      </c>
      <c r="E1605" t="s">
        <v>117</v>
      </c>
      <c r="F1605" t="s">
        <v>288</v>
      </c>
      <c r="G1605" t="s">
        <v>128</v>
      </c>
      <c r="H1605" t="s">
        <v>305</v>
      </c>
      <c r="I1605" t="s">
        <v>288</v>
      </c>
      <c r="J1605" t="s">
        <v>532</v>
      </c>
      <c r="K1605" t="s">
        <v>57</v>
      </c>
    </row>
    <row r="1606" spans="1:11" x14ac:dyDescent="0.35">
      <c r="A1606" t="s">
        <v>2068</v>
      </c>
      <c r="B1606">
        <v>2025</v>
      </c>
      <c r="C1606" t="s">
        <v>284</v>
      </c>
      <c r="D1606" t="s">
        <v>85</v>
      </c>
      <c r="E1606" t="s">
        <v>116</v>
      </c>
      <c r="F1606" t="s">
        <v>127</v>
      </c>
      <c r="G1606" t="s">
        <v>132</v>
      </c>
      <c r="H1606" t="s">
        <v>285</v>
      </c>
      <c r="I1606" t="s">
        <v>86</v>
      </c>
      <c r="J1606" t="s">
        <v>412</v>
      </c>
      <c r="K1606" t="s">
        <v>57</v>
      </c>
    </row>
    <row r="1607" spans="1:11" x14ac:dyDescent="0.35">
      <c r="A1607" t="s">
        <v>2069</v>
      </c>
      <c r="B1607">
        <v>2025</v>
      </c>
      <c r="C1607" t="s">
        <v>284</v>
      </c>
      <c r="D1607" t="s">
        <v>85</v>
      </c>
      <c r="E1607" t="s">
        <v>377</v>
      </c>
      <c r="F1607" t="s">
        <v>288</v>
      </c>
      <c r="G1607" t="s">
        <v>132</v>
      </c>
      <c r="H1607" t="s">
        <v>305</v>
      </c>
      <c r="I1607" t="s">
        <v>407</v>
      </c>
      <c r="J1607" t="s">
        <v>286</v>
      </c>
      <c r="K1607" t="s">
        <v>57</v>
      </c>
    </row>
    <row r="1608" spans="1:11" x14ac:dyDescent="0.35">
      <c r="A1608" t="s">
        <v>2070</v>
      </c>
      <c r="B1608">
        <v>2025</v>
      </c>
      <c r="C1608" t="s">
        <v>284</v>
      </c>
      <c r="D1608" t="s">
        <v>85</v>
      </c>
      <c r="E1608" t="s">
        <v>377</v>
      </c>
      <c r="F1608" t="s">
        <v>129</v>
      </c>
      <c r="G1608" t="s">
        <v>128</v>
      </c>
      <c r="H1608" t="s">
        <v>305</v>
      </c>
      <c r="I1608" t="s">
        <v>289</v>
      </c>
      <c r="J1608" t="s">
        <v>403</v>
      </c>
      <c r="K1608" t="s">
        <v>57</v>
      </c>
    </row>
    <row r="1609" spans="1:11" x14ac:dyDescent="0.35">
      <c r="A1609" t="s">
        <v>2071</v>
      </c>
      <c r="B1609">
        <v>2025</v>
      </c>
      <c r="C1609" t="s">
        <v>284</v>
      </c>
      <c r="D1609" t="s">
        <v>85</v>
      </c>
      <c r="E1609" t="s">
        <v>116</v>
      </c>
      <c r="F1609" t="s">
        <v>129</v>
      </c>
      <c r="G1609" t="s">
        <v>130</v>
      </c>
      <c r="H1609" t="s">
        <v>285</v>
      </c>
      <c r="I1609" t="s">
        <v>337</v>
      </c>
      <c r="J1609" t="s">
        <v>326</v>
      </c>
      <c r="K1609" t="s">
        <v>57</v>
      </c>
    </row>
    <row r="1610" spans="1:11" x14ac:dyDescent="0.35">
      <c r="A1610" t="s">
        <v>2072</v>
      </c>
      <c r="B1610">
        <v>2025</v>
      </c>
      <c r="C1610" t="s">
        <v>284</v>
      </c>
      <c r="D1610" t="s">
        <v>85</v>
      </c>
      <c r="E1610" t="s">
        <v>116</v>
      </c>
      <c r="F1610" t="s">
        <v>129</v>
      </c>
      <c r="G1610" t="s">
        <v>128</v>
      </c>
      <c r="H1610" t="s">
        <v>285</v>
      </c>
      <c r="I1610" t="s">
        <v>77</v>
      </c>
      <c r="J1610" t="s">
        <v>286</v>
      </c>
      <c r="K1610" t="s">
        <v>57</v>
      </c>
    </row>
    <row r="1611" spans="1:11" x14ac:dyDescent="0.35">
      <c r="A1611" t="s">
        <v>2073</v>
      </c>
      <c r="B1611">
        <v>2025</v>
      </c>
      <c r="C1611" t="s">
        <v>284</v>
      </c>
      <c r="D1611" t="s">
        <v>85</v>
      </c>
      <c r="E1611" t="s">
        <v>120</v>
      </c>
      <c r="F1611" t="s">
        <v>129</v>
      </c>
      <c r="G1611" t="s">
        <v>128</v>
      </c>
      <c r="H1611" t="s">
        <v>285</v>
      </c>
      <c r="I1611" t="s">
        <v>77</v>
      </c>
      <c r="J1611" t="s">
        <v>286</v>
      </c>
      <c r="K1611" t="s">
        <v>57</v>
      </c>
    </row>
    <row r="1612" spans="1:11" x14ac:dyDescent="0.35">
      <c r="A1612" t="s">
        <v>2074</v>
      </c>
      <c r="B1612">
        <v>2025</v>
      </c>
      <c r="C1612" t="s">
        <v>284</v>
      </c>
      <c r="D1612" t="s">
        <v>85</v>
      </c>
      <c r="E1612" t="s">
        <v>117</v>
      </c>
      <c r="F1612" t="s">
        <v>127</v>
      </c>
      <c r="G1612" t="s">
        <v>128</v>
      </c>
      <c r="H1612" t="s">
        <v>305</v>
      </c>
      <c r="I1612" t="s">
        <v>86</v>
      </c>
      <c r="J1612" t="s">
        <v>286</v>
      </c>
      <c r="K1612" t="s">
        <v>57</v>
      </c>
    </row>
    <row r="1613" spans="1:11" x14ac:dyDescent="0.35">
      <c r="A1613" t="s">
        <v>2075</v>
      </c>
      <c r="B1613">
        <v>2025</v>
      </c>
      <c r="C1613" t="s">
        <v>284</v>
      </c>
      <c r="D1613" t="s">
        <v>76</v>
      </c>
      <c r="E1613" t="s">
        <v>119</v>
      </c>
      <c r="F1613" t="s">
        <v>125</v>
      </c>
      <c r="G1613" t="s">
        <v>126</v>
      </c>
      <c r="H1613" t="s">
        <v>285</v>
      </c>
      <c r="I1613" t="s">
        <v>77</v>
      </c>
      <c r="J1613" t="s">
        <v>286</v>
      </c>
      <c r="K1613" t="s">
        <v>57</v>
      </c>
    </row>
    <row r="1614" spans="1:11" x14ac:dyDescent="0.35">
      <c r="A1614" t="s">
        <v>2076</v>
      </c>
      <c r="B1614">
        <v>2025</v>
      </c>
      <c r="C1614" t="s">
        <v>284</v>
      </c>
      <c r="D1614" t="s">
        <v>76</v>
      </c>
      <c r="E1614" t="s">
        <v>115</v>
      </c>
      <c r="F1614" t="s">
        <v>129</v>
      </c>
      <c r="G1614" t="s">
        <v>132</v>
      </c>
      <c r="H1614" t="s">
        <v>357</v>
      </c>
      <c r="I1614" t="s">
        <v>86</v>
      </c>
      <c r="J1614" t="s">
        <v>286</v>
      </c>
      <c r="K1614" t="s">
        <v>57</v>
      </c>
    </row>
    <row r="1615" spans="1:11" x14ac:dyDescent="0.35">
      <c r="A1615" t="s">
        <v>2077</v>
      </c>
      <c r="B1615">
        <v>2025</v>
      </c>
      <c r="C1615" t="s">
        <v>284</v>
      </c>
      <c r="D1615" t="s">
        <v>76</v>
      </c>
      <c r="E1615" t="s">
        <v>119</v>
      </c>
      <c r="F1615" t="s">
        <v>288</v>
      </c>
      <c r="G1615" t="s">
        <v>126</v>
      </c>
      <c r="H1615" t="s">
        <v>285</v>
      </c>
      <c r="I1615" t="s">
        <v>632</v>
      </c>
      <c r="J1615" t="s">
        <v>1775</v>
      </c>
      <c r="K1615" t="s">
        <v>42</v>
      </c>
    </row>
    <row r="1616" spans="1:11" x14ac:dyDescent="0.35">
      <c r="A1616" t="s">
        <v>2078</v>
      </c>
      <c r="B1616">
        <v>2025</v>
      </c>
      <c r="C1616" t="s">
        <v>284</v>
      </c>
      <c r="D1616" t="s">
        <v>76</v>
      </c>
      <c r="E1616" t="s">
        <v>115</v>
      </c>
      <c r="F1616" t="s">
        <v>129</v>
      </c>
      <c r="G1616" t="s">
        <v>128</v>
      </c>
      <c r="H1616" t="s">
        <v>285</v>
      </c>
      <c r="I1616" t="s">
        <v>289</v>
      </c>
      <c r="J1616" t="s">
        <v>286</v>
      </c>
      <c r="K1616" t="s">
        <v>57</v>
      </c>
    </row>
    <row r="1617" spans="1:11" x14ac:dyDescent="0.35">
      <c r="A1617" t="s">
        <v>2079</v>
      </c>
      <c r="B1617">
        <v>2025</v>
      </c>
      <c r="C1617" t="s">
        <v>284</v>
      </c>
      <c r="D1617" t="s">
        <v>76</v>
      </c>
      <c r="E1617" t="s">
        <v>107</v>
      </c>
      <c r="F1617" t="s">
        <v>125</v>
      </c>
      <c r="G1617" t="s">
        <v>128</v>
      </c>
      <c r="H1617" t="s">
        <v>285</v>
      </c>
      <c r="I1617" t="s">
        <v>333</v>
      </c>
      <c r="J1617" t="s">
        <v>286</v>
      </c>
      <c r="K1617" t="s">
        <v>57</v>
      </c>
    </row>
    <row r="1618" spans="1:11" x14ac:dyDescent="0.35">
      <c r="A1618" t="s">
        <v>2080</v>
      </c>
      <c r="B1618">
        <v>2025</v>
      </c>
      <c r="C1618" t="s">
        <v>284</v>
      </c>
      <c r="D1618" t="s">
        <v>76</v>
      </c>
      <c r="E1618" t="s">
        <v>109</v>
      </c>
      <c r="F1618" t="s">
        <v>129</v>
      </c>
      <c r="G1618" t="s">
        <v>130</v>
      </c>
      <c r="H1618" t="s">
        <v>285</v>
      </c>
      <c r="I1618" t="s">
        <v>86</v>
      </c>
      <c r="J1618" t="s">
        <v>286</v>
      </c>
      <c r="K1618" t="s">
        <v>57</v>
      </c>
    </row>
    <row r="1619" spans="1:11" x14ac:dyDescent="0.35">
      <c r="A1619" t="s">
        <v>2081</v>
      </c>
      <c r="B1619">
        <v>2025</v>
      </c>
      <c r="C1619" t="s">
        <v>284</v>
      </c>
      <c r="D1619" t="s">
        <v>85</v>
      </c>
      <c r="E1619" t="s">
        <v>120</v>
      </c>
      <c r="F1619" t="s">
        <v>127</v>
      </c>
      <c r="G1619" t="s">
        <v>132</v>
      </c>
      <c r="H1619" t="s">
        <v>285</v>
      </c>
      <c r="I1619" t="s">
        <v>337</v>
      </c>
      <c r="J1619" t="s">
        <v>2082</v>
      </c>
      <c r="K1619" t="s">
        <v>42</v>
      </c>
    </row>
    <row r="1620" spans="1:11" x14ac:dyDescent="0.35">
      <c r="A1620" t="s">
        <v>2083</v>
      </c>
      <c r="B1620">
        <v>2025</v>
      </c>
      <c r="C1620" t="s">
        <v>284</v>
      </c>
      <c r="D1620" t="s">
        <v>76</v>
      </c>
      <c r="E1620" t="s">
        <v>119</v>
      </c>
      <c r="F1620" t="s">
        <v>129</v>
      </c>
      <c r="G1620" t="s">
        <v>130</v>
      </c>
      <c r="H1620" t="s">
        <v>285</v>
      </c>
      <c r="I1620" t="s">
        <v>86</v>
      </c>
      <c r="J1620" t="s">
        <v>286</v>
      </c>
      <c r="K1620" t="s">
        <v>57</v>
      </c>
    </row>
    <row r="1621" spans="1:11" x14ac:dyDescent="0.35">
      <c r="A1621" t="s">
        <v>2084</v>
      </c>
      <c r="B1621">
        <v>2025</v>
      </c>
      <c r="C1621" t="s">
        <v>284</v>
      </c>
      <c r="D1621" t="s">
        <v>76</v>
      </c>
      <c r="E1621" t="s">
        <v>119</v>
      </c>
      <c r="F1621" t="s">
        <v>125</v>
      </c>
      <c r="G1621" t="s">
        <v>132</v>
      </c>
      <c r="H1621" t="s">
        <v>285</v>
      </c>
      <c r="I1621" t="s">
        <v>86</v>
      </c>
      <c r="J1621" t="s">
        <v>286</v>
      </c>
      <c r="K1621" t="s">
        <v>57</v>
      </c>
    </row>
    <row r="1622" spans="1:11" x14ac:dyDescent="0.35">
      <c r="A1622" t="s">
        <v>2085</v>
      </c>
      <c r="B1622">
        <v>2025</v>
      </c>
      <c r="C1622" t="s">
        <v>284</v>
      </c>
      <c r="D1622" t="s">
        <v>85</v>
      </c>
      <c r="E1622" t="s">
        <v>120</v>
      </c>
      <c r="F1622" t="s">
        <v>127</v>
      </c>
      <c r="G1622" t="s">
        <v>128</v>
      </c>
      <c r="H1622" t="s">
        <v>285</v>
      </c>
      <c r="I1622" t="s">
        <v>86</v>
      </c>
      <c r="J1622" t="s">
        <v>612</v>
      </c>
      <c r="K1622" t="s">
        <v>42</v>
      </c>
    </row>
    <row r="1623" spans="1:11" x14ac:dyDescent="0.35">
      <c r="A1623" t="s">
        <v>2086</v>
      </c>
      <c r="B1623">
        <v>2025</v>
      </c>
      <c r="C1623" t="s">
        <v>284</v>
      </c>
      <c r="D1623" t="s">
        <v>76</v>
      </c>
      <c r="E1623" t="s">
        <v>115</v>
      </c>
      <c r="F1623" t="s">
        <v>127</v>
      </c>
      <c r="G1623" t="s">
        <v>130</v>
      </c>
      <c r="H1623" t="s">
        <v>285</v>
      </c>
      <c r="I1623" t="s">
        <v>1984</v>
      </c>
      <c r="J1623" t="s">
        <v>308</v>
      </c>
      <c r="K1623" t="s">
        <v>42</v>
      </c>
    </row>
    <row r="1624" spans="1:11" x14ac:dyDescent="0.35">
      <c r="A1624" t="s">
        <v>2087</v>
      </c>
      <c r="B1624">
        <v>2025</v>
      </c>
      <c r="C1624" t="s">
        <v>284</v>
      </c>
      <c r="D1624" t="s">
        <v>85</v>
      </c>
      <c r="E1624" t="s">
        <v>117</v>
      </c>
      <c r="F1624" t="s">
        <v>125</v>
      </c>
      <c r="G1624" t="s">
        <v>128</v>
      </c>
      <c r="H1624" t="s">
        <v>285</v>
      </c>
      <c r="I1624" t="s">
        <v>86</v>
      </c>
      <c r="J1624" t="s">
        <v>317</v>
      </c>
      <c r="K1624" t="s">
        <v>57</v>
      </c>
    </row>
    <row r="1625" spans="1:11" x14ac:dyDescent="0.35">
      <c r="A1625" t="s">
        <v>2088</v>
      </c>
      <c r="B1625">
        <v>2025</v>
      </c>
      <c r="C1625" t="s">
        <v>284</v>
      </c>
      <c r="D1625" t="s">
        <v>85</v>
      </c>
      <c r="E1625" t="s">
        <v>116</v>
      </c>
      <c r="F1625" t="s">
        <v>129</v>
      </c>
      <c r="G1625" t="s">
        <v>126</v>
      </c>
      <c r="H1625" t="s">
        <v>285</v>
      </c>
      <c r="I1625" t="s">
        <v>337</v>
      </c>
      <c r="J1625" t="s">
        <v>286</v>
      </c>
      <c r="K1625" t="s">
        <v>57</v>
      </c>
    </row>
    <row r="1626" spans="1:11" x14ac:dyDescent="0.35">
      <c r="A1626" t="s">
        <v>2089</v>
      </c>
      <c r="B1626">
        <v>2025</v>
      </c>
      <c r="C1626" t="s">
        <v>284</v>
      </c>
      <c r="D1626" t="s">
        <v>85</v>
      </c>
      <c r="E1626" t="s">
        <v>117</v>
      </c>
      <c r="F1626" t="s">
        <v>127</v>
      </c>
      <c r="G1626" t="s">
        <v>128</v>
      </c>
      <c r="H1626" t="s">
        <v>305</v>
      </c>
      <c r="I1626" t="s">
        <v>86</v>
      </c>
      <c r="J1626" t="s">
        <v>2090</v>
      </c>
      <c r="K1626" t="s">
        <v>42</v>
      </c>
    </row>
    <row r="1627" spans="1:11" x14ac:dyDescent="0.35">
      <c r="A1627" t="s">
        <v>2091</v>
      </c>
      <c r="B1627">
        <v>2025</v>
      </c>
      <c r="C1627" t="s">
        <v>284</v>
      </c>
      <c r="D1627" t="s">
        <v>76</v>
      </c>
      <c r="E1627" t="s">
        <v>107</v>
      </c>
      <c r="F1627" t="s">
        <v>127</v>
      </c>
      <c r="G1627" t="s">
        <v>128</v>
      </c>
      <c r="H1627" t="s">
        <v>285</v>
      </c>
      <c r="I1627" t="s">
        <v>77</v>
      </c>
      <c r="J1627" t="s">
        <v>286</v>
      </c>
      <c r="K1627" t="s">
        <v>57</v>
      </c>
    </row>
    <row r="1628" spans="1:11" x14ac:dyDescent="0.35">
      <c r="A1628" t="s">
        <v>2092</v>
      </c>
      <c r="B1628">
        <v>2025</v>
      </c>
      <c r="C1628" t="s">
        <v>284</v>
      </c>
      <c r="D1628" t="s">
        <v>85</v>
      </c>
      <c r="E1628" t="s">
        <v>120</v>
      </c>
      <c r="F1628" t="s">
        <v>127</v>
      </c>
      <c r="G1628" t="s">
        <v>132</v>
      </c>
      <c r="H1628" t="s">
        <v>285</v>
      </c>
      <c r="I1628" t="s">
        <v>288</v>
      </c>
      <c r="J1628" t="s">
        <v>286</v>
      </c>
      <c r="K1628" t="s">
        <v>57</v>
      </c>
    </row>
    <row r="1629" spans="1:11" x14ac:dyDescent="0.35">
      <c r="A1629" t="s">
        <v>2093</v>
      </c>
      <c r="B1629">
        <v>2025</v>
      </c>
      <c r="C1629" t="s">
        <v>284</v>
      </c>
      <c r="D1629" t="s">
        <v>76</v>
      </c>
      <c r="E1629" t="s">
        <v>108</v>
      </c>
      <c r="F1629" t="s">
        <v>125</v>
      </c>
      <c r="G1629" t="s">
        <v>128</v>
      </c>
      <c r="H1629" t="s">
        <v>285</v>
      </c>
      <c r="I1629" t="s">
        <v>77</v>
      </c>
      <c r="J1629" t="s">
        <v>447</v>
      </c>
      <c r="K1629" t="s">
        <v>57</v>
      </c>
    </row>
    <row r="1630" spans="1:11" x14ac:dyDescent="0.35">
      <c r="A1630" t="s">
        <v>2094</v>
      </c>
      <c r="B1630">
        <v>2025</v>
      </c>
      <c r="C1630" t="s">
        <v>284</v>
      </c>
      <c r="D1630" t="s">
        <v>76</v>
      </c>
      <c r="E1630" t="s">
        <v>119</v>
      </c>
      <c r="F1630" t="s">
        <v>125</v>
      </c>
      <c r="G1630" t="s">
        <v>132</v>
      </c>
      <c r="H1630" t="s">
        <v>285</v>
      </c>
      <c r="I1630" t="s">
        <v>77</v>
      </c>
      <c r="J1630" t="s">
        <v>286</v>
      </c>
      <c r="K1630" t="s">
        <v>57</v>
      </c>
    </row>
    <row r="1631" spans="1:11" x14ac:dyDescent="0.35">
      <c r="A1631" t="s">
        <v>2095</v>
      </c>
      <c r="B1631">
        <v>2025</v>
      </c>
      <c r="C1631" t="s">
        <v>284</v>
      </c>
      <c r="D1631" t="s">
        <v>76</v>
      </c>
      <c r="E1631" t="s">
        <v>115</v>
      </c>
      <c r="F1631" t="s">
        <v>288</v>
      </c>
      <c r="G1631" t="s">
        <v>130</v>
      </c>
      <c r="H1631" t="s">
        <v>285</v>
      </c>
      <c r="I1631" t="s">
        <v>333</v>
      </c>
      <c r="J1631" t="s">
        <v>532</v>
      </c>
      <c r="K1631" t="s">
        <v>57</v>
      </c>
    </row>
    <row r="1632" spans="1:11" x14ac:dyDescent="0.35">
      <c r="A1632" t="s">
        <v>2096</v>
      </c>
      <c r="B1632">
        <v>2025</v>
      </c>
      <c r="C1632" t="s">
        <v>284</v>
      </c>
      <c r="D1632" t="s">
        <v>76</v>
      </c>
      <c r="E1632" t="s">
        <v>107</v>
      </c>
      <c r="F1632" t="s">
        <v>125</v>
      </c>
      <c r="G1632" t="s">
        <v>126</v>
      </c>
      <c r="H1632" t="s">
        <v>285</v>
      </c>
      <c r="I1632" t="s">
        <v>86</v>
      </c>
      <c r="J1632" t="s">
        <v>288</v>
      </c>
      <c r="K1632" t="s">
        <v>57</v>
      </c>
    </row>
    <row r="1633" spans="1:11" x14ac:dyDescent="0.35">
      <c r="A1633" t="s">
        <v>2097</v>
      </c>
      <c r="B1633">
        <v>2025</v>
      </c>
      <c r="C1633" t="s">
        <v>284</v>
      </c>
      <c r="D1633" t="s">
        <v>85</v>
      </c>
      <c r="E1633" t="s">
        <v>116</v>
      </c>
      <c r="F1633" t="s">
        <v>131</v>
      </c>
      <c r="G1633" t="s">
        <v>126</v>
      </c>
      <c r="H1633" t="s">
        <v>285</v>
      </c>
      <c r="I1633" t="s">
        <v>426</v>
      </c>
      <c r="J1633" t="s">
        <v>286</v>
      </c>
      <c r="K1633" t="s">
        <v>57</v>
      </c>
    </row>
    <row r="1634" spans="1:11" x14ac:dyDescent="0.35">
      <c r="A1634" t="s">
        <v>2098</v>
      </c>
      <c r="B1634">
        <v>2025</v>
      </c>
      <c r="C1634" t="s">
        <v>284</v>
      </c>
      <c r="D1634" t="s">
        <v>76</v>
      </c>
      <c r="E1634" t="s">
        <v>107</v>
      </c>
      <c r="F1634" t="s">
        <v>129</v>
      </c>
      <c r="G1634" t="s">
        <v>132</v>
      </c>
      <c r="H1634" t="s">
        <v>285</v>
      </c>
      <c r="I1634" t="s">
        <v>86</v>
      </c>
      <c r="J1634" t="s">
        <v>317</v>
      </c>
      <c r="K1634" t="s">
        <v>57</v>
      </c>
    </row>
    <row r="1635" spans="1:11" x14ac:dyDescent="0.35">
      <c r="A1635" t="s">
        <v>2099</v>
      </c>
      <c r="B1635">
        <v>2025</v>
      </c>
      <c r="C1635" t="s">
        <v>284</v>
      </c>
      <c r="D1635" t="s">
        <v>76</v>
      </c>
      <c r="E1635" t="s">
        <v>119</v>
      </c>
      <c r="F1635" t="s">
        <v>125</v>
      </c>
      <c r="G1635" t="s">
        <v>126</v>
      </c>
      <c r="H1635" t="s">
        <v>285</v>
      </c>
      <c r="I1635" t="s">
        <v>77</v>
      </c>
      <c r="J1635" t="s">
        <v>308</v>
      </c>
      <c r="K1635" t="s">
        <v>42</v>
      </c>
    </row>
    <row r="1636" spans="1:11" x14ac:dyDescent="0.35">
      <c r="A1636" t="s">
        <v>2100</v>
      </c>
      <c r="B1636">
        <v>2025</v>
      </c>
      <c r="C1636" t="s">
        <v>284</v>
      </c>
      <c r="D1636" t="s">
        <v>85</v>
      </c>
      <c r="E1636" t="s">
        <v>116</v>
      </c>
      <c r="F1636" t="s">
        <v>127</v>
      </c>
      <c r="G1636" t="s">
        <v>128</v>
      </c>
      <c r="H1636" t="s">
        <v>285</v>
      </c>
      <c r="I1636" t="s">
        <v>77</v>
      </c>
      <c r="J1636" t="s">
        <v>286</v>
      </c>
      <c r="K1636" t="s">
        <v>57</v>
      </c>
    </row>
    <row r="1637" spans="1:11" x14ac:dyDescent="0.35">
      <c r="A1637" t="s">
        <v>2101</v>
      </c>
      <c r="B1637">
        <v>2025</v>
      </c>
      <c r="C1637" t="s">
        <v>284</v>
      </c>
      <c r="D1637" t="s">
        <v>76</v>
      </c>
      <c r="E1637" t="s">
        <v>119</v>
      </c>
      <c r="F1637" t="s">
        <v>288</v>
      </c>
      <c r="G1637" t="s">
        <v>132</v>
      </c>
      <c r="H1637" t="s">
        <v>285</v>
      </c>
      <c r="I1637" t="s">
        <v>319</v>
      </c>
      <c r="J1637" t="s">
        <v>503</v>
      </c>
      <c r="K1637" t="s">
        <v>42</v>
      </c>
    </row>
    <row r="1638" spans="1:11" x14ac:dyDescent="0.35">
      <c r="A1638" t="s">
        <v>2102</v>
      </c>
      <c r="B1638">
        <v>2025</v>
      </c>
      <c r="C1638" t="s">
        <v>284</v>
      </c>
      <c r="D1638" t="s">
        <v>76</v>
      </c>
      <c r="E1638" t="s">
        <v>118</v>
      </c>
      <c r="F1638" t="s">
        <v>125</v>
      </c>
      <c r="G1638" t="s">
        <v>126</v>
      </c>
      <c r="H1638" t="s">
        <v>285</v>
      </c>
      <c r="I1638" t="s">
        <v>407</v>
      </c>
      <c r="J1638" t="s">
        <v>286</v>
      </c>
      <c r="K1638" t="s">
        <v>57</v>
      </c>
    </row>
    <row r="1639" spans="1:11" x14ac:dyDescent="0.35">
      <c r="A1639" t="s">
        <v>2103</v>
      </c>
      <c r="B1639">
        <v>2025</v>
      </c>
      <c r="C1639" t="s">
        <v>284</v>
      </c>
      <c r="D1639" t="s">
        <v>85</v>
      </c>
      <c r="E1639" t="s">
        <v>117</v>
      </c>
      <c r="F1639" t="s">
        <v>129</v>
      </c>
      <c r="G1639" t="s">
        <v>128</v>
      </c>
      <c r="H1639" t="s">
        <v>305</v>
      </c>
      <c r="I1639" t="s">
        <v>289</v>
      </c>
      <c r="J1639" t="s">
        <v>347</v>
      </c>
      <c r="K1639" t="s">
        <v>57</v>
      </c>
    </row>
    <row r="1640" spans="1:11" x14ac:dyDescent="0.35">
      <c r="A1640" t="s">
        <v>2104</v>
      </c>
      <c r="B1640">
        <v>2025</v>
      </c>
      <c r="C1640" t="s">
        <v>284</v>
      </c>
      <c r="D1640" t="s">
        <v>76</v>
      </c>
      <c r="E1640" t="s">
        <v>115</v>
      </c>
      <c r="F1640" t="s">
        <v>125</v>
      </c>
      <c r="G1640" t="s">
        <v>132</v>
      </c>
      <c r="H1640" t="s">
        <v>285</v>
      </c>
      <c r="I1640" t="s">
        <v>77</v>
      </c>
      <c r="J1640" t="s">
        <v>286</v>
      </c>
      <c r="K1640" t="s">
        <v>57</v>
      </c>
    </row>
    <row r="1641" spans="1:11" x14ac:dyDescent="0.35">
      <c r="A1641" t="s">
        <v>2105</v>
      </c>
      <c r="B1641">
        <v>2025</v>
      </c>
      <c r="C1641" t="s">
        <v>284</v>
      </c>
      <c r="D1641" t="s">
        <v>76</v>
      </c>
      <c r="E1641" t="s">
        <v>107</v>
      </c>
      <c r="F1641" t="s">
        <v>125</v>
      </c>
      <c r="G1641" t="s">
        <v>130</v>
      </c>
      <c r="H1641" t="s">
        <v>285</v>
      </c>
      <c r="I1641" t="s">
        <v>77</v>
      </c>
      <c r="J1641" t="s">
        <v>286</v>
      </c>
      <c r="K1641" t="s">
        <v>57</v>
      </c>
    </row>
    <row r="1642" spans="1:11" x14ac:dyDescent="0.35">
      <c r="A1642" t="s">
        <v>2106</v>
      </c>
      <c r="B1642">
        <v>2025</v>
      </c>
      <c r="C1642" t="s">
        <v>284</v>
      </c>
      <c r="D1642" t="s">
        <v>76</v>
      </c>
      <c r="E1642" t="s">
        <v>109</v>
      </c>
      <c r="F1642" t="s">
        <v>125</v>
      </c>
      <c r="G1642" t="s">
        <v>126</v>
      </c>
      <c r="H1642" t="s">
        <v>285</v>
      </c>
      <c r="I1642" t="s">
        <v>86</v>
      </c>
      <c r="J1642" t="s">
        <v>286</v>
      </c>
      <c r="K1642" t="s">
        <v>57</v>
      </c>
    </row>
    <row r="1643" spans="1:11" x14ac:dyDescent="0.35">
      <c r="A1643" t="s">
        <v>2107</v>
      </c>
      <c r="B1643">
        <v>2025</v>
      </c>
      <c r="C1643" t="s">
        <v>284</v>
      </c>
      <c r="D1643" t="s">
        <v>85</v>
      </c>
      <c r="E1643" t="s">
        <v>120</v>
      </c>
      <c r="F1643" t="s">
        <v>288</v>
      </c>
      <c r="G1643" t="s">
        <v>130</v>
      </c>
      <c r="H1643" t="s">
        <v>305</v>
      </c>
      <c r="I1643" t="s">
        <v>288</v>
      </c>
      <c r="J1643" t="s">
        <v>288</v>
      </c>
      <c r="K1643" t="s">
        <v>57</v>
      </c>
    </row>
    <row r="1644" spans="1:11" x14ac:dyDescent="0.35">
      <c r="A1644" t="s">
        <v>2108</v>
      </c>
      <c r="B1644">
        <v>2025</v>
      </c>
      <c r="C1644" t="s">
        <v>284</v>
      </c>
      <c r="D1644" t="s">
        <v>76</v>
      </c>
      <c r="E1644" t="s">
        <v>115</v>
      </c>
      <c r="F1644" t="s">
        <v>125</v>
      </c>
      <c r="G1644" t="s">
        <v>132</v>
      </c>
      <c r="H1644" t="s">
        <v>285</v>
      </c>
      <c r="I1644" t="s">
        <v>86</v>
      </c>
      <c r="J1644" t="s">
        <v>286</v>
      </c>
      <c r="K1644" t="s">
        <v>57</v>
      </c>
    </row>
    <row r="1645" spans="1:11" x14ac:dyDescent="0.35">
      <c r="A1645" t="s">
        <v>2109</v>
      </c>
      <c r="B1645">
        <v>2025</v>
      </c>
      <c r="C1645" t="s">
        <v>284</v>
      </c>
      <c r="D1645" t="s">
        <v>85</v>
      </c>
      <c r="E1645" t="s">
        <v>116</v>
      </c>
      <c r="F1645" t="s">
        <v>131</v>
      </c>
      <c r="G1645" t="s">
        <v>128</v>
      </c>
      <c r="H1645" t="s">
        <v>285</v>
      </c>
      <c r="I1645" t="s">
        <v>77</v>
      </c>
      <c r="J1645" t="s">
        <v>286</v>
      </c>
      <c r="K1645" t="s">
        <v>57</v>
      </c>
    </row>
    <row r="1646" spans="1:11" x14ac:dyDescent="0.35">
      <c r="A1646" t="s">
        <v>2110</v>
      </c>
      <c r="B1646">
        <v>2025</v>
      </c>
      <c r="C1646" t="s">
        <v>284</v>
      </c>
      <c r="D1646" t="s">
        <v>76</v>
      </c>
      <c r="E1646" t="s">
        <v>107</v>
      </c>
      <c r="F1646" t="s">
        <v>125</v>
      </c>
      <c r="G1646" t="s">
        <v>128</v>
      </c>
      <c r="H1646" t="s">
        <v>285</v>
      </c>
      <c r="I1646" t="s">
        <v>86</v>
      </c>
      <c r="J1646" t="s">
        <v>312</v>
      </c>
      <c r="K1646" t="s">
        <v>42</v>
      </c>
    </row>
    <row r="1647" spans="1:11" x14ac:dyDescent="0.35">
      <c r="A1647" t="s">
        <v>2111</v>
      </c>
      <c r="B1647">
        <v>2025</v>
      </c>
      <c r="C1647" t="s">
        <v>284</v>
      </c>
      <c r="D1647" t="s">
        <v>76</v>
      </c>
      <c r="E1647" t="s">
        <v>110</v>
      </c>
      <c r="F1647" t="s">
        <v>125</v>
      </c>
      <c r="G1647" t="s">
        <v>126</v>
      </c>
      <c r="H1647" t="s">
        <v>285</v>
      </c>
      <c r="I1647" t="s">
        <v>333</v>
      </c>
      <c r="J1647" t="s">
        <v>286</v>
      </c>
      <c r="K1647" t="s">
        <v>57</v>
      </c>
    </row>
    <row r="1648" spans="1:11" x14ac:dyDescent="0.35">
      <c r="A1648" t="s">
        <v>2112</v>
      </c>
      <c r="B1648">
        <v>2025</v>
      </c>
      <c r="C1648" t="s">
        <v>284</v>
      </c>
      <c r="D1648" t="s">
        <v>76</v>
      </c>
      <c r="E1648" t="s">
        <v>107</v>
      </c>
      <c r="F1648" t="s">
        <v>125</v>
      </c>
      <c r="G1648" t="s">
        <v>128</v>
      </c>
      <c r="H1648" t="s">
        <v>285</v>
      </c>
      <c r="I1648" t="s">
        <v>77</v>
      </c>
      <c r="J1648" t="s">
        <v>286</v>
      </c>
      <c r="K1648" t="s">
        <v>57</v>
      </c>
    </row>
    <row r="1649" spans="1:11" x14ac:dyDescent="0.35">
      <c r="A1649" t="s">
        <v>2113</v>
      </c>
      <c r="B1649">
        <v>2025</v>
      </c>
      <c r="C1649" t="s">
        <v>284</v>
      </c>
      <c r="D1649" t="s">
        <v>76</v>
      </c>
      <c r="E1649" t="s">
        <v>109</v>
      </c>
      <c r="F1649" t="s">
        <v>131</v>
      </c>
      <c r="G1649" t="s">
        <v>130</v>
      </c>
      <c r="H1649" t="s">
        <v>285</v>
      </c>
      <c r="I1649" t="s">
        <v>288</v>
      </c>
      <c r="J1649" t="s">
        <v>286</v>
      </c>
      <c r="K1649" t="s">
        <v>57</v>
      </c>
    </row>
    <row r="1650" spans="1:11" x14ac:dyDescent="0.35">
      <c r="A1650" t="s">
        <v>2114</v>
      </c>
      <c r="B1650">
        <v>2025</v>
      </c>
      <c r="C1650" t="s">
        <v>284</v>
      </c>
      <c r="D1650" t="s">
        <v>76</v>
      </c>
      <c r="E1650" t="s">
        <v>107</v>
      </c>
      <c r="F1650" t="s">
        <v>125</v>
      </c>
      <c r="G1650" t="s">
        <v>126</v>
      </c>
      <c r="H1650" t="s">
        <v>285</v>
      </c>
      <c r="I1650" t="s">
        <v>77</v>
      </c>
      <c r="J1650" t="s">
        <v>286</v>
      </c>
      <c r="K1650" t="s">
        <v>57</v>
      </c>
    </row>
    <row r="1651" spans="1:11" x14ac:dyDescent="0.35">
      <c r="A1651" t="s">
        <v>2115</v>
      </c>
      <c r="B1651">
        <v>2025</v>
      </c>
      <c r="C1651" t="s">
        <v>284</v>
      </c>
      <c r="D1651" t="s">
        <v>76</v>
      </c>
      <c r="E1651" t="s">
        <v>119</v>
      </c>
      <c r="F1651" t="s">
        <v>125</v>
      </c>
      <c r="G1651" t="s">
        <v>132</v>
      </c>
      <c r="H1651" t="s">
        <v>285</v>
      </c>
      <c r="I1651" t="s">
        <v>77</v>
      </c>
      <c r="J1651" t="s">
        <v>286</v>
      </c>
      <c r="K1651" t="s">
        <v>57</v>
      </c>
    </row>
    <row r="1652" spans="1:11" x14ac:dyDescent="0.35">
      <c r="A1652" t="s">
        <v>2116</v>
      </c>
      <c r="B1652">
        <v>2025</v>
      </c>
      <c r="C1652" t="s">
        <v>678</v>
      </c>
      <c r="D1652" t="s">
        <v>85</v>
      </c>
      <c r="E1652" t="s">
        <v>117</v>
      </c>
      <c r="F1652" t="s">
        <v>288</v>
      </c>
      <c r="G1652" t="s">
        <v>132</v>
      </c>
      <c r="H1652" t="s">
        <v>285</v>
      </c>
      <c r="I1652" t="s">
        <v>77</v>
      </c>
      <c r="J1652" t="s">
        <v>286</v>
      </c>
      <c r="K1652" t="s">
        <v>57</v>
      </c>
    </row>
    <row r="1653" spans="1:11" x14ac:dyDescent="0.35">
      <c r="A1653" t="s">
        <v>2117</v>
      </c>
      <c r="B1653">
        <v>2025</v>
      </c>
      <c r="C1653" t="s">
        <v>678</v>
      </c>
      <c r="D1653" t="s">
        <v>85</v>
      </c>
      <c r="E1653" t="s">
        <v>116</v>
      </c>
      <c r="F1653" t="s">
        <v>129</v>
      </c>
      <c r="G1653" t="s">
        <v>126</v>
      </c>
      <c r="H1653" t="s">
        <v>285</v>
      </c>
      <c r="I1653" t="s">
        <v>77</v>
      </c>
      <c r="J1653" t="s">
        <v>326</v>
      </c>
      <c r="K1653" t="s">
        <v>57</v>
      </c>
    </row>
    <row r="1654" spans="1:11" x14ac:dyDescent="0.35">
      <c r="A1654" t="s">
        <v>2118</v>
      </c>
      <c r="B1654">
        <v>2025</v>
      </c>
      <c r="C1654" t="s">
        <v>678</v>
      </c>
      <c r="D1654" t="s">
        <v>76</v>
      </c>
      <c r="E1654" t="s">
        <v>107</v>
      </c>
      <c r="F1654" t="s">
        <v>125</v>
      </c>
      <c r="G1654" t="s">
        <v>128</v>
      </c>
      <c r="H1654" t="s">
        <v>285</v>
      </c>
      <c r="I1654" t="s">
        <v>428</v>
      </c>
      <c r="J1654" t="s">
        <v>509</v>
      </c>
      <c r="K1654" t="s">
        <v>42</v>
      </c>
    </row>
    <row r="1655" spans="1:11" x14ac:dyDescent="0.35">
      <c r="A1655" t="s">
        <v>2119</v>
      </c>
      <c r="B1655">
        <v>2025</v>
      </c>
      <c r="C1655" t="s">
        <v>678</v>
      </c>
      <c r="D1655" t="s">
        <v>85</v>
      </c>
      <c r="E1655" t="s">
        <v>116</v>
      </c>
      <c r="F1655" t="s">
        <v>127</v>
      </c>
      <c r="G1655" t="s">
        <v>128</v>
      </c>
      <c r="H1655" t="s">
        <v>285</v>
      </c>
      <c r="I1655" t="s">
        <v>86</v>
      </c>
      <c r="J1655" t="s">
        <v>286</v>
      </c>
      <c r="K1655" t="s">
        <v>57</v>
      </c>
    </row>
    <row r="1656" spans="1:11" x14ac:dyDescent="0.35">
      <c r="A1656" t="s">
        <v>2120</v>
      </c>
      <c r="B1656">
        <v>2025</v>
      </c>
      <c r="C1656" t="s">
        <v>678</v>
      </c>
      <c r="D1656" t="s">
        <v>76</v>
      </c>
      <c r="E1656" t="s">
        <v>118</v>
      </c>
      <c r="F1656" t="s">
        <v>129</v>
      </c>
      <c r="G1656" t="s">
        <v>128</v>
      </c>
      <c r="H1656" t="s">
        <v>285</v>
      </c>
      <c r="I1656" t="s">
        <v>86</v>
      </c>
      <c r="J1656" t="s">
        <v>566</v>
      </c>
      <c r="K1656" t="s">
        <v>42</v>
      </c>
    </row>
    <row r="1657" spans="1:11" x14ac:dyDescent="0.35">
      <c r="A1657" t="s">
        <v>2121</v>
      </c>
      <c r="B1657">
        <v>2025</v>
      </c>
      <c r="C1657" t="s">
        <v>678</v>
      </c>
      <c r="D1657" t="s">
        <v>85</v>
      </c>
      <c r="E1657" t="s">
        <v>116</v>
      </c>
      <c r="F1657" t="s">
        <v>125</v>
      </c>
      <c r="G1657" t="s">
        <v>130</v>
      </c>
      <c r="H1657" t="s">
        <v>285</v>
      </c>
      <c r="I1657" t="s">
        <v>289</v>
      </c>
      <c r="J1657" t="s">
        <v>347</v>
      </c>
      <c r="K1657" t="s">
        <v>57</v>
      </c>
    </row>
    <row r="1658" spans="1:11" x14ac:dyDescent="0.35">
      <c r="A1658" t="s">
        <v>2122</v>
      </c>
      <c r="B1658">
        <v>2025</v>
      </c>
      <c r="C1658" t="s">
        <v>678</v>
      </c>
      <c r="D1658" t="s">
        <v>76</v>
      </c>
      <c r="E1658" t="s">
        <v>115</v>
      </c>
      <c r="F1658" t="s">
        <v>288</v>
      </c>
      <c r="G1658" t="s">
        <v>126</v>
      </c>
      <c r="H1658" t="s">
        <v>285</v>
      </c>
      <c r="I1658" t="s">
        <v>77</v>
      </c>
      <c r="J1658" t="s">
        <v>317</v>
      </c>
      <c r="K1658" t="s">
        <v>57</v>
      </c>
    </row>
    <row r="1659" spans="1:11" x14ac:dyDescent="0.35">
      <c r="A1659" t="s">
        <v>2123</v>
      </c>
      <c r="B1659">
        <v>2025</v>
      </c>
      <c r="C1659" t="s">
        <v>678</v>
      </c>
      <c r="D1659" t="s">
        <v>85</v>
      </c>
      <c r="E1659" t="s">
        <v>120</v>
      </c>
      <c r="F1659" t="s">
        <v>131</v>
      </c>
      <c r="G1659" t="s">
        <v>130</v>
      </c>
      <c r="H1659" t="s">
        <v>285</v>
      </c>
      <c r="I1659" t="s">
        <v>86</v>
      </c>
      <c r="J1659" t="s">
        <v>286</v>
      </c>
      <c r="K1659" t="s">
        <v>57</v>
      </c>
    </row>
    <row r="1660" spans="1:11" x14ac:dyDescent="0.35">
      <c r="A1660" t="s">
        <v>2124</v>
      </c>
      <c r="B1660">
        <v>2025</v>
      </c>
      <c r="C1660" t="s">
        <v>678</v>
      </c>
      <c r="D1660" t="s">
        <v>76</v>
      </c>
      <c r="E1660" t="s">
        <v>119</v>
      </c>
      <c r="F1660" t="s">
        <v>125</v>
      </c>
      <c r="G1660" t="s">
        <v>126</v>
      </c>
      <c r="H1660" t="s">
        <v>357</v>
      </c>
      <c r="I1660" t="s">
        <v>86</v>
      </c>
      <c r="J1660" t="s">
        <v>317</v>
      </c>
      <c r="K1660" t="s">
        <v>57</v>
      </c>
    </row>
    <row r="1661" spans="1:11" x14ac:dyDescent="0.35">
      <c r="A1661" t="s">
        <v>2125</v>
      </c>
      <c r="B1661">
        <v>2025</v>
      </c>
      <c r="C1661" t="s">
        <v>678</v>
      </c>
      <c r="D1661" t="s">
        <v>76</v>
      </c>
      <c r="E1661" t="s">
        <v>112</v>
      </c>
      <c r="F1661" t="s">
        <v>127</v>
      </c>
      <c r="G1661" t="s">
        <v>128</v>
      </c>
      <c r="H1661" t="s">
        <v>285</v>
      </c>
      <c r="I1661" t="s">
        <v>86</v>
      </c>
      <c r="J1661" t="s">
        <v>481</v>
      </c>
      <c r="K1661" t="s">
        <v>42</v>
      </c>
    </row>
    <row r="1662" spans="1:11" x14ac:dyDescent="0.35">
      <c r="A1662" t="s">
        <v>2126</v>
      </c>
      <c r="B1662">
        <v>2025</v>
      </c>
      <c r="C1662" t="s">
        <v>678</v>
      </c>
      <c r="D1662" t="s">
        <v>76</v>
      </c>
      <c r="E1662" t="s">
        <v>115</v>
      </c>
      <c r="F1662" t="s">
        <v>125</v>
      </c>
      <c r="G1662" t="s">
        <v>130</v>
      </c>
      <c r="H1662" t="s">
        <v>297</v>
      </c>
      <c r="I1662" t="s">
        <v>426</v>
      </c>
      <c r="J1662" t="s">
        <v>2127</v>
      </c>
      <c r="K1662" t="s">
        <v>42</v>
      </c>
    </row>
    <row r="1663" spans="1:11" x14ac:dyDescent="0.35">
      <c r="A1663" t="s">
        <v>2128</v>
      </c>
      <c r="B1663">
        <v>2025</v>
      </c>
      <c r="C1663" t="s">
        <v>678</v>
      </c>
      <c r="D1663" t="s">
        <v>85</v>
      </c>
      <c r="E1663" t="s">
        <v>116</v>
      </c>
      <c r="F1663" t="s">
        <v>131</v>
      </c>
      <c r="G1663" t="s">
        <v>128</v>
      </c>
      <c r="H1663" t="s">
        <v>285</v>
      </c>
      <c r="I1663" t="s">
        <v>289</v>
      </c>
      <c r="J1663" t="s">
        <v>286</v>
      </c>
      <c r="K1663" t="s">
        <v>57</v>
      </c>
    </row>
    <row r="1664" spans="1:11" x14ac:dyDescent="0.35">
      <c r="A1664" t="s">
        <v>2129</v>
      </c>
      <c r="B1664">
        <v>2025</v>
      </c>
      <c r="C1664" t="s">
        <v>678</v>
      </c>
      <c r="D1664" t="s">
        <v>76</v>
      </c>
      <c r="E1664" t="s">
        <v>112</v>
      </c>
      <c r="F1664" t="s">
        <v>125</v>
      </c>
      <c r="G1664" t="s">
        <v>130</v>
      </c>
      <c r="H1664" t="s">
        <v>285</v>
      </c>
      <c r="I1664" t="s">
        <v>289</v>
      </c>
      <c r="J1664" t="s">
        <v>544</v>
      </c>
      <c r="K1664" t="s">
        <v>57</v>
      </c>
    </row>
    <row r="1665" spans="1:11" x14ac:dyDescent="0.35">
      <c r="A1665" t="s">
        <v>2130</v>
      </c>
      <c r="B1665">
        <v>2025</v>
      </c>
      <c r="C1665" t="s">
        <v>678</v>
      </c>
      <c r="D1665" t="s">
        <v>85</v>
      </c>
      <c r="E1665" t="s">
        <v>116</v>
      </c>
      <c r="F1665" t="s">
        <v>127</v>
      </c>
      <c r="G1665" t="s">
        <v>128</v>
      </c>
      <c r="H1665" t="s">
        <v>285</v>
      </c>
      <c r="I1665" t="s">
        <v>77</v>
      </c>
      <c r="J1665" t="s">
        <v>286</v>
      </c>
      <c r="K1665" t="s">
        <v>57</v>
      </c>
    </row>
    <row r="1666" spans="1:11" x14ac:dyDescent="0.35">
      <c r="A1666" t="s">
        <v>2131</v>
      </c>
      <c r="B1666">
        <v>2025</v>
      </c>
      <c r="C1666" t="s">
        <v>678</v>
      </c>
      <c r="D1666" t="s">
        <v>76</v>
      </c>
      <c r="E1666" t="s">
        <v>107</v>
      </c>
      <c r="F1666" t="s">
        <v>125</v>
      </c>
      <c r="G1666" t="s">
        <v>126</v>
      </c>
      <c r="H1666" t="s">
        <v>285</v>
      </c>
      <c r="I1666" t="s">
        <v>86</v>
      </c>
      <c r="J1666" t="s">
        <v>317</v>
      </c>
      <c r="K1666" t="s">
        <v>57</v>
      </c>
    </row>
    <row r="1667" spans="1:11" x14ac:dyDescent="0.35">
      <c r="A1667" t="s">
        <v>2132</v>
      </c>
      <c r="B1667">
        <v>2025</v>
      </c>
      <c r="C1667" t="s">
        <v>678</v>
      </c>
      <c r="D1667" t="s">
        <v>85</v>
      </c>
      <c r="E1667" t="s">
        <v>120</v>
      </c>
      <c r="F1667" t="s">
        <v>134</v>
      </c>
      <c r="G1667" t="s">
        <v>128</v>
      </c>
      <c r="H1667" t="s">
        <v>285</v>
      </c>
      <c r="I1667" t="s">
        <v>77</v>
      </c>
      <c r="J1667" t="s">
        <v>286</v>
      </c>
      <c r="K1667" t="s">
        <v>57</v>
      </c>
    </row>
    <row r="1668" spans="1:11" x14ac:dyDescent="0.35">
      <c r="A1668" t="s">
        <v>2133</v>
      </c>
      <c r="B1668">
        <v>2025</v>
      </c>
      <c r="C1668" t="s">
        <v>678</v>
      </c>
      <c r="D1668" t="s">
        <v>85</v>
      </c>
      <c r="E1668" t="s">
        <v>116</v>
      </c>
      <c r="F1668" t="s">
        <v>125</v>
      </c>
      <c r="G1668" t="s">
        <v>132</v>
      </c>
      <c r="H1668" t="s">
        <v>285</v>
      </c>
      <c r="I1668" t="s">
        <v>288</v>
      </c>
      <c r="J1668" t="s">
        <v>286</v>
      </c>
      <c r="K1668" t="s">
        <v>57</v>
      </c>
    </row>
    <row r="1669" spans="1:11" x14ac:dyDescent="0.35">
      <c r="A1669" t="s">
        <v>2134</v>
      </c>
      <c r="B1669">
        <v>2025</v>
      </c>
      <c r="C1669" t="s">
        <v>678</v>
      </c>
      <c r="D1669" t="s">
        <v>76</v>
      </c>
      <c r="E1669" t="s">
        <v>115</v>
      </c>
      <c r="F1669" t="s">
        <v>125</v>
      </c>
      <c r="G1669" t="s">
        <v>128</v>
      </c>
      <c r="H1669" t="s">
        <v>285</v>
      </c>
      <c r="I1669" t="s">
        <v>288</v>
      </c>
      <c r="J1669" t="s">
        <v>288</v>
      </c>
      <c r="K1669" t="s">
        <v>57</v>
      </c>
    </row>
    <row r="1670" spans="1:11" x14ac:dyDescent="0.35">
      <c r="A1670" t="s">
        <v>2135</v>
      </c>
      <c r="B1670">
        <v>2025</v>
      </c>
      <c r="C1670" t="s">
        <v>678</v>
      </c>
      <c r="D1670" t="s">
        <v>85</v>
      </c>
      <c r="E1670" t="s">
        <v>117</v>
      </c>
      <c r="F1670" t="s">
        <v>134</v>
      </c>
      <c r="G1670" t="s">
        <v>132</v>
      </c>
      <c r="H1670" t="s">
        <v>285</v>
      </c>
      <c r="I1670" t="s">
        <v>461</v>
      </c>
      <c r="J1670" t="s">
        <v>286</v>
      </c>
      <c r="K1670" t="s">
        <v>57</v>
      </c>
    </row>
    <row r="1671" spans="1:11" x14ac:dyDescent="0.35">
      <c r="A1671" t="s">
        <v>2136</v>
      </c>
      <c r="B1671">
        <v>2025</v>
      </c>
      <c r="C1671" t="s">
        <v>678</v>
      </c>
      <c r="D1671" t="s">
        <v>85</v>
      </c>
      <c r="E1671" t="s">
        <v>116</v>
      </c>
      <c r="F1671" t="s">
        <v>129</v>
      </c>
      <c r="G1671" t="s">
        <v>126</v>
      </c>
      <c r="H1671" t="s">
        <v>285</v>
      </c>
      <c r="I1671" t="s">
        <v>289</v>
      </c>
      <c r="J1671" t="s">
        <v>286</v>
      </c>
      <c r="K1671" t="s">
        <v>57</v>
      </c>
    </row>
    <row r="1672" spans="1:11" x14ac:dyDescent="0.35">
      <c r="A1672" t="s">
        <v>2137</v>
      </c>
      <c r="B1672">
        <v>2025</v>
      </c>
      <c r="C1672" t="s">
        <v>678</v>
      </c>
      <c r="D1672" t="s">
        <v>76</v>
      </c>
      <c r="E1672" t="s">
        <v>109</v>
      </c>
      <c r="F1672" t="s">
        <v>129</v>
      </c>
      <c r="G1672" t="s">
        <v>126</v>
      </c>
      <c r="H1672" t="s">
        <v>285</v>
      </c>
      <c r="I1672" t="s">
        <v>77</v>
      </c>
      <c r="J1672" t="s">
        <v>286</v>
      </c>
      <c r="K1672" t="s">
        <v>57</v>
      </c>
    </row>
    <row r="1673" spans="1:11" x14ac:dyDescent="0.35">
      <c r="A1673" t="s">
        <v>2138</v>
      </c>
      <c r="B1673">
        <v>2025</v>
      </c>
      <c r="C1673" t="s">
        <v>678</v>
      </c>
      <c r="D1673" t="s">
        <v>76</v>
      </c>
      <c r="E1673" t="s">
        <v>107</v>
      </c>
      <c r="F1673" t="s">
        <v>125</v>
      </c>
      <c r="G1673" t="s">
        <v>126</v>
      </c>
      <c r="H1673" t="s">
        <v>285</v>
      </c>
      <c r="I1673" t="s">
        <v>77</v>
      </c>
      <c r="J1673" t="s">
        <v>286</v>
      </c>
      <c r="K1673" t="s">
        <v>57</v>
      </c>
    </row>
    <row r="1674" spans="1:11" x14ac:dyDescent="0.35">
      <c r="A1674" t="s">
        <v>2139</v>
      </c>
      <c r="B1674">
        <v>2025</v>
      </c>
      <c r="C1674" t="s">
        <v>678</v>
      </c>
      <c r="D1674" t="s">
        <v>76</v>
      </c>
      <c r="E1674" t="s">
        <v>110</v>
      </c>
      <c r="F1674" t="s">
        <v>125</v>
      </c>
      <c r="G1674" t="s">
        <v>126</v>
      </c>
      <c r="H1674" t="s">
        <v>285</v>
      </c>
      <c r="I1674" t="s">
        <v>426</v>
      </c>
      <c r="J1674" t="s">
        <v>288</v>
      </c>
      <c r="K1674" t="s">
        <v>57</v>
      </c>
    </row>
    <row r="1675" spans="1:11" x14ac:dyDescent="0.35">
      <c r="A1675" t="s">
        <v>2140</v>
      </c>
      <c r="B1675">
        <v>2025</v>
      </c>
      <c r="C1675" t="s">
        <v>678</v>
      </c>
      <c r="D1675" t="s">
        <v>76</v>
      </c>
      <c r="E1675" t="s">
        <v>115</v>
      </c>
      <c r="F1675" t="s">
        <v>288</v>
      </c>
      <c r="G1675" t="s">
        <v>132</v>
      </c>
      <c r="H1675" t="s">
        <v>305</v>
      </c>
      <c r="I1675" t="s">
        <v>288</v>
      </c>
      <c r="J1675" t="s">
        <v>288</v>
      </c>
      <c r="K1675" t="s">
        <v>57</v>
      </c>
    </row>
    <row r="1676" spans="1:11" x14ac:dyDescent="0.35">
      <c r="A1676" t="s">
        <v>2141</v>
      </c>
      <c r="B1676">
        <v>2025</v>
      </c>
      <c r="C1676" t="s">
        <v>678</v>
      </c>
      <c r="D1676" t="s">
        <v>85</v>
      </c>
      <c r="E1676" t="s">
        <v>117</v>
      </c>
      <c r="F1676" t="s">
        <v>125</v>
      </c>
      <c r="G1676" t="s">
        <v>126</v>
      </c>
      <c r="H1676" t="s">
        <v>305</v>
      </c>
      <c r="I1676" t="s">
        <v>86</v>
      </c>
      <c r="J1676" t="s">
        <v>288</v>
      </c>
      <c r="K1676" t="s">
        <v>57</v>
      </c>
    </row>
    <row r="1677" spans="1:11" x14ac:dyDescent="0.35">
      <c r="A1677" t="s">
        <v>2142</v>
      </c>
      <c r="B1677">
        <v>2025</v>
      </c>
      <c r="C1677" t="s">
        <v>678</v>
      </c>
      <c r="D1677" t="s">
        <v>85</v>
      </c>
      <c r="E1677" t="s">
        <v>116</v>
      </c>
      <c r="F1677" t="s">
        <v>129</v>
      </c>
      <c r="G1677" t="s">
        <v>130</v>
      </c>
      <c r="H1677" t="s">
        <v>285</v>
      </c>
      <c r="I1677" t="s">
        <v>86</v>
      </c>
      <c r="J1677" t="s">
        <v>286</v>
      </c>
      <c r="K1677" t="s">
        <v>57</v>
      </c>
    </row>
    <row r="1678" spans="1:11" x14ac:dyDescent="0.35">
      <c r="A1678" t="s">
        <v>2143</v>
      </c>
      <c r="B1678">
        <v>2025</v>
      </c>
      <c r="C1678" t="s">
        <v>678</v>
      </c>
      <c r="D1678" t="s">
        <v>76</v>
      </c>
      <c r="E1678" t="s">
        <v>115</v>
      </c>
      <c r="F1678" t="s">
        <v>125</v>
      </c>
      <c r="G1678" t="s">
        <v>132</v>
      </c>
      <c r="H1678" t="s">
        <v>357</v>
      </c>
      <c r="I1678" t="s">
        <v>86</v>
      </c>
      <c r="J1678" t="s">
        <v>2144</v>
      </c>
      <c r="K1678" t="s">
        <v>42</v>
      </c>
    </row>
    <row r="1679" spans="1:11" x14ac:dyDescent="0.35">
      <c r="A1679" t="s">
        <v>2145</v>
      </c>
      <c r="B1679">
        <v>2025</v>
      </c>
      <c r="C1679" t="s">
        <v>678</v>
      </c>
      <c r="D1679" t="s">
        <v>76</v>
      </c>
      <c r="E1679" t="s">
        <v>108</v>
      </c>
      <c r="F1679" t="s">
        <v>125</v>
      </c>
      <c r="G1679" t="s">
        <v>132</v>
      </c>
      <c r="H1679" t="s">
        <v>285</v>
      </c>
      <c r="I1679" t="s">
        <v>1984</v>
      </c>
      <c r="J1679" t="s">
        <v>308</v>
      </c>
      <c r="K1679" t="s">
        <v>42</v>
      </c>
    </row>
    <row r="1680" spans="1:11" x14ac:dyDescent="0.35">
      <c r="A1680" t="s">
        <v>2146</v>
      </c>
      <c r="B1680">
        <v>2025</v>
      </c>
      <c r="C1680" t="s">
        <v>678</v>
      </c>
      <c r="D1680" t="s">
        <v>85</v>
      </c>
      <c r="E1680" t="s">
        <v>120</v>
      </c>
      <c r="F1680" t="s">
        <v>129</v>
      </c>
      <c r="G1680" t="s">
        <v>130</v>
      </c>
      <c r="H1680" t="s">
        <v>285</v>
      </c>
      <c r="I1680" t="s">
        <v>407</v>
      </c>
      <c r="J1680" t="s">
        <v>317</v>
      </c>
      <c r="K1680" t="s">
        <v>57</v>
      </c>
    </row>
    <row r="1681" spans="1:11" x14ac:dyDescent="0.35">
      <c r="A1681" t="s">
        <v>2147</v>
      </c>
      <c r="B1681">
        <v>2025</v>
      </c>
      <c r="C1681" t="s">
        <v>678</v>
      </c>
      <c r="D1681" t="s">
        <v>76</v>
      </c>
      <c r="E1681" t="s">
        <v>119</v>
      </c>
      <c r="F1681" t="s">
        <v>127</v>
      </c>
      <c r="G1681" t="s">
        <v>126</v>
      </c>
      <c r="H1681" t="s">
        <v>285</v>
      </c>
      <c r="I1681" t="s">
        <v>407</v>
      </c>
      <c r="J1681" t="s">
        <v>447</v>
      </c>
      <c r="K1681" t="s">
        <v>57</v>
      </c>
    </row>
    <row r="1682" spans="1:11" x14ac:dyDescent="0.35">
      <c r="A1682" t="s">
        <v>2148</v>
      </c>
      <c r="B1682">
        <v>2025</v>
      </c>
      <c r="C1682" t="s">
        <v>678</v>
      </c>
      <c r="D1682" t="s">
        <v>76</v>
      </c>
      <c r="E1682" t="s">
        <v>107</v>
      </c>
      <c r="F1682" t="s">
        <v>125</v>
      </c>
      <c r="G1682" t="s">
        <v>132</v>
      </c>
      <c r="H1682" t="s">
        <v>285</v>
      </c>
      <c r="I1682" t="s">
        <v>77</v>
      </c>
      <c r="J1682" t="s">
        <v>2149</v>
      </c>
      <c r="K1682" t="s">
        <v>42</v>
      </c>
    </row>
    <row r="1683" spans="1:11" x14ac:dyDescent="0.35">
      <c r="A1683" t="s">
        <v>2150</v>
      </c>
      <c r="B1683">
        <v>2025</v>
      </c>
      <c r="C1683" t="s">
        <v>678</v>
      </c>
      <c r="D1683" t="s">
        <v>76</v>
      </c>
      <c r="E1683" t="s">
        <v>107</v>
      </c>
      <c r="F1683" t="s">
        <v>125</v>
      </c>
      <c r="G1683" t="s">
        <v>128</v>
      </c>
      <c r="H1683" t="s">
        <v>285</v>
      </c>
      <c r="I1683" t="s">
        <v>86</v>
      </c>
      <c r="J1683" t="s">
        <v>286</v>
      </c>
      <c r="K1683" t="s">
        <v>57</v>
      </c>
    </row>
    <row r="1684" spans="1:11" x14ac:dyDescent="0.35">
      <c r="A1684" t="s">
        <v>2151</v>
      </c>
      <c r="B1684">
        <v>2025</v>
      </c>
      <c r="C1684" t="s">
        <v>678</v>
      </c>
      <c r="D1684" t="s">
        <v>76</v>
      </c>
      <c r="E1684" t="s">
        <v>119</v>
      </c>
      <c r="F1684" t="s">
        <v>125</v>
      </c>
      <c r="G1684" t="s">
        <v>128</v>
      </c>
      <c r="H1684" t="s">
        <v>285</v>
      </c>
      <c r="I1684" t="s">
        <v>2152</v>
      </c>
      <c r="J1684" t="s">
        <v>409</v>
      </c>
      <c r="K1684" t="s">
        <v>57</v>
      </c>
    </row>
    <row r="1685" spans="1:11" x14ac:dyDescent="0.35">
      <c r="A1685" t="s">
        <v>2153</v>
      </c>
      <c r="B1685">
        <v>2025</v>
      </c>
      <c r="C1685" t="s">
        <v>678</v>
      </c>
      <c r="D1685" t="s">
        <v>76</v>
      </c>
      <c r="E1685" t="s">
        <v>115</v>
      </c>
      <c r="F1685" t="s">
        <v>131</v>
      </c>
      <c r="G1685" t="s">
        <v>126</v>
      </c>
      <c r="H1685" t="s">
        <v>285</v>
      </c>
      <c r="I1685" t="s">
        <v>77</v>
      </c>
      <c r="J1685" t="s">
        <v>286</v>
      </c>
      <c r="K1685" t="s">
        <v>57</v>
      </c>
    </row>
    <row r="1686" spans="1:11" x14ac:dyDescent="0.35">
      <c r="A1686" t="s">
        <v>2154</v>
      </c>
      <c r="B1686">
        <v>2025</v>
      </c>
      <c r="C1686" t="s">
        <v>678</v>
      </c>
      <c r="D1686" t="s">
        <v>76</v>
      </c>
      <c r="E1686" t="s">
        <v>108</v>
      </c>
      <c r="F1686" t="s">
        <v>127</v>
      </c>
      <c r="G1686" t="s">
        <v>130</v>
      </c>
      <c r="H1686" t="s">
        <v>285</v>
      </c>
      <c r="I1686" t="s">
        <v>289</v>
      </c>
      <c r="J1686" t="s">
        <v>286</v>
      </c>
      <c r="K1686" t="s">
        <v>57</v>
      </c>
    </row>
    <row r="1687" spans="1:11" x14ac:dyDescent="0.35">
      <c r="A1687" t="s">
        <v>2155</v>
      </c>
      <c r="B1687">
        <v>2025</v>
      </c>
      <c r="C1687" t="s">
        <v>678</v>
      </c>
      <c r="D1687" t="s">
        <v>85</v>
      </c>
      <c r="E1687" t="s">
        <v>120</v>
      </c>
      <c r="F1687" t="s">
        <v>129</v>
      </c>
      <c r="G1687" t="s">
        <v>130</v>
      </c>
      <c r="H1687" t="s">
        <v>305</v>
      </c>
      <c r="I1687" t="s">
        <v>86</v>
      </c>
      <c r="J1687" t="s">
        <v>288</v>
      </c>
      <c r="K1687" t="s">
        <v>57</v>
      </c>
    </row>
    <row r="1688" spans="1:11" x14ac:dyDescent="0.35">
      <c r="A1688" t="s">
        <v>2156</v>
      </c>
      <c r="B1688">
        <v>2025</v>
      </c>
      <c r="C1688" t="s">
        <v>678</v>
      </c>
      <c r="D1688" t="s">
        <v>76</v>
      </c>
      <c r="E1688" t="s">
        <v>110</v>
      </c>
      <c r="F1688" t="s">
        <v>125</v>
      </c>
      <c r="G1688" t="s">
        <v>128</v>
      </c>
      <c r="H1688" t="s">
        <v>285</v>
      </c>
      <c r="I1688" t="s">
        <v>86</v>
      </c>
      <c r="J1688" t="s">
        <v>308</v>
      </c>
      <c r="K1688" t="s">
        <v>42</v>
      </c>
    </row>
    <row r="1689" spans="1:11" x14ac:dyDescent="0.35">
      <c r="A1689" t="s">
        <v>2157</v>
      </c>
      <c r="B1689">
        <v>2025</v>
      </c>
      <c r="C1689" t="s">
        <v>678</v>
      </c>
      <c r="D1689" t="s">
        <v>85</v>
      </c>
      <c r="E1689" t="s">
        <v>117</v>
      </c>
      <c r="F1689" t="s">
        <v>129</v>
      </c>
      <c r="G1689" t="s">
        <v>128</v>
      </c>
      <c r="H1689" t="s">
        <v>305</v>
      </c>
      <c r="I1689" t="s">
        <v>86</v>
      </c>
      <c r="J1689" t="s">
        <v>347</v>
      </c>
      <c r="K1689" t="s">
        <v>57</v>
      </c>
    </row>
    <row r="1690" spans="1:11" x14ac:dyDescent="0.35">
      <c r="A1690" t="s">
        <v>2158</v>
      </c>
      <c r="B1690">
        <v>2025</v>
      </c>
      <c r="C1690" t="s">
        <v>678</v>
      </c>
      <c r="D1690" t="s">
        <v>76</v>
      </c>
      <c r="E1690" t="s">
        <v>109</v>
      </c>
      <c r="F1690" t="s">
        <v>129</v>
      </c>
      <c r="G1690" t="s">
        <v>128</v>
      </c>
      <c r="H1690" t="s">
        <v>285</v>
      </c>
      <c r="I1690" t="s">
        <v>77</v>
      </c>
      <c r="J1690" t="s">
        <v>286</v>
      </c>
      <c r="K1690" t="s">
        <v>57</v>
      </c>
    </row>
    <row r="1691" spans="1:11" x14ac:dyDescent="0.35">
      <c r="A1691" t="s">
        <v>2159</v>
      </c>
      <c r="B1691">
        <v>2025</v>
      </c>
      <c r="C1691" t="s">
        <v>678</v>
      </c>
      <c r="D1691" t="s">
        <v>85</v>
      </c>
      <c r="E1691" t="s">
        <v>116</v>
      </c>
      <c r="F1691" t="s">
        <v>129</v>
      </c>
      <c r="G1691" t="s">
        <v>128</v>
      </c>
      <c r="H1691" t="s">
        <v>285</v>
      </c>
      <c r="I1691" t="s">
        <v>77</v>
      </c>
      <c r="J1691" t="s">
        <v>286</v>
      </c>
      <c r="K1691" t="s">
        <v>57</v>
      </c>
    </row>
    <row r="1692" spans="1:11" x14ac:dyDescent="0.35">
      <c r="A1692" t="s">
        <v>2160</v>
      </c>
      <c r="B1692">
        <v>2025</v>
      </c>
      <c r="C1692" t="s">
        <v>678</v>
      </c>
      <c r="D1692" t="s">
        <v>76</v>
      </c>
      <c r="E1692" t="s">
        <v>115</v>
      </c>
      <c r="F1692" t="s">
        <v>125</v>
      </c>
      <c r="G1692" t="s">
        <v>128</v>
      </c>
      <c r="H1692" t="s">
        <v>285</v>
      </c>
      <c r="I1692" t="s">
        <v>461</v>
      </c>
      <c r="J1692" t="s">
        <v>737</v>
      </c>
      <c r="K1692" t="s">
        <v>57</v>
      </c>
    </row>
    <row r="1693" spans="1:11" x14ac:dyDescent="0.35">
      <c r="A1693" t="s">
        <v>2161</v>
      </c>
      <c r="B1693">
        <v>2025</v>
      </c>
      <c r="C1693" t="s">
        <v>678</v>
      </c>
      <c r="D1693" t="s">
        <v>76</v>
      </c>
      <c r="E1693" t="s">
        <v>112</v>
      </c>
      <c r="F1693" t="s">
        <v>125</v>
      </c>
      <c r="G1693" t="s">
        <v>132</v>
      </c>
      <c r="H1693" t="s">
        <v>285</v>
      </c>
      <c r="I1693" t="s">
        <v>461</v>
      </c>
      <c r="J1693" t="s">
        <v>288</v>
      </c>
      <c r="K1693" t="s">
        <v>57</v>
      </c>
    </row>
    <row r="1694" spans="1:11" x14ac:dyDescent="0.35">
      <c r="A1694" t="s">
        <v>2162</v>
      </c>
      <c r="B1694">
        <v>2025</v>
      </c>
      <c r="C1694" t="s">
        <v>678</v>
      </c>
      <c r="D1694" t="s">
        <v>85</v>
      </c>
      <c r="E1694" t="s">
        <v>117</v>
      </c>
      <c r="F1694" t="s">
        <v>129</v>
      </c>
      <c r="G1694" t="s">
        <v>126</v>
      </c>
      <c r="H1694" t="s">
        <v>305</v>
      </c>
      <c r="I1694" t="s">
        <v>77</v>
      </c>
      <c r="J1694" t="s">
        <v>286</v>
      </c>
      <c r="K1694" t="s">
        <v>57</v>
      </c>
    </row>
    <row r="1695" spans="1:11" x14ac:dyDescent="0.35">
      <c r="A1695" t="s">
        <v>2163</v>
      </c>
      <c r="B1695">
        <v>2025</v>
      </c>
      <c r="C1695" t="s">
        <v>678</v>
      </c>
      <c r="D1695" t="s">
        <v>76</v>
      </c>
      <c r="E1695" t="s">
        <v>107</v>
      </c>
      <c r="F1695" t="s">
        <v>125</v>
      </c>
      <c r="G1695" t="s">
        <v>132</v>
      </c>
      <c r="H1695" t="s">
        <v>285</v>
      </c>
      <c r="I1695" t="s">
        <v>86</v>
      </c>
      <c r="J1695" t="s">
        <v>286</v>
      </c>
      <c r="K1695" t="s">
        <v>57</v>
      </c>
    </row>
    <row r="1696" spans="1:11" x14ac:dyDescent="0.35">
      <c r="A1696" t="s">
        <v>2164</v>
      </c>
      <c r="B1696">
        <v>2025</v>
      </c>
      <c r="C1696" t="s">
        <v>678</v>
      </c>
      <c r="D1696" t="s">
        <v>76</v>
      </c>
      <c r="E1696" t="s">
        <v>108</v>
      </c>
      <c r="F1696" t="s">
        <v>127</v>
      </c>
      <c r="G1696" t="s">
        <v>126</v>
      </c>
      <c r="H1696" t="s">
        <v>285</v>
      </c>
      <c r="I1696" t="s">
        <v>86</v>
      </c>
      <c r="J1696" t="s">
        <v>286</v>
      </c>
      <c r="K1696" t="s">
        <v>57</v>
      </c>
    </row>
    <row r="1697" spans="1:11" x14ac:dyDescent="0.35">
      <c r="A1697" t="s">
        <v>2165</v>
      </c>
      <c r="B1697">
        <v>2025</v>
      </c>
      <c r="C1697" t="s">
        <v>678</v>
      </c>
      <c r="D1697" t="s">
        <v>76</v>
      </c>
      <c r="E1697" t="s">
        <v>109</v>
      </c>
      <c r="F1697" t="s">
        <v>129</v>
      </c>
      <c r="G1697" t="s">
        <v>128</v>
      </c>
      <c r="H1697" t="s">
        <v>285</v>
      </c>
      <c r="I1697" t="s">
        <v>77</v>
      </c>
      <c r="J1697" t="s">
        <v>288</v>
      </c>
      <c r="K1697" t="s">
        <v>57</v>
      </c>
    </row>
    <row r="1698" spans="1:11" x14ac:dyDescent="0.35">
      <c r="A1698" t="s">
        <v>268</v>
      </c>
      <c r="B1698">
        <v>2025</v>
      </c>
      <c r="C1698" t="s">
        <v>678</v>
      </c>
      <c r="D1698" t="s">
        <v>85</v>
      </c>
      <c r="E1698" t="s">
        <v>117</v>
      </c>
      <c r="F1698" t="s">
        <v>127</v>
      </c>
      <c r="G1698" t="s">
        <v>128</v>
      </c>
      <c r="H1698" t="s">
        <v>305</v>
      </c>
      <c r="I1698" t="s">
        <v>289</v>
      </c>
      <c r="J1698" t="s">
        <v>317</v>
      </c>
      <c r="K1698" t="s">
        <v>57</v>
      </c>
    </row>
    <row r="1699" spans="1:11" x14ac:dyDescent="0.35">
      <c r="A1699" t="s">
        <v>2166</v>
      </c>
      <c r="B1699">
        <v>2025</v>
      </c>
      <c r="C1699" t="s">
        <v>678</v>
      </c>
      <c r="D1699" t="s">
        <v>85</v>
      </c>
      <c r="E1699" t="s">
        <v>117</v>
      </c>
      <c r="F1699" t="s">
        <v>129</v>
      </c>
      <c r="G1699" t="s">
        <v>128</v>
      </c>
      <c r="H1699" t="s">
        <v>305</v>
      </c>
      <c r="I1699" t="s">
        <v>86</v>
      </c>
      <c r="J1699" t="s">
        <v>2167</v>
      </c>
      <c r="K1699" t="s">
        <v>42</v>
      </c>
    </row>
    <row r="1700" spans="1:11" x14ac:dyDescent="0.35">
      <c r="A1700" t="s">
        <v>2168</v>
      </c>
      <c r="B1700">
        <v>2025</v>
      </c>
      <c r="C1700" t="s">
        <v>678</v>
      </c>
      <c r="D1700" t="s">
        <v>85</v>
      </c>
      <c r="E1700" t="s">
        <v>117</v>
      </c>
      <c r="F1700" t="s">
        <v>127</v>
      </c>
      <c r="G1700" t="s">
        <v>130</v>
      </c>
      <c r="H1700" t="s">
        <v>305</v>
      </c>
      <c r="I1700" t="s">
        <v>288</v>
      </c>
      <c r="J1700" t="s">
        <v>288</v>
      </c>
      <c r="K1700" t="s">
        <v>57</v>
      </c>
    </row>
    <row r="1701" spans="1:11" x14ac:dyDescent="0.35">
      <c r="A1701" t="s">
        <v>2169</v>
      </c>
      <c r="B1701">
        <v>2025</v>
      </c>
      <c r="C1701" t="s">
        <v>678</v>
      </c>
      <c r="D1701" t="s">
        <v>85</v>
      </c>
      <c r="E1701" t="s">
        <v>120</v>
      </c>
      <c r="F1701" t="s">
        <v>129</v>
      </c>
      <c r="G1701" t="s">
        <v>128</v>
      </c>
      <c r="H1701" t="s">
        <v>305</v>
      </c>
      <c r="I1701" t="s">
        <v>77</v>
      </c>
      <c r="J1701" t="s">
        <v>286</v>
      </c>
      <c r="K1701" t="s">
        <v>57</v>
      </c>
    </row>
    <row r="1702" spans="1:11" x14ac:dyDescent="0.35">
      <c r="A1702" t="s">
        <v>2170</v>
      </c>
      <c r="B1702">
        <v>2025</v>
      </c>
      <c r="C1702" t="s">
        <v>678</v>
      </c>
      <c r="D1702" t="s">
        <v>85</v>
      </c>
      <c r="E1702" t="s">
        <v>116</v>
      </c>
      <c r="F1702" t="s">
        <v>288</v>
      </c>
      <c r="G1702" t="s">
        <v>130</v>
      </c>
      <c r="H1702" t="s">
        <v>305</v>
      </c>
      <c r="I1702" t="s">
        <v>433</v>
      </c>
      <c r="J1702" t="s">
        <v>317</v>
      </c>
      <c r="K1702" t="s">
        <v>57</v>
      </c>
    </row>
    <row r="1703" spans="1:11" x14ac:dyDescent="0.35">
      <c r="A1703" t="s">
        <v>2171</v>
      </c>
      <c r="B1703">
        <v>2025</v>
      </c>
      <c r="C1703" t="s">
        <v>678</v>
      </c>
      <c r="D1703" t="s">
        <v>76</v>
      </c>
      <c r="E1703" t="s">
        <v>109</v>
      </c>
      <c r="F1703" t="s">
        <v>127</v>
      </c>
      <c r="G1703" t="s">
        <v>128</v>
      </c>
      <c r="H1703" t="s">
        <v>285</v>
      </c>
      <c r="I1703" t="s">
        <v>77</v>
      </c>
      <c r="J1703" t="s">
        <v>286</v>
      </c>
      <c r="K1703" t="s">
        <v>57</v>
      </c>
    </row>
    <row r="1704" spans="1:11" x14ac:dyDescent="0.35">
      <c r="A1704" t="s">
        <v>2172</v>
      </c>
      <c r="B1704">
        <v>2025</v>
      </c>
      <c r="C1704" t="s">
        <v>678</v>
      </c>
      <c r="D1704" t="s">
        <v>76</v>
      </c>
      <c r="E1704" t="s">
        <v>108</v>
      </c>
      <c r="F1704" t="s">
        <v>125</v>
      </c>
      <c r="G1704" t="s">
        <v>126</v>
      </c>
      <c r="H1704" t="s">
        <v>285</v>
      </c>
      <c r="I1704" t="s">
        <v>77</v>
      </c>
      <c r="J1704" t="s">
        <v>286</v>
      </c>
      <c r="K1704" t="s">
        <v>57</v>
      </c>
    </row>
    <row r="1705" spans="1:11" x14ac:dyDescent="0.35">
      <c r="A1705" t="s">
        <v>2173</v>
      </c>
      <c r="B1705">
        <v>2025</v>
      </c>
      <c r="C1705" t="s">
        <v>678</v>
      </c>
      <c r="D1705" t="s">
        <v>85</v>
      </c>
      <c r="E1705" t="s">
        <v>117</v>
      </c>
      <c r="F1705" t="s">
        <v>129</v>
      </c>
      <c r="G1705" t="s">
        <v>128</v>
      </c>
      <c r="H1705" t="s">
        <v>305</v>
      </c>
      <c r="I1705" t="s">
        <v>407</v>
      </c>
      <c r="J1705" t="s">
        <v>295</v>
      </c>
      <c r="K1705" t="s">
        <v>57</v>
      </c>
    </row>
    <row r="1706" spans="1:11" x14ac:dyDescent="0.35">
      <c r="A1706" t="s">
        <v>2174</v>
      </c>
      <c r="B1706">
        <v>2025</v>
      </c>
      <c r="C1706" t="s">
        <v>678</v>
      </c>
      <c r="D1706" t="s">
        <v>85</v>
      </c>
      <c r="E1706" t="s">
        <v>117</v>
      </c>
      <c r="F1706" t="s">
        <v>131</v>
      </c>
      <c r="G1706" t="s">
        <v>128</v>
      </c>
      <c r="H1706" t="s">
        <v>285</v>
      </c>
      <c r="I1706" t="s">
        <v>407</v>
      </c>
      <c r="J1706" t="s">
        <v>295</v>
      </c>
      <c r="K1706" t="s">
        <v>57</v>
      </c>
    </row>
    <row r="1707" spans="1:11" x14ac:dyDescent="0.35">
      <c r="A1707" t="s">
        <v>2175</v>
      </c>
      <c r="B1707">
        <v>2025</v>
      </c>
      <c r="C1707" t="s">
        <v>678</v>
      </c>
      <c r="D1707" t="s">
        <v>76</v>
      </c>
      <c r="E1707" t="s">
        <v>360</v>
      </c>
      <c r="F1707" t="s">
        <v>131</v>
      </c>
      <c r="G1707" t="s">
        <v>128</v>
      </c>
      <c r="H1707" t="s">
        <v>285</v>
      </c>
      <c r="I1707" t="s">
        <v>407</v>
      </c>
      <c r="J1707" t="s">
        <v>295</v>
      </c>
      <c r="K1707" t="s">
        <v>57</v>
      </c>
    </row>
    <row r="1708" spans="1:11" x14ac:dyDescent="0.35">
      <c r="A1708" t="s">
        <v>2176</v>
      </c>
      <c r="B1708">
        <v>2025</v>
      </c>
      <c r="C1708" t="s">
        <v>678</v>
      </c>
      <c r="D1708" t="s">
        <v>76</v>
      </c>
      <c r="E1708" t="s">
        <v>119</v>
      </c>
      <c r="F1708" t="s">
        <v>125</v>
      </c>
      <c r="G1708" t="s">
        <v>132</v>
      </c>
      <c r="H1708" t="s">
        <v>357</v>
      </c>
      <c r="I1708" t="s">
        <v>86</v>
      </c>
      <c r="J1708" t="s">
        <v>326</v>
      </c>
      <c r="K1708" t="s">
        <v>57</v>
      </c>
    </row>
    <row r="1709" spans="1:11" x14ac:dyDescent="0.35">
      <c r="A1709" t="s">
        <v>2177</v>
      </c>
      <c r="B1709">
        <v>2025</v>
      </c>
      <c r="C1709" t="s">
        <v>678</v>
      </c>
      <c r="D1709" t="s">
        <v>85</v>
      </c>
      <c r="E1709" t="s">
        <v>120</v>
      </c>
      <c r="F1709" t="s">
        <v>129</v>
      </c>
      <c r="G1709" t="s">
        <v>130</v>
      </c>
      <c r="H1709" t="s">
        <v>305</v>
      </c>
      <c r="I1709" t="s">
        <v>86</v>
      </c>
      <c r="J1709" t="s">
        <v>361</v>
      </c>
      <c r="K1709" t="s">
        <v>57</v>
      </c>
    </row>
    <row r="1710" spans="1:11" x14ac:dyDescent="0.35">
      <c r="A1710" t="s">
        <v>2178</v>
      </c>
      <c r="B1710">
        <v>2025</v>
      </c>
      <c r="C1710" t="s">
        <v>678</v>
      </c>
      <c r="D1710" t="s">
        <v>76</v>
      </c>
      <c r="E1710" t="s">
        <v>107</v>
      </c>
      <c r="F1710" t="s">
        <v>125</v>
      </c>
      <c r="G1710" t="s">
        <v>130</v>
      </c>
      <c r="H1710" t="s">
        <v>285</v>
      </c>
      <c r="I1710" t="s">
        <v>86</v>
      </c>
      <c r="J1710" t="s">
        <v>286</v>
      </c>
      <c r="K1710" t="s">
        <v>57</v>
      </c>
    </row>
    <row r="1711" spans="1:11" x14ac:dyDescent="0.35">
      <c r="A1711" t="s">
        <v>2179</v>
      </c>
      <c r="B1711">
        <v>2025</v>
      </c>
      <c r="C1711" t="s">
        <v>678</v>
      </c>
      <c r="D1711" t="s">
        <v>85</v>
      </c>
      <c r="E1711" t="s">
        <v>116</v>
      </c>
      <c r="F1711" t="s">
        <v>133</v>
      </c>
      <c r="G1711" t="s">
        <v>132</v>
      </c>
      <c r="H1711" t="s">
        <v>305</v>
      </c>
      <c r="I1711" t="s">
        <v>77</v>
      </c>
      <c r="J1711" t="s">
        <v>286</v>
      </c>
      <c r="K1711" t="s">
        <v>57</v>
      </c>
    </row>
    <row r="1712" spans="1:11" x14ac:dyDescent="0.35">
      <c r="A1712" t="s">
        <v>2180</v>
      </c>
      <c r="B1712">
        <v>2025</v>
      </c>
      <c r="C1712" t="s">
        <v>678</v>
      </c>
      <c r="D1712" t="s">
        <v>85</v>
      </c>
      <c r="E1712" t="s">
        <v>116</v>
      </c>
      <c r="F1712" t="s">
        <v>133</v>
      </c>
      <c r="G1712" t="s">
        <v>132</v>
      </c>
      <c r="H1712" t="s">
        <v>285</v>
      </c>
      <c r="I1712" t="s">
        <v>77</v>
      </c>
      <c r="J1712" t="s">
        <v>286</v>
      </c>
      <c r="K1712" t="s">
        <v>57</v>
      </c>
    </row>
    <row r="1713" spans="1:11" x14ac:dyDescent="0.35">
      <c r="A1713" t="s">
        <v>2181</v>
      </c>
      <c r="B1713">
        <v>2025</v>
      </c>
      <c r="C1713" t="s">
        <v>678</v>
      </c>
      <c r="D1713" t="s">
        <v>76</v>
      </c>
      <c r="E1713" t="s">
        <v>119</v>
      </c>
      <c r="F1713" t="s">
        <v>125</v>
      </c>
      <c r="G1713" t="s">
        <v>128</v>
      </c>
      <c r="H1713" t="s">
        <v>285</v>
      </c>
      <c r="I1713" t="s">
        <v>77</v>
      </c>
      <c r="J1713" t="s">
        <v>286</v>
      </c>
      <c r="K1713" t="s">
        <v>57</v>
      </c>
    </row>
    <row r="1714" spans="1:11" x14ac:dyDescent="0.35">
      <c r="A1714" t="s">
        <v>2182</v>
      </c>
      <c r="B1714">
        <v>2025</v>
      </c>
      <c r="C1714" t="s">
        <v>678</v>
      </c>
      <c r="D1714" t="s">
        <v>85</v>
      </c>
      <c r="E1714" t="s">
        <v>117</v>
      </c>
      <c r="F1714" t="s">
        <v>131</v>
      </c>
      <c r="G1714" t="s">
        <v>130</v>
      </c>
      <c r="H1714" t="s">
        <v>285</v>
      </c>
      <c r="I1714" t="s">
        <v>77</v>
      </c>
      <c r="J1714" t="s">
        <v>286</v>
      </c>
      <c r="K1714" t="s">
        <v>57</v>
      </c>
    </row>
    <row r="1715" spans="1:11" x14ac:dyDescent="0.35">
      <c r="A1715" t="s">
        <v>2183</v>
      </c>
      <c r="B1715">
        <v>2025</v>
      </c>
      <c r="C1715" t="s">
        <v>678</v>
      </c>
      <c r="D1715" t="s">
        <v>85</v>
      </c>
      <c r="E1715" t="s">
        <v>116</v>
      </c>
      <c r="F1715" t="s">
        <v>129</v>
      </c>
      <c r="G1715" t="s">
        <v>128</v>
      </c>
      <c r="H1715" t="s">
        <v>285</v>
      </c>
      <c r="I1715" t="s">
        <v>337</v>
      </c>
      <c r="J1715" t="s">
        <v>288</v>
      </c>
      <c r="K1715" t="s">
        <v>57</v>
      </c>
    </row>
    <row r="1716" spans="1:11" x14ac:dyDescent="0.35">
      <c r="A1716" t="s">
        <v>2184</v>
      </c>
      <c r="B1716">
        <v>2025</v>
      </c>
      <c r="C1716" t="s">
        <v>678</v>
      </c>
      <c r="D1716" t="s">
        <v>85</v>
      </c>
      <c r="E1716" t="s">
        <v>116</v>
      </c>
      <c r="F1716" t="s">
        <v>129</v>
      </c>
      <c r="G1716" t="s">
        <v>128</v>
      </c>
      <c r="H1716" t="s">
        <v>285</v>
      </c>
      <c r="I1716" t="s">
        <v>289</v>
      </c>
      <c r="J1716" t="s">
        <v>405</v>
      </c>
      <c r="K1716" t="s">
        <v>57</v>
      </c>
    </row>
    <row r="1717" spans="1:11" x14ac:dyDescent="0.35">
      <c r="A1717" t="s">
        <v>2185</v>
      </c>
      <c r="B1717">
        <v>2025</v>
      </c>
      <c r="C1717" t="s">
        <v>678</v>
      </c>
      <c r="D1717" t="s">
        <v>85</v>
      </c>
      <c r="E1717" t="s">
        <v>377</v>
      </c>
      <c r="F1717" t="s">
        <v>288</v>
      </c>
      <c r="G1717" t="s">
        <v>128</v>
      </c>
      <c r="H1717" t="s">
        <v>285</v>
      </c>
      <c r="I1717" t="s">
        <v>288</v>
      </c>
      <c r="J1717" t="s">
        <v>288</v>
      </c>
      <c r="K1717" t="s">
        <v>57</v>
      </c>
    </row>
    <row r="1718" spans="1:11" x14ac:dyDescent="0.35">
      <c r="A1718" t="s">
        <v>2186</v>
      </c>
      <c r="B1718">
        <v>2025</v>
      </c>
      <c r="C1718" t="s">
        <v>678</v>
      </c>
      <c r="D1718" t="s">
        <v>76</v>
      </c>
      <c r="E1718" t="s">
        <v>119</v>
      </c>
      <c r="F1718" t="s">
        <v>125</v>
      </c>
      <c r="G1718" t="s">
        <v>128</v>
      </c>
      <c r="H1718" t="s">
        <v>285</v>
      </c>
      <c r="I1718" t="s">
        <v>77</v>
      </c>
      <c r="J1718" t="s">
        <v>286</v>
      </c>
      <c r="K1718" t="s">
        <v>57</v>
      </c>
    </row>
    <row r="1719" spans="1:11" x14ac:dyDescent="0.35">
      <c r="A1719" t="s">
        <v>2187</v>
      </c>
      <c r="B1719">
        <v>2025</v>
      </c>
      <c r="C1719" t="s">
        <v>678</v>
      </c>
      <c r="D1719" t="s">
        <v>76</v>
      </c>
      <c r="E1719" t="s">
        <v>110</v>
      </c>
      <c r="F1719" t="s">
        <v>125</v>
      </c>
      <c r="G1719" t="s">
        <v>126</v>
      </c>
      <c r="H1719" t="s">
        <v>285</v>
      </c>
      <c r="I1719" t="s">
        <v>86</v>
      </c>
      <c r="J1719" t="s">
        <v>288</v>
      </c>
      <c r="K1719" t="s">
        <v>57</v>
      </c>
    </row>
    <row r="1720" spans="1:11" x14ac:dyDescent="0.35">
      <c r="A1720" t="s">
        <v>2188</v>
      </c>
      <c r="B1720">
        <v>2025</v>
      </c>
      <c r="C1720" t="s">
        <v>678</v>
      </c>
      <c r="D1720" t="s">
        <v>85</v>
      </c>
      <c r="E1720" t="s">
        <v>120</v>
      </c>
      <c r="F1720" t="s">
        <v>125</v>
      </c>
      <c r="G1720" t="s">
        <v>132</v>
      </c>
      <c r="H1720" t="s">
        <v>285</v>
      </c>
      <c r="I1720" t="s">
        <v>86</v>
      </c>
      <c r="J1720" t="s">
        <v>566</v>
      </c>
      <c r="K1720" t="s">
        <v>42</v>
      </c>
    </row>
    <row r="1721" spans="1:11" x14ac:dyDescent="0.35">
      <c r="A1721" t="s">
        <v>2189</v>
      </c>
      <c r="B1721">
        <v>2025</v>
      </c>
      <c r="C1721" t="s">
        <v>678</v>
      </c>
      <c r="D1721" t="s">
        <v>76</v>
      </c>
      <c r="E1721" t="s">
        <v>115</v>
      </c>
      <c r="F1721" t="s">
        <v>129</v>
      </c>
      <c r="G1721" t="s">
        <v>126</v>
      </c>
      <c r="H1721" t="s">
        <v>357</v>
      </c>
      <c r="I1721" t="s">
        <v>77</v>
      </c>
      <c r="J1721" t="s">
        <v>286</v>
      </c>
      <c r="K1721" t="s">
        <v>57</v>
      </c>
    </row>
    <row r="1722" spans="1:11" x14ac:dyDescent="0.35">
      <c r="A1722" t="s">
        <v>2190</v>
      </c>
      <c r="B1722">
        <v>2025</v>
      </c>
      <c r="C1722" t="s">
        <v>678</v>
      </c>
      <c r="D1722" t="s">
        <v>85</v>
      </c>
      <c r="E1722" t="s">
        <v>116</v>
      </c>
      <c r="F1722" t="s">
        <v>131</v>
      </c>
      <c r="G1722" t="s">
        <v>132</v>
      </c>
      <c r="H1722" t="s">
        <v>285</v>
      </c>
      <c r="I1722" t="s">
        <v>289</v>
      </c>
      <c r="J1722" t="s">
        <v>288</v>
      </c>
      <c r="K1722" t="s">
        <v>57</v>
      </c>
    </row>
    <row r="1723" spans="1:11" x14ac:dyDescent="0.35">
      <c r="A1723" t="s">
        <v>2191</v>
      </c>
      <c r="B1723">
        <v>2025</v>
      </c>
      <c r="C1723" t="s">
        <v>678</v>
      </c>
      <c r="D1723" t="s">
        <v>85</v>
      </c>
      <c r="E1723" t="s">
        <v>117</v>
      </c>
      <c r="F1723" t="s">
        <v>129</v>
      </c>
      <c r="G1723" t="s">
        <v>132</v>
      </c>
      <c r="H1723" t="s">
        <v>285</v>
      </c>
      <c r="I1723" t="s">
        <v>289</v>
      </c>
      <c r="J1723" t="s">
        <v>347</v>
      </c>
      <c r="K1723" t="s">
        <v>57</v>
      </c>
    </row>
    <row r="1724" spans="1:11" x14ac:dyDescent="0.35">
      <c r="A1724" t="s">
        <v>2192</v>
      </c>
      <c r="B1724">
        <v>2025</v>
      </c>
      <c r="C1724" t="s">
        <v>678</v>
      </c>
      <c r="D1724" t="s">
        <v>85</v>
      </c>
      <c r="E1724" t="s">
        <v>117</v>
      </c>
      <c r="F1724" t="s">
        <v>127</v>
      </c>
      <c r="G1724" t="s">
        <v>128</v>
      </c>
      <c r="H1724" t="s">
        <v>285</v>
      </c>
      <c r="I1724" t="s">
        <v>77</v>
      </c>
      <c r="J1724" t="s">
        <v>306</v>
      </c>
      <c r="K1724" t="s">
        <v>57</v>
      </c>
    </row>
    <row r="1725" spans="1:11" x14ac:dyDescent="0.35">
      <c r="A1725" t="s">
        <v>2193</v>
      </c>
      <c r="B1725">
        <v>2025</v>
      </c>
      <c r="C1725" t="s">
        <v>678</v>
      </c>
      <c r="D1725" t="s">
        <v>76</v>
      </c>
      <c r="E1725" t="s">
        <v>110</v>
      </c>
      <c r="F1725" t="s">
        <v>125</v>
      </c>
      <c r="G1725" t="s">
        <v>128</v>
      </c>
      <c r="H1725" t="s">
        <v>285</v>
      </c>
      <c r="I1725" t="s">
        <v>86</v>
      </c>
      <c r="J1725" t="s">
        <v>286</v>
      </c>
      <c r="K1725" t="s">
        <v>57</v>
      </c>
    </row>
    <row r="1726" spans="1:11" x14ac:dyDescent="0.35">
      <c r="A1726" t="s">
        <v>2194</v>
      </c>
      <c r="B1726">
        <v>2025</v>
      </c>
      <c r="C1726" t="s">
        <v>678</v>
      </c>
      <c r="D1726" t="s">
        <v>76</v>
      </c>
      <c r="E1726" t="s">
        <v>119</v>
      </c>
      <c r="F1726" t="s">
        <v>125</v>
      </c>
      <c r="G1726" t="s">
        <v>130</v>
      </c>
      <c r="H1726" t="s">
        <v>285</v>
      </c>
      <c r="I1726" t="s">
        <v>289</v>
      </c>
      <c r="J1726" t="s">
        <v>286</v>
      </c>
      <c r="K1726" t="s">
        <v>57</v>
      </c>
    </row>
    <row r="1727" spans="1:11" x14ac:dyDescent="0.35">
      <c r="A1727" t="s">
        <v>2195</v>
      </c>
      <c r="B1727">
        <v>2025</v>
      </c>
      <c r="C1727" t="s">
        <v>678</v>
      </c>
      <c r="D1727" t="s">
        <v>76</v>
      </c>
      <c r="E1727" t="s">
        <v>115</v>
      </c>
      <c r="F1727" t="s">
        <v>127</v>
      </c>
      <c r="G1727" t="s">
        <v>128</v>
      </c>
      <c r="H1727" t="s">
        <v>357</v>
      </c>
      <c r="I1727" t="s">
        <v>77</v>
      </c>
      <c r="J1727" t="s">
        <v>361</v>
      </c>
      <c r="K1727" t="s">
        <v>57</v>
      </c>
    </row>
    <row r="1728" spans="1:11" x14ac:dyDescent="0.35">
      <c r="A1728" t="s">
        <v>2196</v>
      </c>
      <c r="B1728">
        <v>2025</v>
      </c>
      <c r="C1728" t="s">
        <v>678</v>
      </c>
      <c r="D1728" t="s">
        <v>85</v>
      </c>
      <c r="E1728" t="s">
        <v>120</v>
      </c>
      <c r="F1728" t="s">
        <v>127</v>
      </c>
      <c r="G1728" t="s">
        <v>126</v>
      </c>
      <c r="H1728" t="s">
        <v>285</v>
      </c>
      <c r="I1728" t="s">
        <v>426</v>
      </c>
      <c r="J1728" t="s">
        <v>2197</v>
      </c>
      <c r="K1728" t="s">
        <v>42</v>
      </c>
    </row>
    <row r="1729" spans="1:11" x14ac:dyDescent="0.35">
      <c r="A1729" t="s">
        <v>2198</v>
      </c>
      <c r="B1729">
        <v>2025</v>
      </c>
      <c r="C1729" t="s">
        <v>678</v>
      </c>
      <c r="D1729" t="s">
        <v>76</v>
      </c>
      <c r="E1729" t="s">
        <v>115</v>
      </c>
      <c r="F1729" t="s">
        <v>125</v>
      </c>
      <c r="G1729" t="s">
        <v>130</v>
      </c>
      <c r="H1729" t="s">
        <v>285</v>
      </c>
      <c r="I1729" t="s">
        <v>77</v>
      </c>
      <c r="J1729" t="s">
        <v>286</v>
      </c>
      <c r="K1729" t="s">
        <v>57</v>
      </c>
    </row>
    <row r="1730" spans="1:11" x14ac:dyDescent="0.35">
      <c r="A1730" t="s">
        <v>2199</v>
      </c>
      <c r="B1730">
        <v>2025</v>
      </c>
      <c r="C1730" t="s">
        <v>678</v>
      </c>
      <c r="D1730" t="s">
        <v>85</v>
      </c>
      <c r="E1730" t="s">
        <v>117</v>
      </c>
      <c r="F1730" t="s">
        <v>129</v>
      </c>
      <c r="G1730" t="s">
        <v>126</v>
      </c>
      <c r="H1730" t="s">
        <v>285</v>
      </c>
      <c r="I1730" t="s">
        <v>289</v>
      </c>
      <c r="J1730" t="s">
        <v>347</v>
      </c>
      <c r="K1730" t="s">
        <v>57</v>
      </c>
    </row>
    <row r="1731" spans="1:11" x14ac:dyDescent="0.35">
      <c r="A1731" t="s">
        <v>2200</v>
      </c>
      <c r="B1731">
        <v>2025</v>
      </c>
      <c r="C1731" t="s">
        <v>678</v>
      </c>
      <c r="D1731" t="s">
        <v>76</v>
      </c>
      <c r="E1731" t="s">
        <v>107</v>
      </c>
      <c r="F1731" t="s">
        <v>125</v>
      </c>
      <c r="G1731" t="s">
        <v>126</v>
      </c>
      <c r="H1731" t="s">
        <v>285</v>
      </c>
      <c r="I1731" t="s">
        <v>86</v>
      </c>
      <c r="J1731" t="s">
        <v>317</v>
      </c>
      <c r="K1731" t="s">
        <v>57</v>
      </c>
    </row>
    <row r="1732" spans="1:11" x14ac:dyDescent="0.35">
      <c r="A1732" t="s">
        <v>2201</v>
      </c>
      <c r="B1732">
        <v>2025</v>
      </c>
      <c r="C1732" t="s">
        <v>678</v>
      </c>
      <c r="D1732" t="s">
        <v>76</v>
      </c>
      <c r="E1732" t="s">
        <v>107</v>
      </c>
      <c r="F1732" t="s">
        <v>129</v>
      </c>
      <c r="G1732" t="s">
        <v>126</v>
      </c>
      <c r="H1732" t="s">
        <v>285</v>
      </c>
      <c r="I1732" t="s">
        <v>86</v>
      </c>
      <c r="J1732" t="s">
        <v>317</v>
      </c>
      <c r="K1732" t="s">
        <v>57</v>
      </c>
    </row>
    <row r="1733" spans="1:11" x14ac:dyDescent="0.35">
      <c r="A1733" t="s">
        <v>2202</v>
      </c>
      <c r="B1733">
        <v>2025</v>
      </c>
      <c r="C1733" t="s">
        <v>678</v>
      </c>
      <c r="D1733" t="s">
        <v>85</v>
      </c>
      <c r="E1733" t="s">
        <v>117</v>
      </c>
      <c r="F1733" t="s">
        <v>131</v>
      </c>
      <c r="G1733" t="s">
        <v>130</v>
      </c>
      <c r="H1733" t="s">
        <v>285</v>
      </c>
      <c r="I1733" t="s">
        <v>337</v>
      </c>
      <c r="J1733" t="s">
        <v>403</v>
      </c>
      <c r="K1733" t="s">
        <v>57</v>
      </c>
    </row>
    <row r="1734" spans="1:11" x14ac:dyDescent="0.35">
      <c r="A1734" t="s">
        <v>2203</v>
      </c>
      <c r="B1734">
        <v>2025</v>
      </c>
      <c r="C1734" t="s">
        <v>678</v>
      </c>
      <c r="D1734" t="s">
        <v>85</v>
      </c>
      <c r="E1734" t="s">
        <v>116</v>
      </c>
      <c r="F1734" t="s">
        <v>129</v>
      </c>
      <c r="G1734" t="s">
        <v>132</v>
      </c>
      <c r="H1734" t="s">
        <v>357</v>
      </c>
      <c r="I1734" t="s">
        <v>77</v>
      </c>
      <c r="J1734" t="s">
        <v>286</v>
      </c>
      <c r="K1734" t="s">
        <v>57</v>
      </c>
    </row>
    <row r="1735" spans="1:11" x14ac:dyDescent="0.35">
      <c r="A1735" t="s">
        <v>2204</v>
      </c>
      <c r="B1735">
        <v>2025</v>
      </c>
      <c r="C1735" t="s">
        <v>678</v>
      </c>
      <c r="D1735" t="s">
        <v>76</v>
      </c>
      <c r="E1735" t="s">
        <v>118</v>
      </c>
      <c r="F1735" t="s">
        <v>127</v>
      </c>
      <c r="G1735" t="s">
        <v>128</v>
      </c>
      <c r="H1735" t="s">
        <v>285</v>
      </c>
      <c r="I1735" t="s">
        <v>632</v>
      </c>
      <c r="J1735" t="s">
        <v>286</v>
      </c>
      <c r="K1735" t="s">
        <v>57</v>
      </c>
    </row>
    <row r="1736" spans="1:11" x14ac:dyDescent="0.35">
      <c r="A1736" t="s">
        <v>2205</v>
      </c>
      <c r="B1736">
        <v>2025</v>
      </c>
      <c r="C1736" t="s">
        <v>678</v>
      </c>
      <c r="D1736" t="s">
        <v>76</v>
      </c>
      <c r="E1736" t="s">
        <v>119</v>
      </c>
      <c r="F1736" t="s">
        <v>125</v>
      </c>
      <c r="G1736" t="s">
        <v>132</v>
      </c>
      <c r="H1736" t="s">
        <v>285</v>
      </c>
      <c r="I1736" t="s">
        <v>86</v>
      </c>
      <c r="J1736" t="s">
        <v>288</v>
      </c>
      <c r="K1736" t="s">
        <v>57</v>
      </c>
    </row>
    <row r="1737" spans="1:11" x14ac:dyDescent="0.35">
      <c r="A1737" t="s">
        <v>2206</v>
      </c>
      <c r="B1737">
        <v>2025</v>
      </c>
      <c r="C1737" t="s">
        <v>678</v>
      </c>
      <c r="D1737" t="s">
        <v>76</v>
      </c>
      <c r="E1737" t="s">
        <v>119</v>
      </c>
      <c r="F1737" t="s">
        <v>125</v>
      </c>
      <c r="G1737" t="s">
        <v>126</v>
      </c>
      <c r="H1737" t="s">
        <v>285</v>
      </c>
      <c r="I1737" t="s">
        <v>86</v>
      </c>
      <c r="J1737" t="s">
        <v>361</v>
      </c>
      <c r="K1737" t="s">
        <v>57</v>
      </c>
    </row>
    <row r="1738" spans="1:11" x14ac:dyDescent="0.35">
      <c r="A1738" t="s">
        <v>2207</v>
      </c>
      <c r="B1738">
        <v>2025</v>
      </c>
      <c r="C1738" t="s">
        <v>678</v>
      </c>
      <c r="D1738" t="s">
        <v>76</v>
      </c>
      <c r="E1738" t="s">
        <v>2208</v>
      </c>
      <c r="F1738" t="s">
        <v>134</v>
      </c>
      <c r="G1738" t="s">
        <v>132</v>
      </c>
      <c r="H1738" t="s">
        <v>285</v>
      </c>
      <c r="I1738" t="s">
        <v>77</v>
      </c>
      <c r="J1738" t="s">
        <v>286</v>
      </c>
      <c r="K1738" t="s">
        <v>57</v>
      </c>
    </row>
    <row r="1739" spans="1:11" x14ac:dyDescent="0.35">
      <c r="A1739" t="s">
        <v>2209</v>
      </c>
      <c r="B1739">
        <v>2025</v>
      </c>
      <c r="C1739" t="s">
        <v>678</v>
      </c>
      <c r="D1739" t="s">
        <v>76</v>
      </c>
      <c r="E1739" t="s">
        <v>113</v>
      </c>
      <c r="F1739" t="s">
        <v>125</v>
      </c>
      <c r="G1739" t="s">
        <v>128</v>
      </c>
      <c r="H1739" t="s">
        <v>285</v>
      </c>
      <c r="I1739" t="s">
        <v>86</v>
      </c>
      <c r="J1739" t="s">
        <v>308</v>
      </c>
      <c r="K1739" t="s">
        <v>42</v>
      </c>
    </row>
    <row r="1740" spans="1:11" x14ac:dyDescent="0.35">
      <c r="A1740" t="s">
        <v>2210</v>
      </c>
      <c r="B1740">
        <v>2025</v>
      </c>
      <c r="C1740" t="s">
        <v>678</v>
      </c>
      <c r="D1740" t="s">
        <v>85</v>
      </c>
      <c r="E1740" t="s">
        <v>120</v>
      </c>
      <c r="F1740" t="s">
        <v>129</v>
      </c>
      <c r="G1740" t="s">
        <v>126</v>
      </c>
      <c r="H1740" t="s">
        <v>285</v>
      </c>
      <c r="I1740" t="s">
        <v>756</v>
      </c>
      <c r="J1740" t="s">
        <v>295</v>
      </c>
      <c r="K1740" t="s">
        <v>57</v>
      </c>
    </row>
    <row r="1741" spans="1:11" x14ac:dyDescent="0.35">
      <c r="A1741" t="s">
        <v>2211</v>
      </c>
      <c r="B1741">
        <v>2025</v>
      </c>
      <c r="C1741" t="s">
        <v>678</v>
      </c>
      <c r="D1741" t="s">
        <v>85</v>
      </c>
      <c r="E1741" t="s">
        <v>117</v>
      </c>
      <c r="F1741" t="s">
        <v>125</v>
      </c>
      <c r="G1741" t="s">
        <v>126</v>
      </c>
      <c r="H1741" t="s">
        <v>285</v>
      </c>
      <c r="I1741" t="s">
        <v>86</v>
      </c>
      <c r="J1741" t="s">
        <v>1190</v>
      </c>
      <c r="K1741" t="s">
        <v>57</v>
      </c>
    </row>
    <row r="1742" spans="1:11" x14ac:dyDescent="0.35">
      <c r="A1742" t="s">
        <v>2212</v>
      </c>
      <c r="B1742">
        <v>2025</v>
      </c>
      <c r="C1742" t="s">
        <v>678</v>
      </c>
      <c r="D1742" t="s">
        <v>85</v>
      </c>
      <c r="E1742" t="s">
        <v>116</v>
      </c>
      <c r="F1742" t="s">
        <v>127</v>
      </c>
      <c r="G1742" t="s">
        <v>126</v>
      </c>
      <c r="H1742" t="s">
        <v>285</v>
      </c>
      <c r="I1742" t="s">
        <v>289</v>
      </c>
      <c r="J1742" t="s">
        <v>286</v>
      </c>
      <c r="K1742" t="s">
        <v>57</v>
      </c>
    </row>
    <row r="1743" spans="1:11" x14ac:dyDescent="0.35">
      <c r="A1743" t="s">
        <v>2213</v>
      </c>
      <c r="B1743">
        <v>2025</v>
      </c>
      <c r="C1743" t="s">
        <v>678</v>
      </c>
      <c r="D1743" t="s">
        <v>76</v>
      </c>
      <c r="E1743" t="s">
        <v>115</v>
      </c>
      <c r="F1743" t="s">
        <v>127</v>
      </c>
      <c r="G1743" t="s">
        <v>132</v>
      </c>
      <c r="H1743" t="s">
        <v>357</v>
      </c>
      <c r="I1743" t="s">
        <v>77</v>
      </c>
      <c r="J1743" t="s">
        <v>286</v>
      </c>
      <c r="K1743" t="s">
        <v>57</v>
      </c>
    </row>
    <row r="1744" spans="1:11" x14ac:dyDescent="0.35">
      <c r="A1744" t="s">
        <v>2214</v>
      </c>
      <c r="B1744">
        <v>2025</v>
      </c>
      <c r="C1744" t="s">
        <v>678</v>
      </c>
      <c r="D1744" t="s">
        <v>85</v>
      </c>
      <c r="E1744" t="s">
        <v>116</v>
      </c>
      <c r="F1744" t="s">
        <v>134</v>
      </c>
      <c r="G1744" t="s">
        <v>128</v>
      </c>
      <c r="H1744" t="s">
        <v>285</v>
      </c>
      <c r="I1744" t="s">
        <v>426</v>
      </c>
      <c r="J1744" t="s">
        <v>288</v>
      </c>
      <c r="K1744" t="s">
        <v>57</v>
      </c>
    </row>
    <row r="1745" spans="1:11" x14ac:dyDescent="0.35">
      <c r="A1745" t="s">
        <v>2215</v>
      </c>
      <c r="B1745">
        <v>2025</v>
      </c>
      <c r="C1745" t="s">
        <v>678</v>
      </c>
      <c r="D1745" t="s">
        <v>85</v>
      </c>
      <c r="E1745" t="s">
        <v>116</v>
      </c>
      <c r="F1745" t="s">
        <v>129</v>
      </c>
      <c r="G1745" t="s">
        <v>132</v>
      </c>
      <c r="H1745" t="s">
        <v>285</v>
      </c>
      <c r="I1745" t="s">
        <v>289</v>
      </c>
      <c r="J1745" t="s">
        <v>286</v>
      </c>
      <c r="K1745" t="s">
        <v>57</v>
      </c>
    </row>
    <row r="1746" spans="1:11" x14ac:dyDescent="0.35">
      <c r="A1746" t="s">
        <v>2216</v>
      </c>
      <c r="B1746">
        <v>2025</v>
      </c>
      <c r="C1746" t="s">
        <v>678</v>
      </c>
      <c r="D1746" t="s">
        <v>76</v>
      </c>
      <c r="E1746" t="s">
        <v>119</v>
      </c>
      <c r="F1746" t="s">
        <v>288</v>
      </c>
      <c r="G1746" t="s">
        <v>128</v>
      </c>
      <c r="H1746" t="s">
        <v>357</v>
      </c>
      <c r="I1746" t="s">
        <v>289</v>
      </c>
      <c r="J1746" t="s">
        <v>326</v>
      </c>
      <c r="K1746" t="s">
        <v>57</v>
      </c>
    </row>
    <row r="1747" spans="1:11" x14ac:dyDescent="0.35">
      <c r="A1747" t="s">
        <v>2217</v>
      </c>
      <c r="B1747">
        <v>2025</v>
      </c>
      <c r="C1747" t="s">
        <v>678</v>
      </c>
      <c r="D1747" t="s">
        <v>85</v>
      </c>
      <c r="E1747" t="s">
        <v>120</v>
      </c>
      <c r="F1747" t="s">
        <v>133</v>
      </c>
      <c r="G1747" t="s">
        <v>132</v>
      </c>
      <c r="H1747" t="s">
        <v>285</v>
      </c>
      <c r="I1747" t="s">
        <v>86</v>
      </c>
      <c r="J1747" t="s">
        <v>286</v>
      </c>
      <c r="K1747" t="s">
        <v>57</v>
      </c>
    </row>
    <row r="1748" spans="1:11" x14ac:dyDescent="0.35">
      <c r="A1748" t="s">
        <v>2218</v>
      </c>
      <c r="B1748">
        <v>2025</v>
      </c>
      <c r="C1748" t="s">
        <v>678</v>
      </c>
      <c r="D1748" t="s">
        <v>76</v>
      </c>
      <c r="E1748" t="s">
        <v>115</v>
      </c>
      <c r="F1748" t="s">
        <v>125</v>
      </c>
      <c r="G1748" t="s">
        <v>128</v>
      </c>
      <c r="H1748" t="s">
        <v>285</v>
      </c>
      <c r="I1748" t="s">
        <v>86</v>
      </c>
      <c r="J1748" t="s">
        <v>286</v>
      </c>
      <c r="K1748" t="s">
        <v>57</v>
      </c>
    </row>
    <row r="1749" spans="1:11" x14ac:dyDescent="0.35">
      <c r="A1749" t="s">
        <v>2219</v>
      </c>
      <c r="B1749">
        <v>2025</v>
      </c>
      <c r="C1749" t="s">
        <v>678</v>
      </c>
      <c r="D1749" t="s">
        <v>85</v>
      </c>
      <c r="E1749" t="s">
        <v>117</v>
      </c>
      <c r="F1749" t="s">
        <v>129</v>
      </c>
      <c r="G1749" t="s">
        <v>126</v>
      </c>
      <c r="H1749" t="s">
        <v>285</v>
      </c>
      <c r="I1749" t="s">
        <v>86</v>
      </c>
      <c r="J1749" t="s">
        <v>347</v>
      </c>
      <c r="K1749" t="s">
        <v>57</v>
      </c>
    </row>
    <row r="1750" spans="1:11" x14ac:dyDescent="0.35">
      <c r="A1750" t="s">
        <v>2220</v>
      </c>
      <c r="B1750">
        <v>2025</v>
      </c>
      <c r="C1750" t="s">
        <v>678</v>
      </c>
      <c r="D1750" t="s">
        <v>85</v>
      </c>
      <c r="E1750" t="s">
        <v>117</v>
      </c>
      <c r="F1750" t="s">
        <v>131</v>
      </c>
      <c r="G1750" t="s">
        <v>128</v>
      </c>
      <c r="H1750" t="s">
        <v>285</v>
      </c>
      <c r="I1750" t="s">
        <v>289</v>
      </c>
      <c r="J1750" t="s">
        <v>464</v>
      </c>
      <c r="K1750" t="s">
        <v>42</v>
      </c>
    </row>
    <row r="1751" spans="1:11" x14ac:dyDescent="0.35">
      <c r="A1751" t="s">
        <v>2221</v>
      </c>
      <c r="B1751">
        <v>2025</v>
      </c>
      <c r="C1751" t="s">
        <v>678</v>
      </c>
      <c r="D1751" t="s">
        <v>85</v>
      </c>
      <c r="E1751" t="s">
        <v>120</v>
      </c>
      <c r="F1751" t="s">
        <v>131</v>
      </c>
      <c r="G1751" t="s">
        <v>126</v>
      </c>
      <c r="H1751" t="s">
        <v>285</v>
      </c>
      <c r="I1751" t="s">
        <v>333</v>
      </c>
      <c r="J1751" t="s">
        <v>288</v>
      </c>
      <c r="K1751" t="s">
        <v>57</v>
      </c>
    </row>
    <row r="1752" spans="1:11" x14ac:dyDescent="0.35">
      <c r="A1752" t="s">
        <v>2222</v>
      </c>
      <c r="B1752">
        <v>2025</v>
      </c>
      <c r="C1752" t="s">
        <v>678</v>
      </c>
      <c r="D1752" t="s">
        <v>85</v>
      </c>
      <c r="E1752" t="s">
        <v>116</v>
      </c>
      <c r="F1752" t="s">
        <v>129</v>
      </c>
      <c r="G1752" t="s">
        <v>128</v>
      </c>
      <c r="H1752" t="s">
        <v>285</v>
      </c>
      <c r="I1752" t="s">
        <v>289</v>
      </c>
      <c r="J1752" t="s">
        <v>286</v>
      </c>
      <c r="K1752" t="s">
        <v>57</v>
      </c>
    </row>
    <row r="1753" spans="1:11" x14ac:dyDescent="0.35">
      <c r="A1753" t="s">
        <v>2223</v>
      </c>
      <c r="B1753">
        <v>2025</v>
      </c>
      <c r="C1753" t="s">
        <v>678</v>
      </c>
      <c r="D1753" t="s">
        <v>76</v>
      </c>
      <c r="E1753" t="s">
        <v>108</v>
      </c>
      <c r="F1753" t="s">
        <v>125</v>
      </c>
      <c r="G1753" t="s">
        <v>128</v>
      </c>
      <c r="H1753" t="s">
        <v>357</v>
      </c>
      <c r="I1753" t="s">
        <v>333</v>
      </c>
      <c r="J1753" t="s">
        <v>286</v>
      </c>
      <c r="K1753" t="s">
        <v>57</v>
      </c>
    </row>
    <row r="1754" spans="1:11" x14ac:dyDescent="0.35">
      <c r="A1754" t="s">
        <v>2224</v>
      </c>
      <c r="B1754">
        <v>2025</v>
      </c>
      <c r="C1754" t="s">
        <v>678</v>
      </c>
      <c r="D1754" t="s">
        <v>76</v>
      </c>
      <c r="E1754" t="s">
        <v>119</v>
      </c>
      <c r="F1754" t="s">
        <v>127</v>
      </c>
      <c r="G1754" t="s">
        <v>130</v>
      </c>
      <c r="H1754" t="s">
        <v>285</v>
      </c>
      <c r="I1754" t="s">
        <v>77</v>
      </c>
      <c r="J1754" t="s">
        <v>2149</v>
      </c>
      <c r="K1754" t="s">
        <v>42</v>
      </c>
    </row>
    <row r="1755" spans="1:11" x14ac:dyDescent="0.35">
      <c r="A1755" t="s">
        <v>2225</v>
      </c>
      <c r="B1755">
        <v>2025</v>
      </c>
      <c r="C1755" t="s">
        <v>678</v>
      </c>
      <c r="D1755" t="s">
        <v>85</v>
      </c>
      <c r="E1755" t="s">
        <v>117</v>
      </c>
      <c r="F1755" t="s">
        <v>129</v>
      </c>
      <c r="G1755" t="s">
        <v>132</v>
      </c>
      <c r="H1755" t="s">
        <v>285</v>
      </c>
      <c r="I1755" t="s">
        <v>77</v>
      </c>
      <c r="J1755" t="s">
        <v>286</v>
      </c>
      <c r="K1755" t="s">
        <v>57</v>
      </c>
    </row>
    <row r="1756" spans="1:11" x14ac:dyDescent="0.35">
      <c r="A1756" t="s">
        <v>2226</v>
      </c>
      <c r="B1756">
        <v>2025</v>
      </c>
      <c r="C1756" t="s">
        <v>678</v>
      </c>
      <c r="D1756" t="s">
        <v>85</v>
      </c>
      <c r="E1756" t="s">
        <v>120</v>
      </c>
      <c r="F1756" t="s">
        <v>129</v>
      </c>
      <c r="G1756" t="s">
        <v>128</v>
      </c>
      <c r="H1756" t="s">
        <v>285</v>
      </c>
      <c r="I1756" t="s">
        <v>86</v>
      </c>
      <c r="J1756" t="s">
        <v>286</v>
      </c>
      <c r="K1756" t="s">
        <v>57</v>
      </c>
    </row>
    <row r="1757" spans="1:11" x14ac:dyDescent="0.35">
      <c r="A1757" t="s">
        <v>2227</v>
      </c>
      <c r="B1757">
        <v>2025</v>
      </c>
      <c r="C1757" t="s">
        <v>678</v>
      </c>
      <c r="D1757" t="s">
        <v>85</v>
      </c>
      <c r="E1757" t="s">
        <v>116</v>
      </c>
      <c r="F1757" t="s">
        <v>127</v>
      </c>
      <c r="G1757" t="s">
        <v>130</v>
      </c>
      <c r="H1757" t="s">
        <v>285</v>
      </c>
      <c r="I1757" t="s">
        <v>77</v>
      </c>
      <c r="J1757" t="s">
        <v>286</v>
      </c>
      <c r="K1757" t="s">
        <v>57</v>
      </c>
    </row>
    <row r="1758" spans="1:11" x14ac:dyDescent="0.35">
      <c r="A1758" t="s">
        <v>2228</v>
      </c>
      <c r="B1758">
        <v>2025</v>
      </c>
      <c r="C1758" t="s">
        <v>678</v>
      </c>
      <c r="D1758" t="s">
        <v>76</v>
      </c>
      <c r="E1758" t="s">
        <v>107</v>
      </c>
      <c r="F1758" t="s">
        <v>125</v>
      </c>
      <c r="G1758" t="s">
        <v>126</v>
      </c>
      <c r="H1758" t="s">
        <v>285</v>
      </c>
      <c r="I1758" t="s">
        <v>77</v>
      </c>
      <c r="J1758" t="s">
        <v>286</v>
      </c>
      <c r="K1758" t="s">
        <v>57</v>
      </c>
    </row>
    <row r="1759" spans="1:11" x14ac:dyDescent="0.35">
      <c r="A1759" t="s">
        <v>2229</v>
      </c>
      <c r="B1759">
        <v>2025</v>
      </c>
      <c r="C1759" t="s">
        <v>678</v>
      </c>
      <c r="D1759" t="s">
        <v>76</v>
      </c>
      <c r="E1759" t="s">
        <v>107</v>
      </c>
      <c r="F1759" t="s">
        <v>125</v>
      </c>
      <c r="G1759" t="s">
        <v>128</v>
      </c>
      <c r="H1759" t="s">
        <v>285</v>
      </c>
      <c r="I1759" t="s">
        <v>86</v>
      </c>
      <c r="J1759" t="s">
        <v>286</v>
      </c>
      <c r="K1759" t="s">
        <v>57</v>
      </c>
    </row>
    <row r="1760" spans="1:11" x14ac:dyDescent="0.35">
      <c r="A1760" t="s">
        <v>2230</v>
      </c>
      <c r="B1760">
        <v>2025</v>
      </c>
      <c r="C1760" t="s">
        <v>678</v>
      </c>
      <c r="D1760" t="s">
        <v>85</v>
      </c>
      <c r="E1760" t="s">
        <v>344</v>
      </c>
      <c r="F1760" t="s">
        <v>134</v>
      </c>
      <c r="G1760" t="s">
        <v>128</v>
      </c>
      <c r="H1760" t="s">
        <v>285</v>
      </c>
      <c r="I1760" t="s">
        <v>77</v>
      </c>
      <c r="J1760" t="s">
        <v>286</v>
      </c>
      <c r="K1760" t="s">
        <v>57</v>
      </c>
    </row>
    <row r="1761" spans="1:11" x14ac:dyDescent="0.35">
      <c r="A1761" t="s">
        <v>2231</v>
      </c>
      <c r="B1761">
        <v>2025</v>
      </c>
      <c r="C1761" t="s">
        <v>678</v>
      </c>
      <c r="D1761" t="s">
        <v>85</v>
      </c>
      <c r="E1761" t="s">
        <v>117</v>
      </c>
      <c r="F1761" t="s">
        <v>133</v>
      </c>
      <c r="G1761" t="s">
        <v>128</v>
      </c>
      <c r="H1761" t="s">
        <v>305</v>
      </c>
      <c r="I1761" t="s">
        <v>288</v>
      </c>
      <c r="J1761" t="s">
        <v>288</v>
      </c>
      <c r="K1761" t="s">
        <v>57</v>
      </c>
    </row>
    <row r="1762" spans="1:11" x14ac:dyDescent="0.35">
      <c r="A1762" t="s">
        <v>2232</v>
      </c>
      <c r="B1762">
        <v>2025</v>
      </c>
      <c r="C1762" t="s">
        <v>678</v>
      </c>
      <c r="D1762" t="s">
        <v>85</v>
      </c>
      <c r="E1762" t="s">
        <v>377</v>
      </c>
      <c r="F1762" t="s">
        <v>127</v>
      </c>
      <c r="G1762" t="s">
        <v>126</v>
      </c>
      <c r="H1762" t="s">
        <v>305</v>
      </c>
      <c r="I1762" t="s">
        <v>337</v>
      </c>
      <c r="J1762" t="s">
        <v>2233</v>
      </c>
      <c r="K1762" t="s">
        <v>42</v>
      </c>
    </row>
    <row r="1763" spans="1:11" x14ac:dyDescent="0.35">
      <c r="A1763" t="s">
        <v>2234</v>
      </c>
      <c r="B1763">
        <v>2025</v>
      </c>
      <c r="C1763" t="s">
        <v>678</v>
      </c>
      <c r="D1763" t="s">
        <v>85</v>
      </c>
      <c r="E1763" t="s">
        <v>117</v>
      </c>
      <c r="F1763" t="s">
        <v>133</v>
      </c>
      <c r="G1763" t="s">
        <v>128</v>
      </c>
      <c r="H1763" t="s">
        <v>305</v>
      </c>
      <c r="I1763" t="s">
        <v>288</v>
      </c>
      <c r="J1763" t="s">
        <v>288</v>
      </c>
      <c r="K1763" t="s">
        <v>57</v>
      </c>
    </row>
    <row r="1764" spans="1:11" x14ac:dyDescent="0.35">
      <c r="A1764" t="s">
        <v>2235</v>
      </c>
      <c r="B1764">
        <v>2025</v>
      </c>
      <c r="C1764" t="s">
        <v>678</v>
      </c>
      <c r="D1764" t="s">
        <v>85</v>
      </c>
      <c r="E1764" t="s">
        <v>117</v>
      </c>
      <c r="F1764" t="s">
        <v>288</v>
      </c>
      <c r="G1764" t="s">
        <v>128</v>
      </c>
      <c r="H1764" t="s">
        <v>305</v>
      </c>
      <c r="I1764" t="s">
        <v>86</v>
      </c>
      <c r="J1764" t="s">
        <v>566</v>
      </c>
      <c r="K1764" t="s">
        <v>42</v>
      </c>
    </row>
    <row r="1765" spans="1:11" x14ac:dyDescent="0.35">
      <c r="A1765" t="s">
        <v>2236</v>
      </c>
      <c r="B1765">
        <v>2025</v>
      </c>
      <c r="C1765" t="s">
        <v>678</v>
      </c>
      <c r="D1765" t="s">
        <v>85</v>
      </c>
      <c r="E1765" t="s">
        <v>117</v>
      </c>
      <c r="F1765" t="s">
        <v>288</v>
      </c>
      <c r="G1765" t="s">
        <v>128</v>
      </c>
      <c r="H1765" t="s">
        <v>285</v>
      </c>
      <c r="I1765" t="s">
        <v>289</v>
      </c>
      <c r="J1765" t="s">
        <v>347</v>
      </c>
      <c r="K1765" t="s">
        <v>57</v>
      </c>
    </row>
    <row r="1766" spans="1:11" x14ac:dyDescent="0.35">
      <c r="A1766" t="s">
        <v>2237</v>
      </c>
      <c r="B1766">
        <v>2025</v>
      </c>
      <c r="C1766" t="s">
        <v>678</v>
      </c>
      <c r="D1766" t="s">
        <v>76</v>
      </c>
      <c r="E1766" t="s">
        <v>119</v>
      </c>
      <c r="F1766" t="s">
        <v>125</v>
      </c>
      <c r="G1766" t="s">
        <v>126</v>
      </c>
      <c r="H1766" t="s">
        <v>285</v>
      </c>
      <c r="I1766" t="s">
        <v>86</v>
      </c>
      <c r="J1766" t="s">
        <v>286</v>
      </c>
      <c r="K1766" t="s">
        <v>57</v>
      </c>
    </row>
    <row r="1767" spans="1:11" x14ac:dyDescent="0.35">
      <c r="A1767" t="s">
        <v>2238</v>
      </c>
      <c r="B1767">
        <v>2025</v>
      </c>
      <c r="C1767" t="s">
        <v>678</v>
      </c>
      <c r="D1767" t="s">
        <v>85</v>
      </c>
      <c r="E1767" t="s">
        <v>120</v>
      </c>
      <c r="F1767" t="s">
        <v>125</v>
      </c>
      <c r="G1767" t="s">
        <v>132</v>
      </c>
      <c r="H1767" t="s">
        <v>305</v>
      </c>
      <c r="I1767" t="s">
        <v>77</v>
      </c>
      <c r="J1767" t="s">
        <v>295</v>
      </c>
      <c r="K1767" t="s">
        <v>57</v>
      </c>
    </row>
    <row r="1768" spans="1:11" x14ac:dyDescent="0.35">
      <c r="A1768" t="s">
        <v>2239</v>
      </c>
      <c r="B1768">
        <v>2025</v>
      </c>
      <c r="C1768" t="s">
        <v>678</v>
      </c>
      <c r="D1768" t="s">
        <v>85</v>
      </c>
      <c r="E1768" t="s">
        <v>120</v>
      </c>
      <c r="F1768" t="s">
        <v>131</v>
      </c>
      <c r="G1768" t="s">
        <v>130</v>
      </c>
      <c r="H1768" t="s">
        <v>305</v>
      </c>
      <c r="I1768" t="s">
        <v>77</v>
      </c>
      <c r="J1768" t="s">
        <v>317</v>
      </c>
      <c r="K1768" t="s">
        <v>57</v>
      </c>
    </row>
    <row r="1769" spans="1:11" x14ac:dyDescent="0.35">
      <c r="A1769" t="s">
        <v>2240</v>
      </c>
      <c r="B1769">
        <v>2025</v>
      </c>
      <c r="C1769" t="s">
        <v>678</v>
      </c>
      <c r="D1769" t="s">
        <v>85</v>
      </c>
      <c r="E1769" t="s">
        <v>377</v>
      </c>
      <c r="F1769" t="s">
        <v>133</v>
      </c>
      <c r="G1769" t="s">
        <v>128</v>
      </c>
      <c r="H1769" t="s">
        <v>305</v>
      </c>
      <c r="I1769" t="s">
        <v>756</v>
      </c>
      <c r="J1769" t="s">
        <v>286</v>
      </c>
      <c r="K1769" t="s">
        <v>57</v>
      </c>
    </row>
    <row r="1770" spans="1:11" x14ac:dyDescent="0.35">
      <c r="A1770" t="s">
        <v>2241</v>
      </c>
      <c r="B1770">
        <v>2025</v>
      </c>
      <c r="C1770" t="s">
        <v>678</v>
      </c>
      <c r="D1770" t="s">
        <v>76</v>
      </c>
      <c r="E1770" t="s">
        <v>107</v>
      </c>
      <c r="F1770" t="s">
        <v>129</v>
      </c>
      <c r="G1770" t="s">
        <v>126</v>
      </c>
      <c r="H1770" t="s">
        <v>285</v>
      </c>
      <c r="I1770" t="s">
        <v>86</v>
      </c>
      <c r="J1770" t="s">
        <v>308</v>
      </c>
      <c r="K1770" t="s">
        <v>42</v>
      </c>
    </row>
    <row r="1771" spans="1:11" x14ac:dyDescent="0.35">
      <c r="A1771" t="s">
        <v>2242</v>
      </c>
      <c r="B1771">
        <v>2025</v>
      </c>
      <c r="C1771" t="s">
        <v>678</v>
      </c>
      <c r="D1771" t="s">
        <v>76</v>
      </c>
      <c r="E1771" t="s">
        <v>107</v>
      </c>
      <c r="F1771" t="s">
        <v>125</v>
      </c>
      <c r="G1771" t="s">
        <v>126</v>
      </c>
      <c r="H1771" t="s">
        <v>285</v>
      </c>
      <c r="I1771" t="s">
        <v>77</v>
      </c>
      <c r="J1771" t="s">
        <v>286</v>
      </c>
      <c r="K1771" t="s">
        <v>57</v>
      </c>
    </row>
    <row r="1772" spans="1:11" x14ac:dyDescent="0.35">
      <c r="A1772" t="s">
        <v>2243</v>
      </c>
      <c r="B1772">
        <v>2025</v>
      </c>
      <c r="C1772" t="s">
        <v>678</v>
      </c>
      <c r="D1772" t="s">
        <v>85</v>
      </c>
      <c r="E1772" t="s">
        <v>120</v>
      </c>
      <c r="F1772" t="s">
        <v>134</v>
      </c>
      <c r="G1772" t="s">
        <v>128</v>
      </c>
      <c r="H1772" t="s">
        <v>285</v>
      </c>
      <c r="I1772" t="s">
        <v>77</v>
      </c>
      <c r="J1772" t="s">
        <v>286</v>
      </c>
      <c r="K1772" t="s">
        <v>57</v>
      </c>
    </row>
    <row r="1773" spans="1:11" x14ac:dyDescent="0.35">
      <c r="A1773" t="s">
        <v>2244</v>
      </c>
      <c r="B1773">
        <v>2025</v>
      </c>
      <c r="C1773" t="s">
        <v>678</v>
      </c>
      <c r="D1773" t="s">
        <v>76</v>
      </c>
      <c r="E1773" t="s">
        <v>107</v>
      </c>
      <c r="F1773" t="s">
        <v>125</v>
      </c>
      <c r="G1773" t="s">
        <v>132</v>
      </c>
      <c r="H1773" t="s">
        <v>285</v>
      </c>
      <c r="I1773" t="s">
        <v>86</v>
      </c>
      <c r="J1773" t="s">
        <v>2245</v>
      </c>
      <c r="K1773" t="s">
        <v>57</v>
      </c>
    </row>
    <row r="1774" spans="1:11" x14ac:dyDescent="0.35">
      <c r="A1774" t="s">
        <v>2246</v>
      </c>
      <c r="B1774">
        <v>2025</v>
      </c>
      <c r="C1774" t="s">
        <v>678</v>
      </c>
      <c r="D1774" t="s">
        <v>76</v>
      </c>
      <c r="E1774" t="s">
        <v>113</v>
      </c>
      <c r="F1774" t="s">
        <v>288</v>
      </c>
      <c r="G1774" t="s">
        <v>126</v>
      </c>
      <c r="H1774" t="s">
        <v>357</v>
      </c>
      <c r="I1774" t="s">
        <v>288</v>
      </c>
      <c r="J1774" t="s">
        <v>286</v>
      </c>
      <c r="K1774" t="s">
        <v>57</v>
      </c>
    </row>
    <row r="1775" spans="1:11" x14ac:dyDescent="0.35">
      <c r="A1775" t="s">
        <v>2247</v>
      </c>
      <c r="B1775">
        <v>2025</v>
      </c>
      <c r="C1775" t="s">
        <v>678</v>
      </c>
      <c r="D1775" t="s">
        <v>85</v>
      </c>
      <c r="E1775" t="s">
        <v>116</v>
      </c>
      <c r="F1775" t="s">
        <v>131</v>
      </c>
      <c r="G1775" t="s">
        <v>128</v>
      </c>
      <c r="H1775" t="s">
        <v>285</v>
      </c>
      <c r="I1775" t="s">
        <v>289</v>
      </c>
      <c r="J1775" t="s">
        <v>317</v>
      </c>
      <c r="K1775" t="s">
        <v>57</v>
      </c>
    </row>
    <row r="1776" spans="1:11" x14ac:dyDescent="0.35">
      <c r="A1776" t="s">
        <v>2248</v>
      </c>
      <c r="B1776">
        <v>2025</v>
      </c>
      <c r="C1776" t="s">
        <v>678</v>
      </c>
      <c r="D1776" t="s">
        <v>76</v>
      </c>
      <c r="E1776" t="s">
        <v>107</v>
      </c>
      <c r="F1776" t="s">
        <v>125</v>
      </c>
      <c r="G1776" t="s">
        <v>128</v>
      </c>
      <c r="H1776" t="s">
        <v>285</v>
      </c>
      <c r="I1776" t="s">
        <v>86</v>
      </c>
      <c r="J1776" t="s">
        <v>286</v>
      </c>
      <c r="K1776" t="s">
        <v>57</v>
      </c>
    </row>
    <row r="1777" spans="1:11" x14ac:dyDescent="0.35">
      <c r="A1777" t="s">
        <v>2249</v>
      </c>
      <c r="B1777">
        <v>2025</v>
      </c>
      <c r="C1777" t="s">
        <v>678</v>
      </c>
      <c r="D1777" t="s">
        <v>76</v>
      </c>
      <c r="E1777" t="s">
        <v>112</v>
      </c>
      <c r="F1777" t="s">
        <v>129</v>
      </c>
      <c r="G1777" t="s">
        <v>128</v>
      </c>
      <c r="H1777" t="s">
        <v>285</v>
      </c>
      <c r="I1777" t="s">
        <v>289</v>
      </c>
      <c r="J1777" t="s">
        <v>286</v>
      </c>
      <c r="K1777" t="s">
        <v>57</v>
      </c>
    </row>
    <row r="1778" spans="1:11" x14ac:dyDescent="0.35">
      <c r="A1778" t="s">
        <v>2250</v>
      </c>
      <c r="B1778">
        <v>2025</v>
      </c>
      <c r="C1778" t="s">
        <v>678</v>
      </c>
      <c r="D1778" t="s">
        <v>76</v>
      </c>
      <c r="E1778" t="s">
        <v>115</v>
      </c>
      <c r="F1778" t="s">
        <v>129</v>
      </c>
      <c r="G1778" t="s">
        <v>128</v>
      </c>
      <c r="H1778" t="s">
        <v>357</v>
      </c>
      <c r="I1778" t="s">
        <v>289</v>
      </c>
      <c r="J1778" t="s">
        <v>551</v>
      </c>
      <c r="K1778" t="s">
        <v>42</v>
      </c>
    </row>
    <row r="1779" spans="1:11" x14ac:dyDescent="0.35">
      <c r="A1779" t="s">
        <v>2251</v>
      </c>
      <c r="B1779">
        <v>2025</v>
      </c>
      <c r="C1779" t="s">
        <v>678</v>
      </c>
      <c r="D1779" t="s">
        <v>76</v>
      </c>
      <c r="E1779" t="s">
        <v>109</v>
      </c>
      <c r="F1779" t="s">
        <v>127</v>
      </c>
      <c r="G1779" t="s">
        <v>126</v>
      </c>
      <c r="H1779" t="s">
        <v>285</v>
      </c>
      <c r="I1779" t="s">
        <v>288</v>
      </c>
      <c r="J1779" t="s">
        <v>286</v>
      </c>
      <c r="K1779" t="s">
        <v>57</v>
      </c>
    </row>
    <row r="1780" spans="1:11" x14ac:dyDescent="0.35">
      <c r="A1780" t="s">
        <v>2252</v>
      </c>
      <c r="B1780">
        <v>2025</v>
      </c>
      <c r="C1780" t="s">
        <v>678</v>
      </c>
      <c r="D1780" t="s">
        <v>76</v>
      </c>
      <c r="E1780" t="s">
        <v>115</v>
      </c>
      <c r="F1780" t="s">
        <v>131</v>
      </c>
      <c r="G1780" t="s">
        <v>126</v>
      </c>
      <c r="H1780" t="s">
        <v>357</v>
      </c>
      <c r="I1780" t="s">
        <v>288</v>
      </c>
      <c r="J1780" t="s">
        <v>286</v>
      </c>
      <c r="K1780" t="s">
        <v>57</v>
      </c>
    </row>
    <row r="1781" spans="1:11" x14ac:dyDescent="0.35">
      <c r="A1781" t="s">
        <v>2253</v>
      </c>
      <c r="B1781">
        <v>2025</v>
      </c>
      <c r="C1781" t="s">
        <v>678</v>
      </c>
      <c r="D1781" t="s">
        <v>85</v>
      </c>
      <c r="E1781" t="s">
        <v>120</v>
      </c>
      <c r="F1781" t="s">
        <v>133</v>
      </c>
      <c r="G1781" t="s">
        <v>128</v>
      </c>
      <c r="H1781" t="s">
        <v>305</v>
      </c>
      <c r="I1781" t="s">
        <v>333</v>
      </c>
      <c r="J1781" t="s">
        <v>326</v>
      </c>
      <c r="K1781" t="s">
        <v>57</v>
      </c>
    </row>
    <row r="1782" spans="1:11" x14ac:dyDescent="0.35">
      <c r="A1782" t="s">
        <v>2254</v>
      </c>
      <c r="B1782">
        <v>2025</v>
      </c>
      <c r="C1782" t="s">
        <v>678</v>
      </c>
      <c r="D1782" t="s">
        <v>76</v>
      </c>
      <c r="E1782" t="s">
        <v>115</v>
      </c>
      <c r="F1782" t="s">
        <v>125</v>
      </c>
      <c r="G1782" t="s">
        <v>128</v>
      </c>
      <c r="H1782" t="s">
        <v>285</v>
      </c>
      <c r="I1782" t="s">
        <v>535</v>
      </c>
      <c r="J1782" t="s">
        <v>447</v>
      </c>
      <c r="K1782" t="s">
        <v>57</v>
      </c>
    </row>
    <row r="1783" spans="1:11" x14ac:dyDescent="0.35">
      <c r="A1783" t="s">
        <v>2255</v>
      </c>
      <c r="B1783">
        <v>2025</v>
      </c>
      <c r="C1783" t="s">
        <v>678</v>
      </c>
      <c r="D1783" t="s">
        <v>85</v>
      </c>
      <c r="E1783" t="s">
        <v>120</v>
      </c>
      <c r="F1783" t="s">
        <v>129</v>
      </c>
      <c r="G1783" t="s">
        <v>126</v>
      </c>
      <c r="H1783" t="s">
        <v>305</v>
      </c>
      <c r="I1783" t="s">
        <v>86</v>
      </c>
      <c r="J1783" t="s">
        <v>2256</v>
      </c>
      <c r="K1783" t="s">
        <v>42</v>
      </c>
    </row>
    <row r="1784" spans="1:11" x14ac:dyDescent="0.35">
      <c r="A1784" t="s">
        <v>2257</v>
      </c>
      <c r="B1784">
        <v>2025</v>
      </c>
      <c r="C1784" t="s">
        <v>678</v>
      </c>
      <c r="D1784" t="s">
        <v>85</v>
      </c>
      <c r="E1784" t="s">
        <v>116</v>
      </c>
      <c r="F1784" t="s">
        <v>131</v>
      </c>
      <c r="G1784" t="s">
        <v>128</v>
      </c>
      <c r="H1784" t="s">
        <v>285</v>
      </c>
      <c r="I1784" t="s">
        <v>337</v>
      </c>
      <c r="J1784" t="s">
        <v>286</v>
      </c>
      <c r="K1784" t="s">
        <v>57</v>
      </c>
    </row>
    <row r="1785" spans="1:11" x14ac:dyDescent="0.35">
      <c r="A1785" t="s">
        <v>2258</v>
      </c>
      <c r="B1785">
        <v>2025</v>
      </c>
      <c r="C1785" t="s">
        <v>678</v>
      </c>
      <c r="D1785" t="s">
        <v>85</v>
      </c>
      <c r="E1785" t="s">
        <v>116</v>
      </c>
      <c r="F1785" t="s">
        <v>131</v>
      </c>
      <c r="G1785" t="s">
        <v>126</v>
      </c>
      <c r="H1785" t="s">
        <v>285</v>
      </c>
      <c r="I1785" t="s">
        <v>288</v>
      </c>
      <c r="J1785" t="s">
        <v>286</v>
      </c>
      <c r="K1785" t="s">
        <v>57</v>
      </c>
    </row>
    <row r="1786" spans="1:11" x14ac:dyDescent="0.35">
      <c r="A1786" t="s">
        <v>2259</v>
      </c>
      <c r="B1786">
        <v>2025</v>
      </c>
      <c r="C1786" t="s">
        <v>678</v>
      </c>
      <c r="D1786" t="s">
        <v>76</v>
      </c>
      <c r="E1786" t="s">
        <v>119</v>
      </c>
      <c r="F1786" t="s">
        <v>127</v>
      </c>
      <c r="G1786" t="s">
        <v>128</v>
      </c>
      <c r="H1786" t="s">
        <v>357</v>
      </c>
      <c r="I1786" t="s">
        <v>289</v>
      </c>
      <c r="J1786" t="s">
        <v>288</v>
      </c>
      <c r="K1786" t="s">
        <v>57</v>
      </c>
    </row>
    <row r="1787" spans="1:11" x14ac:dyDescent="0.35">
      <c r="A1787" t="s">
        <v>2260</v>
      </c>
      <c r="B1787">
        <v>2025</v>
      </c>
      <c r="C1787" t="s">
        <v>678</v>
      </c>
      <c r="D1787" t="s">
        <v>76</v>
      </c>
      <c r="E1787" t="s">
        <v>115</v>
      </c>
      <c r="F1787" t="s">
        <v>127</v>
      </c>
      <c r="G1787" t="s">
        <v>126</v>
      </c>
      <c r="H1787" t="s">
        <v>357</v>
      </c>
      <c r="I1787" t="s">
        <v>86</v>
      </c>
      <c r="J1787" t="s">
        <v>286</v>
      </c>
      <c r="K1787" t="s">
        <v>57</v>
      </c>
    </row>
    <row r="1788" spans="1:11" x14ac:dyDescent="0.35">
      <c r="A1788" t="s">
        <v>2261</v>
      </c>
      <c r="B1788">
        <v>2025</v>
      </c>
      <c r="C1788" t="s">
        <v>678</v>
      </c>
      <c r="D1788" t="s">
        <v>85</v>
      </c>
      <c r="E1788" t="s">
        <v>116</v>
      </c>
      <c r="F1788" t="s">
        <v>131</v>
      </c>
      <c r="G1788" t="s">
        <v>128</v>
      </c>
      <c r="H1788" t="s">
        <v>305</v>
      </c>
      <c r="I1788" t="s">
        <v>77</v>
      </c>
      <c r="J1788" t="s">
        <v>286</v>
      </c>
      <c r="K1788" t="s">
        <v>57</v>
      </c>
    </row>
    <row r="1789" spans="1:11" x14ac:dyDescent="0.35">
      <c r="A1789" t="s">
        <v>2262</v>
      </c>
      <c r="B1789">
        <v>2025</v>
      </c>
      <c r="C1789" t="s">
        <v>678</v>
      </c>
      <c r="D1789" t="s">
        <v>85</v>
      </c>
      <c r="E1789" t="s">
        <v>117</v>
      </c>
      <c r="F1789" t="s">
        <v>127</v>
      </c>
      <c r="G1789" t="s">
        <v>128</v>
      </c>
      <c r="H1789" t="s">
        <v>305</v>
      </c>
      <c r="I1789" t="s">
        <v>86</v>
      </c>
      <c r="J1789" t="s">
        <v>286</v>
      </c>
      <c r="K1789" t="s">
        <v>57</v>
      </c>
    </row>
    <row r="1790" spans="1:11" x14ac:dyDescent="0.35">
      <c r="A1790" t="s">
        <v>2263</v>
      </c>
      <c r="B1790">
        <v>2025</v>
      </c>
      <c r="C1790" t="s">
        <v>678</v>
      </c>
      <c r="D1790" t="s">
        <v>76</v>
      </c>
      <c r="E1790" t="s">
        <v>118</v>
      </c>
      <c r="F1790" t="s">
        <v>125</v>
      </c>
      <c r="G1790" t="s">
        <v>128</v>
      </c>
      <c r="H1790" t="s">
        <v>285</v>
      </c>
      <c r="I1790" t="s">
        <v>77</v>
      </c>
      <c r="J1790" t="s">
        <v>775</v>
      </c>
      <c r="K1790" t="s">
        <v>42</v>
      </c>
    </row>
    <row r="1791" spans="1:11" x14ac:dyDescent="0.35">
      <c r="A1791" t="s">
        <v>2264</v>
      </c>
      <c r="B1791">
        <v>2025</v>
      </c>
      <c r="C1791" t="s">
        <v>678</v>
      </c>
      <c r="D1791" t="s">
        <v>85</v>
      </c>
      <c r="E1791" t="s">
        <v>116</v>
      </c>
      <c r="F1791" t="s">
        <v>129</v>
      </c>
      <c r="G1791" t="s">
        <v>128</v>
      </c>
      <c r="H1791" t="s">
        <v>285</v>
      </c>
      <c r="I1791" t="s">
        <v>289</v>
      </c>
      <c r="J1791" t="s">
        <v>286</v>
      </c>
      <c r="K1791" t="s">
        <v>57</v>
      </c>
    </row>
    <row r="1792" spans="1:11" x14ac:dyDescent="0.35">
      <c r="A1792" t="s">
        <v>2265</v>
      </c>
      <c r="B1792">
        <v>2025</v>
      </c>
      <c r="C1792" t="s">
        <v>678</v>
      </c>
      <c r="D1792" t="s">
        <v>76</v>
      </c>
      <c r="E1792" t="s">
        <v>107</v>
      </c>
      <c r="F1792" t="s">
        <v>125</v>
      </c>
      <c r="G1792" t="s">
        <v>128</v>
      </c>
      <c r="H1792" t="s">
        <v>285</v>
      </c>
      <c r="I1792" t="s">
        <v>77</v>
      </c>
      <c r="J1792" t="s">
        <v>286</v>
      </c>
      <c r="K1792" t="s">
        <v>57</v>
      </c>
    </row>
    <row r="1793" spans="1:11" x14ac:dyDescent="0.35">
      <c r="A1793" t="s">
        <v>2266</v>
      </c>
      <c r="B1793">
        <v>2025</v>
      </c>
      <c r="C1793" t="s">
        <v>678</v>
      </c>
      <c r="D1793" t="s">
        <v>85</v>
      </c>
      <c r="E1793" t="s">
        <v>116</v>
      </c>
      <c r="F1793" t="s">
        <v>127</v>
      </c>
      <c r="G1793" t="s">
        <v>128</v>
      </c>
      <c r="H1793" t="s">
        <v>305</v>
      </c>
      <c r="I1793" t="s">
        <v>86</v>
      </c>
      <c r="J1793" t="s">
        <v>288</v>
      </c>
      <c r="K1793" t="s">
        <v>57</v>
      </c>
    </row>
    <row r="1794" spans="1:11" x14ac:dyDescent="0.35">
      <c r="A1794" t="s">
        <v>2267</v>
      </c>
      <c r="B1794">
        <v>2025</v>
      </c>
      <c r="C1794" t="s">
        <v>678</v>
      </c>
      <c r="D1794" t="s">
        <v>85</v>
      </c>
      <c r="E1794" t="s">
        <v>117</v>
      </c>
      <c r="F1794" t="s">
        <v>129</v>
      </c>
      <c r="G1794" t="s">
        <v>126</v>
      </c>
      <c r="H1794" t="s">
        <v>305</v>
      </c>
      <c r="I1794" t="s">
        <v>289</v>
      </c>
      <c r="J1794" t="s">
        <v>288</v>
      </c>
      <c r="K1794" t="s">
        <v>57</v>
      </c>
    </row>
    <row r="1795" spans="1:11" x14ac:dyDescent="0.35">
      <c r="A1795" t="s">
        <v>2268</v>
      </c>
      <c r="B1795">
        <v>2025</v>
      </c>
      <c r="C1795" t="s">
        <v>678</v>
      </c>
      <c r="D1795" t="s">
        <v>85</v>
      </c>
      <c r="E1795" t="s">
        <v>116</v>
      </c>
      <c r="F1795" t="s">
        <v>129</v>
      </c>
      <c r="G1795" t="s">
        <v>128</v>
      </c>
      <c r="H1795" t="s">
        <v>285</v>
      </c>
      <c r="I1795" t="s">
        <v>289</v>
      </c>
      <c r="J1795" t="s">
        <v>286</v>
      </c>
      <c r="K1795" t="s">
        <v>57</v>
      </c>
    </row>
    <row r="1796" spans="1:11" x14ac:dyDescent="0.35">
      <c r="A1796" t="s">
        <v>2269</v>
      </c>
      <c r="B1796">
        <v>2025</v>
      </c>
      <c r="C1796" t="s">
        <v>678</v>
      </c>
      <c r="D1796" t="s">
        <v>85</v>
      </c>
      <c r="E1796" t="s">
        <v>120</v>
      </c>
      <c r="F1796" t="s">
        <v>127</v>
      </c>
      <c r="G1796" t="s">
        <v>128</v>
      </c>
      <c r="H1796" t="s">
        <v>305</v>
      </c>
      <c r="I1796" t="s">
        <v>86</v>
      </c>
      <c r="J1796" t="s">
        <v>320</v>
      </c>
      <c r="K1796" t="s">
        <v>42</v>
      </c>
    </row>
    <row r="1797" spans="1:11" x14ac:dyDescent="0.35">
      <c r="A1797" t="s">
        <v>2270</v>
      </c>
      <c r="B1797">
        <v>2025</v>
      </c>
      <c r="C1797" t="s">
        <v>678</v>
      </c>
      <c r="D1797" t="s">
        <v>76</v>
      </c>
      <c r="E1797" t="s">
        <v>109</v>
      </c>
      <c r="F1797" t="s">
        <v>125</v>
      </c>
      <c r="G1797" t="s">
        <v>126</v>
      </c>
      <c r="H1797" t="s">
        <v>285</v>
      </c>
      <c r="I1797" t="s">
        <v>2271</v>
      </c>
      <c r="J1797" t="s">
        <v>288</v>
      </c>
      <c r="K1797" t="s">
        <v>57</v>
      </c>
    </row>
    <row r="1798" spans="1:11" x14ac:dyDescent="0.35">
      <c r="A1798" t="s">
        <v>2272</v>
      </c>
      <c r="B1798">
        <v>2025</v>
      </c>
      <c r="C1798" t="s">
        <v>678</v>
      </c>
      <c r="D1798" t="s">
        <v>85</v>
      </c>
      <c r="E1798" t="s">
        <v>117</v>
      </c>
      <c r="F1798" t="s">
        <v>131</v>
      </c>
      <c r="G1798" t="s">
        <v>126</v>
      </c>
      <c r="H1798" t="s">
        <v>285</v>
      </c>
      <c r="I1798" t="s">
        <v>337</v>
      </c>
      <c r="J1798" t="s">
        <v>947</v>
      </c>
      <c r="K1798" t="s">
        <v>57</v>
      </c>
    </row>
    <row r="1799" spans="1:11" x14ac:dyDescent="0.35">
      <c r="A1799" t="s">
        <v>2273</v>
      </c>
      <c r="B1799">
        <v>2025</v>
      </c>
      <c r="C1799" t="s">
        <v>678</v>
      </c>
      <c r="D1799" t="s">
        <v>85</v>
      </c>
      <c r="E1799" t="s">
        <v>117</v>
      </c>
      <c r="F1799" t="s">
        <v>125</v>
      </c>
      <c r="G1799" t="s">
        <v>128</v>
      </c>
      <c r="H1799" t="s">
        <v>285</v>
      </c>
      <c r="I1799" t="s">
        <v>86</v>
      </c>
      <c r="J1799" t="s">
        <v>286</v>
      </c>
      <c r="K1799" t="s">
        <v>57</v>
      </c>
    </row>
    <row r="1800" spans="1:11" x14ac:dyDescent="0.35">
      <c r="A1800" t="s">
        <v>2274</v>
      </c>
      <c r="B1800">
        <v>2025</v>
      </c>
      <c r="C1800" t="s">
        <v>678</v>
      </c>
      <c r="D1800" t="s">
        <v>85</v>
      </c>
      <c r="E1800" t="s">
        <v>120</v>
      </c>
      <c r="F1800" t="s">
        <v>134</v>
      </c>
      <c r="G1800" t="s">
        <v>128</v>
      </c>
      <c r="H1800" t="s">
        <v>285</v>
      </c>
      <c r="I1800" t="s">
        <v>407</v>
      </c>
      <c r="J1800" t="s">
        <v>286</v>
      </c>
      <c r="K1800" t="s">
        <v>57</v>
      </c>
    </row>
    <row r="1801" spans="1:11" x14ac:dyDescent="0.35">
      <c r="A1801" t="s">
        <v>2275</v>
      </c>
      <c r="B1801">
        <v>2025</v>
      </c>
      <c r="C1801" t="s">
        <v>678</v>
      </c>
      <c r="D1801" t="s">
        <v>85</v>
      </c>
      <c r="E1801" t="s">
        <v>120</v>
      </c>
      <c r="F1801" t="s">
        <v>129</v>
      </c>
      <c r="G1801" t="s">
        <v>130</v>
      </c>
      <c r="H1801" t="s">
        <v>285</v>
      </c>
      <c r="I1801" t="s">
        <v>86</v>
      </c>
      <c r="J1801" t="s">
        <v>515</v>
      </c>
      <c r="K1801" t="s">
        <v>57</v>
      </c>
    </row>
    <row r="1802" spans="1:11" x14ac:dyDescent="0.35">
      <c r="A1802" t="s">
        <v>2276</v>
      </c>
      <c r="B1802">
        <v>2025</v>
      </c>
      <c r="C1802" t="s">
        <v>678</v>
      </c>
      <c r="D1802" t="s">
        <v>85</v>
      </c>
      <c r="E1802" t="s">
        <v>117</v>
      </c>
      <c r="F1802" t="s">
        <v>129</v>
      </c>
      <c r="G1802" t="s">
        <v>132</v>
      </c>
      <c r="H1802" t="s">
        <v>285</v>
      </c>
      <c r="I1802" t="s">
        <v>86</v>
      </c>
      <c r="J1802" t="s">
        <v>317</v>
      </c>
      <c r="K1802" t="s">
        <v>57</v>
      </c>
    </row>
    <row r="1803" spans="1:11" x14ac:dyDescent="0.35">
      <c r="A1803" t="s">
        <v>2277</v>
      </c>
      <c r="B1803">
        <v>2025</v>
      </c>
      <c r="C1803" t="s">
        <v>678</v>
      </c>
      <c r="D1803" t="s">
        <v>76</v>
      </c>
      <c r="E1803" t="s">
        <v>107</v>
      </c>
      <c r="F1803" t="s">
        <v>125</v>
      </c>
      <c r="G1803" t="s">
        <v>128</v>
      </c>
      <c r="H1803" t="s">
        <v>285</v>
      </c>
      <c r="I1803" t="s">
        <v>77</v>
      </c>
      <c r="J1803" t="s">
        <v>286</v>
      </c>
      <c r="K1803" t="s">
        <v>57</v>
      </c>
    </row>
    <row r="1804" spans="1:11" x14ac:dyDescent="0.35">
      <c r="A1804" t="s">
        <v>2278</v>
      </c>
      <c r="B1804">
        <v>2025</v>
      </c>
      <c r="C1804" t="s">
        <v>678</v>
      </c>
      <c r="D1804" t="s">
        <v>85</v>
      </c>
      <c r="E1804" t="s">
        <v>116</v>
      </c>
      <c r="F1804" t="s">
        <v>129</v>
      </c>
      <c r="G1804" t="s">
        <v>128</v>
      </c>
      <c r="H1804" t="s">
        <v>285</v>
      </c>
      <c r="I1804" t="s">
        <v>337</v>
      </c>
      <c r="J1804" t="s">
        <v>286</v>
      </c>
      <c r="K1804" t="s">
        <v>57</v>
      </c>
    </row>
    <row r="1805" spans="1:11" x14ac:dyDescent="0.35">
      <c r="A1805" t="s">
        <v>2279</v>
      </c>
      <c r="B1805">
        <v>2025</v>
      </c>
      <c r="C1805" t="s">
        <v>678</v>
      </c>
      <c r="D1805" t="s">
        <v>85</v>
      </c>
      <c r="E1805" t="s">
        <v>116</v>
      </c>
      <c r="F1805" t="s">
        <v>131</v>
      </c>
      <c r="G1805" t="s">
        <v>130</v>
      </c>
      <c r="H1805" t="s">
        <v>285</v>
      </c>
      <c r="I1805" t="s">
        <v>86</v>
      </c>
      <c r="J1805" t="s">
        <v>286</v>
      </c>
      <c r="K1805" t="s">
        <v>57</v>
      </c>
    </row>
    <row r="1806" spans="1:11" x14ac:dyDescent="0.35">
      <c r="A1806" t="s">
        <v>2280</v>
      </c>
      <c r="B1806">
        <v>2025</v>
      </c>
      <c r="C1806" t="s">
        <v>678</v>
      </c>
      <c r="D1806" t="s">
        <v>76</v>
      </c>
      <c r="E1806" t="s">
        <v>118</v>
      </c>
      <c r="F1806" t="s">
        <v>125</v>
      </c>
      <c r="G1806" t="s">
        <v>128</v>
      </c>
      <c r="H1806" t="s">
        <v>285</v>
      </c>
      <c r="I1806" t="s">
        <v>77</v>
      </c>
      <c r="J1806" t="s">
        <v>286</v>
      </c>
      <c r="K1806" t="s">
        <v>57</v>
      </c>
    </row>
    <row r="1807" spans="1:11" x14ac:dyDescent="0.35">
      <c r="A1807" t="s">
        <v>2281</v>
      </c>
      <c r="B1807">
        <v>2025</v>
      </c>
      <c r="C1807" t="s">
        <v>678</v>
      </c>
      <c r="D1807" t="s">
        <v>76</v>
      </c>
      <c r="E1807" t="s">
        <v>119</v>
      </c>
      <c r="F1807" t="s">
        <v>125</v>
      </c>
      <c r="G1807" t="s">
        <v>130</v>
      </c>
      <c r="H1807" t="s">
        <v>285</v>
      </c>
      <c r="I1807" t="s">
        <v>461</v>
      </c>
      <c r="J1807" t="s">
        <v>308</v>
      </c>
      <c r="K1807" t="s">
        <v>42</v>
      </c>
    </row>
    <row r="1808" spans="1:11" x14ac:dyDescent="0.35">
      <c r="A1808" t="s">
        <v>2282</v>
      </c>
      <c r="B1808">
        <v>2025</v>
      </c>
      <c r="C1808" t="s">
        <v>678</v>
      </c>
      <c r="D1808" t="s">
        <v>76</v>
      </c>
      <c r="E1808" t="s">
        <v>107</v>
      </c>
      <c r="F1808" t="s">
        <v>127</v>
      </c>
      <c r="G1808" t="s">
        <v>128</v>
      </c>
      <c r="H1808" t="s">
        <v>285</v>
      </c>
      <c r="I1808" t="s">
        <v>288</v>
      </c>
      <c r="J1808" t="s">
        <v>288</v>
      </c>
      <c r="K1808" t="s">
        <v>57</v>
      </c>
    </row>
    <row r="1809" spans="1:11" x14ac:dyDescent="0.35">
      <c r="A1809" t="s">
        <v>2283</v>
      </c>
      <c r="B1809">
        <v>2025</v>
      </c>
      <c r="C1809" t="s">
        <v>678</v>
      </c>
      <c r="D1809" t="s">
        <v>76</v>
      </c>
      <c r="E1809" t="s">
        <v>119</v>
      </c>
      <c r="F1809" t="s">
        <v>125</v>
      </c>
      <c r="G1809" t="s">
        <v>126</v>
      </c>
      <c r="H1809" t="s">
        <v>285</v>
      </c>
      <c r="I1809" t="s">
        <v>77</v>
      </c>
      <c r="J1809" t="s">
        <v>286</v>
      </c>
      <c r="K1809" t="s">
        <v>57</v>
      </c>
    </row>
    <row r="1810" spans="1:11" x14ac:dyDescent="0.35">
      <c r="A1810" t="s">
        <v>2284</v>
      </c>
      <c r="B1810">
        <v>2025</v>
      </c>
      <c r="C1810" t="s">
        <v>678</v>
      </c>
      <c r="D1810" t="s">
        <v>85</v>
      </c>
      <c r="E1810" t="s">
        <v>344</v>
      </c>
      <c r="F1810" t="s">
        <v>125</v>
      </c>
      <c r="G1810" t="s">
        <v>126</v>
      </c>
      <c r="H1810" t="s">
        <v>285</v>
      </c>
      <c r="I1810" t="s">
        <v>77</v>
      </c>
      <c r="J1810" t="s">
        <v>288</v>
      </c>
      <c r="K1810" t="s">
        <v>57</v>
      </c>
    </row>
    <row r="1811" spans="1:11" x14ac:dyDescent="0.35">
      <c r="A1811" t="s">
        <v>2285</v>
      </c>
      <c r="B1811">
        <v>2025</v>
      </c>
      <c r="C1811" t="s">
        <v>678</v>
      </c>
      <c r="D1811" t="s">
        <v>76</v>
      </c>
      <c r="E1811" t="s">
        <v>107</v>
      </c>
      <c r="F1811" t="s">
        <v>125</v>
      </c>
      <c r="G1811" t="s">
        <v>132</v>
      </c>
      <c r="H1811" t="s">
        <v>285</v>
      </c>
      <c r="I1811" t="s">
        <v>86</v>
      </c>
      <c r="J1811" t="s">
        <v>317</v>
      </c>
      <c r="K1811" t="s">
        <v>57</v>
      </c>
    </row>
    <row r="1812" spans="1:11" x14ac:dyDescent="0.35">
      <c r="A1812" t="s">
        <v>2286</v>
      </c>
      <c r="B1812">
        <v>2025</v>
      </c>
      <c r="C1812" t="s">
        <v>678</v>
      </c>
      <c r="D1812" t="s">
        <v>85</v>
      </c>
      <c r="E1812" t="s">
        <v>116</v>
      </c>
      <c r="F1812" t="s">
        <v>129</v>
      </c>
      <c r="G1812" t="s">
        <v>128</v>
      </c>
      <c r="H1812" t="s">
        <v>285</v>
      </c>
      <c r="I1812" t="s">
        <v>289</v>
      </c>
      <c r="J1812" t="s">
        <v>286</v>
      </c>
      <c r="K1812" t="s">
        <v>57</v>
      </c>
    </row>
    <row r="1813" spans="1:11" x14ac:dyDescent="0.35">
      <c r="A1813" t="s">
        <v>2287</v>
      </c>
      <c r="B1813">
        <v>2025</v>
      </c>
      <c r="C1813" t="s">
        <v>678</v>
      </c>
      <c r="D1813" t="s">
        <v>76</v>
      </c>
      <c r="E1813" t="s">
        <v>111</v>
      </c>
      <c r="F1813" t="s">
        <v>125</v>
      </c>
      <c r="G1813" t="s">
        <v>128</v>
      </c>
      <c r="H1813" t="s">
        <v>285</v>
      </c>
      <c r="I1813" t="s">
        <v>86</v>
      </c>
      <c r="J1813" t="s">
        <v>1986</v>
      </c>
      <c r="K1813" t="s">
        <v>57</v>
      </c>
    </row>
    <row r="1814" spans="1:11" x14ac:dyDescent="0.35">
      <c r="A1814" t="s">
        <v>2288</v>
      </c>
      <c r="B1814">
        <v>2025</v>
      </c>
      <c r="C1814" t="s">
        <v>678</v>
      </c>
      <c r="D1814" t="s">
        <v>76</v>
      </c>
      <c r="E1814" t="s">
        <v>111</v>
      </c>
      <c r="F1814" t="s">
        <v>125</v>
      </c>
      <c r="G1814" t="s">
        <v>128</v>
      </c>
      <c r="H1814" t="s">
        <v>285</v>
      </c>
      <c r="I1814" t="s">
        <v>288</v>
      </c>
      <c r="J1814" t="s">
        <v>288</v>
      </c>
      <c r="K1814" t="s">
        <v>57</v>
      </c>
    </row>
    <row r="1815" spans="1:11" x14ac:dyDescent="0.35">
      <c r="A1815" t="s">
        <v>2289</v>
      </c>
      <c r="B1815">
        <v>2025</v>
      </c>
      <c r="C1815" t="s">
        <v>678</v>
      </c>
      <c r="D1815" t="s">
        <v>85</v>
      </c>
      <c r="E1815" t="s">
        <v>117</v>
      </c>
      <c r="F1815" t="s">
        <v>129</v>
      </c>
      <c r="G1815" t="s">
        <v>132</v>
      </c>
      <c r="H1815" t="s">
        <v>285</v>
      </c>
      <c r="I1815" t="s">
        <v>289</v>
      </c>
      <c r="J1815" t="s">
        <v>317</v>
      </c>
      <c r="K1815" t="s">
        <v>57</v>
      </c>
    </row>
    <row r="1816" spans="1:11" x14ac:dyDescent="0.35">
      <c r="A1816" t="s">
        <v>2290</v>
      </c>
      <c r="B1816">
        <v>2025</v>
      </c>
      <c r="C1816" t="s">
        <v>678</v>
      </c>
      <c r="D1816" t="s">
        <v>76</v>
      </c>
      <c r="E1816" t="s">
        <v>107</v>
      </c>
      <c r="F1816" t="s">
        <v>127</v>
      </c>
      <c r="G1816" t="s">
        <v>130</v>
      </c>
      <c r="H1816" t="s">
        <v>285</v>
      </c>
      <c r="I1816" t="s">
        <v>288</v>
      </c>
      <c r="J1816" t="s">
        <v>347</v>
      </c>
      <c r="K1816" t="s">
        <v>57</v>
      </c>
    </row>
    <row r="1817" spans="1:11" x14ac:dyDescent="0.35">
      <c r="A1817" t="s">
        <v>2291</v>
      </c>
      <c r="B1817">
        <v>2025</v>
      </c>
      <c r="C1817" t="s">
        <v>678</v>
      </c>
      <c r="D1817" t="s">
        <v>85</v>
      </c>
      <c r="E1817" t="s">
        <v>116</v>
      </c>
      <c r="F1817" t="s">
        <v>131</v>
      </c>
      <c r="G1817" t="s">
        <v>126</v>
      </c>
      <c r="H1817" t="s">
        <v>285</v>
      </c>
      <c r="I1817" t="s">
        <v>289</v>
      </c>
      <c r="J1817" t="s">
        <v>286</v>
      </c>
      <c r="K1817" t="s">
        <v>57</v>
      </c>
    </row>
    <row r="1818" spans="1:11" x14ac:dyDescent="0.35">
      <c r="A1818" t="s">
        <v>2292</v>
      </c>
      <c r="B1818">
        <v>2025</v>
      </c>
      <c r="C1818" t="s">
        <v>678</v>
      </c>
      <c r="D1818" t="s">
        <v>76</v>
      </c>
      <c r="E1818" t="s">
        <v>107</v>
      </c>
      <c r="F1818" t="s">
        <v>125</v>
      </c>
      <c r="G1818" t="s">
        <v>130</v>
      </c>
      <c r="H1818" t="s">
        <v>285</v>
      </c>
      <c r="I1818" t="s">
        <v>288</v>
      </c>
      <c r="J1818" t="s">
        <v>405</v>
      </c>
      <c r="K1818" t="s">
        <v>57</v>
      </c>
    </row>
    <row r="1819" spans="1:11" x14ac:dyDescent="0.35">
      <c r="A1819" t="s">
        <v>2293</v>
      </c>
      <c r="B1819">
        <v>2025</v>
      </c>
      <c r="C1819" t="s">
        <v>678</v>
      </c>
      <c r="D1819" t="s">
        <v>76</v>
      </c>
      <c r="E1819" t="s">
        <v>115</v>
      </c>
      <c r="F1819" t="s">
        <v>127</v>
      </c>
      <c r="G1819" t="s">
        <v>132</v>
      </c>
      <c r="H1819" t="s">
        <v>285</v>
      </c>
      <c r="I1819" t="s">
        <v>2294</v>
      </c>
      <c r="J1819" t="s">
        <v>286</v>
      </c>
      <c r="K1819" t="s">
        <v>57</v>
      </c>
    </row>
    <row r="1820" spans="1:11" x14ac:dyDescent="0.35">
      <c r="A1820" t="s">
        <v>2295</v>
      </c>
      <c r="B1820">
        <v>2025</v>
      </c>
      <c r="C1820" t="s">
        <v>678</v>
      </c>
      <c r="D1820" t="s">
        <v>76</v>
      </c>
      <c r="E1820" t="s">
        <v>109</v>
      </c>
      <c r="F1820" t="s">
        <v>131</v>
      </c>
      <c r="G1820" t="s">
        <v>126</v>
      </c>
      <c r="H1820" t="s">
        <v>285</v>
      </c>
      <c r="I1820" t="s">
        <v>407</v>
      </c>
      <c r="J1820" t="s">
        <v>288</v>
      </c>
      <c r="K1820" t="s">
        <v>57</v>
      </c>
    </row>
    <row r="1821" spans="1:11" x14ac:dyDescent="0.35">
      <c r="A1821" t="s">
        <v>2296</v>
      </c>
      <c r="B1821">
        <v>2025</v>
      </c>
      <c r="C1821" t="s">
        <v>678</v>
      </c>
      <c r="D1821" t="s">
        <v>85</v>
      </c>
      <c r="E1821" t="s">
        <v>116</v>
      </c>
      <c r="F1821" t="s">
        <v>131</v>
      </c>
      <c r="G1821" t="s">
        <v>128</v>
      </c>
      <c r="H1821" t="s">
        <v>285</v>
      </c>
      <c r="I1821" t="s">
        <v>289</v>
      </c>
      <c r="J1821" t="s">
        <v>286</v>
      </c>
      <c r="K1821" t="s">
        <v>57</v>
      </c>
    </row>
    <row r="1822" spans="1:11" x14ac:dyDescent="0.35">
      <c r="A1822" t="s">
        <v>2297</v>
      </c>
      <c r="B1822">
        <v>2025</v>
      </c>
      <c r="C1822" t="s">
        <v>678</v>
      </c>
      <c r="D1822" t="s">
        <v>76</v>
      </c>
      <c r="E1822" t="s">
        <v>119</v>
      </c>
      <c r="F1822" t="s">
        <v>125</v>
      </c>
      <c r="G1822" t="s">
        <v>126</v>
      </c>
      <c r="H1822" t="s">
        <v>357</v>
      </c>
      <c r="I1822" t="s">
        <v>288</v>
      </c>
      <c r="J1822" t="s">
        <v>2298</v>
      </c>
      <c r="K1822" t="s">
        <v>42</v>
      </c>
    </row>
    <row r="1823" spans="1:11" x14ac:dyDescent="0.35">
      <c r="A1823" t="s">
        <v>2299</v>
      </c>
      <c r="B1823">
        <v>2025</v>
      </c>
      <c r="C1823" t="s">
        <v>678</v>
      </c>
      <c r="D1823" t="s">
        <v>85</v>
      </c>
      <c r="E1823" t="s">
        <v>116</v>
      </c>
      <c r="F1823" t="s">
        <v>129</v>
      </c>
      <c r="G1823" t="s">
        <v>126</v>
      </c>
      <c r="H1823" t="s">
        <v>285</v>
      </c>
      <c r="I1823" t="s">
        <v>289</v>
      </c>
      <c r="J1823" t="s">
        <v>286</v>
      </c>
      <c r="K1823" t="s">
        <v>57</v>
      </c>
    </row>
    <row r="1824" spans="1:11" x14ac:dyDescent="0.35">
      <c r="A1824" t="s">
        <v>2300</v>
      </c>
      <c r="B1824">
        <v>2025</v>
      </c>
      <c r="C1824" t="s">
        <v>678</v>
      </c>
      <c r="D1824" t="s">
        <v>76</v>
      </c>
      <c r="E1824" t="s">
        <v>107</v>
      </c>
      <c r="F1824" t="s">
        <v>125</v>
      </c>
      <c r="G1824" t="s">
        <v>126</v>
      </c>
      <c r="H1824" t="s">
        <v>285</v>
      </c>
      <c r="I1824" t="s">
        <v>288</v>
      </c>
      <c r="J1824" t="s">
        <v>286</v>
      </c>
      <c r="K1824" t="s">
        <v>57</v>
      </c>
    </row>
    <row r="1825" spans="1:11" x14ac:dyDescent="0.35">
      <c r="A1825" t="s">
        <v>2301</v>
      </c>
      <c r="B1825">
        <v>2025</v>
      </c>
      <c r="C1825" t="s">
        <v>678</v>
      </c>
      <c r="D1825" t="s">
        <v>85</v>
      </c>
      <c r="E1825" t="s">
        <v>116</v>
      </c>
      <c r="F1825" t="s">
        <v>131</v>
      </c>
      <c r="G1825" t="s">
        <v>128</v>
      </c>
      <c r="H1825" t="s">
        <v>285</v>
      </c>
      <c r="I1825" t="s">
        <v>86</v>
      </c>
      <c r="J1825" t="s">
        <v>405</v>
      </c>
      <c r="K1825" t="s">
        <v>57</v>
      </c>
    </row>
    <row r="1826" spans="1:11" x14ac:dyDescent="0.35">
      <c r="A1826" t="s">
        <v>2302</v>
      </c>
      <c r="B1826">
        <v>2025</v>
      </c>
      <c r="C1826" t="s">
        <v>678</v>
      </c>
      <c r="D1826" t="s">
        <v>76</v>
      </c>
      <c r="E1826" t="s">
        <v>111</v>
      </c>
      <c r="F1826" t="s">
        <v>125</v>
      </c>
      <c r="G1826" t="s">
        <v>126</v>
      </c>
      <c r="H1826" t="s">
        <v>285</v>
      </c>
      <c r="I1826" t="s">
        <v>288</v>
      </c>
      <c r="J1826" t="s">
        <v>286</v>
      </c>
      <c r="K1826" t="s">
        <v>57</v>
      </c>
    </row>
    <row r="1827" spans="1:11" x14ac:dyDescent="0.35">
      <c r="A1827" t="s">
        <v>2303</v>
      </c>
      <c r="B1827">
        <v>2025</v>
      </c>
      <c r="C1827" t="s">
        <v>678</v>
      </c>
      <c r="D1827" t="s">
        <v>85</v>
      </c>
      <c r="E1827" t="s">
        <v>116</v>
      </c>
      <c r="F1827" t="s">
        <v>129</v>
      </c>
      <c r="G1827" t="s">
        <v>126</v>
      </c>
      <c r="H1827" t="s">
        <v>285</v>
      </c>
      <c r="I1827" t="s">
        <v>289</v>
      </c>
      <c r="J1827" t="s">
        <v>467</v>
      </c>
      <c r="K1827" t="s">
        <v>57</v>
      </c>
    </row>
    <row r="1828" spans="1:11" x14ac:dyDescent="0.35">
      <c r="A1828" t="s">
        <v>2304</v>
      </c>
      <c r="B1828">
        <v>2025</v>
      </c>
      <c r="C1828" t="s">
        <v>678</v>
      </c>
      <c r="D1828" t="s">
        <v>76</v>
      </c>
      <c r="E1828" t="s">
        <v>115</v>
      </c>
      <c r="F1828" t="s">
        <v>131</v>
      </c>
      <c r="G1828" t="s">
        <v>126</v>
      </c>
      <c r="H1828" t="s">
        <v>285</v>
      </c>
      <c r="I1828" t="s">
        <v>2305</v>
      </c>
      <c r="J1828" t="s">
        <v>447</v>
      </c>
      <c r="K1828" t="s">
        <v>57</v>
      </c>
    </row>
    <row r="1829" spans="1:11" x14ac:dyDescent="0.35">
      <c r="A1829" t="s">
        <v>2306</v>
      </c>
      <c r="B1829">
        <v>2025</v>
      </c>
      <c r="C1829" t="s">
        <v>678</v>
      </c>
      <c r="D1829" t="s">
        <v>76</v>
      </c>
      <c r="E1829" t="s">
        <v>119</v>
      </c>
      <c r="F1829" t="s">
        <v>125</v>
      </c>
      <c r="G1829" t="s">
        <v>126</v>
      </c>
      <c r="H1829" t="s">
        <v>285</v>
      </c>
      <c r="I1829" t="s">
        <v>288</v>
      </c>
      <c r="J1829" t="s">
        <v>286</v>
      </c>
      <c r="K1829" t="s">
        <v>57</v>
      </c>
    </row>
    <row r="1830" spans="1:11" x14ac:dyDescent="0.35">
      <c r="A1830" t="s">
        <v>2307</v>
      </c>
      <c r="B1830">
        <v>2025</v>
      </c>
      <c r="C1830" t="s">
        <v>678</v>
      </c>
      <c r="D1830" t="s">
        <v>85</v>
      </c>
      <c r="E1830" t="s">
        <v>116</v>
      </c>
      <c r="F1830" t="s">
        <v>127</v>
      </c>
      <c r="G1830" t="s">
        <v>128</v>
      </c>
      <c r="H1830" t="s">
        <v>285</v>
      </c>
      <c r="I1830" t="s">
        <v>289</v>
      </c>
      <c r="J1830" t="s">
        <v>286</v>
      </c>
      <c r="K1830" t="s">
        <v>57</v>
      </c>
    </row>
    <row r="1831" spans="1:11" x14ac:dyDescent="0.35">
      <c r="A1831" t="s">
        <v>2308</v>
      </c>
      <c r="B1831">
        <v>2025</v>
      </c>
      <c r="C1831" t="s">
        <v>678</v>
      </c>
      <c r="D1831" t="s">
        <v>76</v>
      </c>
      <c r="E1831" t="s">
        <v>115</v>
      </c>
      <c r="F1831" t="s">
        <v>127</v>
      </c>
      <c r="G1831" t="s">
        <v>132</v>
      </c>
      <c r="H1831" t="s">
        <v>285</v>
      </c>
      <c r="I1831" t="s">
        <v>86</v>
      </c>
      <c r="J1831" t="s">
        <v>286</v>
      </c>
      <c r="K1831" t="s">
        <v>57</v>
      </c>
    </row>
    <row r="1832" spans="1:11" x14ac:dyDescent="0.35">
      <c r="A1832" t="s">
        <v>2309</v>
      </c>
      <c r="B1832">
        <v>2025</v>
      </c>
      <c r="C1832" t="s">
        <v>678</v>
      </c>
      <c r="D1832" t="s">
        <v>76</v>
      </c>
      <c r="E1832" t="s">
        <v>110</v>
      </c>
      <c r="F1832" t="s">
        <v>125</v>
      </c>
      <c r="G1832" t="s">
        <v>132</v>
      </c>
      <c r="H1832" t="s">
        <v>285</v>
      </c>
      <c r="I1832" t="s">
        <v>86</v>
      </c>
      <c r="J1832" t="s">
        <v>286</v>
      </c>
      <c r="K1832" t="s">
        <v>57</v>
      </c>
    </row>
    <row r="1833" spans="1:11" x14ac:dyDescent="0.35">
      <c r="A1833" t="s">
        <v>2310</v>
      </c>
      <c r="B1833">
        <v>2025</v>
      </c>
      <c r="C1833" t="s">
        <v>678</v>
      </c>
      <c r="D1833" t="s">
        <v>76</v>
      </c>
      <c r="E1833" t="s">
        <v>109</v>
      </c>
      <c r="F1833" t="s">
        <v>129</v>
      </c>
      <c r="G1833" t="s">
        <v>128</v>
      </c>
      <c r="H1833" t="s">
        <v>285</v>
      </c>
      <c r="I1833" t="s">
        <v>77</v>
      </c>
      <c r="J1833" t="s">
        <v>288</v>
      </c>
      <c r="K1833" t="s">
        <v>57</v>
      </c>
    </row>
    <row r="1834" spans="1:11" x14ac:dyDescent="0.35">
      <c r="A1834" t="s">
        <v>2311</v>
      </c>
      <c r="B1834">
        <v>2025</v>
      </c>
      <c r="C1834" t="s">
        <v>678</v>
      </c>
      <c r="D1834" t="s">
        <v>76</v>
      </c>
      <c r="E1834" t="s">
        <v>110</v>
      </c>
      <c r="F1834" t="s">
        <v>125</v>
      </c>
      <c r="G1834" t="s">
        <v>130</v>
      </c>
      <c r="H1834" t="s">
        <v>285</v>
      </c>
      <c r="I1834" t="s">
        <v>77</v>
      </c>
      <c r="J1834" t="s">
        <v>286</v>
      </c>
      <c r="K1834" t="s">
        <v>57</v>
      </c>
    </row>
    <row r="1835" spans="1:11" x14ac:dyDescent="0.35">
      <c r="A1835" t="s">
        <v>2312</v>
      </c>
      <c r="B1835">
        <v>2025</v>
      </c>
      <c r="C1835" t="s">
        <v>678</v>
      </c>
      <c r="D1835" t="s">
        <v>76</v>
      </c>
      <c r="E1835" t="s">
        <v>110</v>
      </c>
      <c r="F1835" t="s">
        <v>125</v>
      </c>
      <c r="G1835" t="s">
        <v>130</v>
      </c>
      <c r="H1835" t="s">
        <v>357</v>
      </c>
      <c r="I1835" t="s">
        <v>86</v>
      </c>
      <c r="J1835" t="s">
        <v>286</v>
      </c>
      <c r="K1835" t="s">
        <v>57</v>
      </c>
    </row>
    <row r="1836" spans="1:11" x14ac:dyDescent="0.35">
      <c r="A1836" t="s">
        <v>2313</v>
      </c>
      <c r="B1836">
        <v>2025</v>
      </c>
      <c r="C1836" t="s">
        <v>678</v>
      </c>
      <c r="D1836" t="s">
        <v>76</v>
      </c>
      <c r="E1836" t="s">
        <v>115</v>
      </c>
      <c r="F1836" t="s">
        <v>125</v>
      </c>
      <c r="G1836" t="s">
        <v>130</v>
      </c>
      <c r="H1836" t="s">
        <v>357</v>
      </c>
      <c r="I1836" t="s">
        <v>499</v>
      </c>
      <c r="J1836" t="s">
        <v>312</v>
      </c>
      <c r="K1836" t="s">
        <v>42</v>
      </c>
    </row>
    <row r="1837" spans="1:11" x14ac:dyDescent="0.35">
      <c r="A1837" t="s">
        <v>2314</v>
      </c>
      <c r="B1837">
        <v>2025</v>
      </c>
      <c r="C1837" t="s">
        <v>678</v>
      </c>
      <c r="D1837" t="s">
        <v>85</v>
      </c>
      <c r="E1837" t="s">
        <v>117</v>
      </c>
      <c r="F1837" t="s">
        <v>127</v>
      </c>
      <c r="G1837" t="s">
        <v>128</v>
      </c>
      <c r="H1837" t="s">
        <v>285</v>
      </c>
      <c r="I1837" t="s">
        <v>86</v>
      </c>
      <c r="J1837" t="s">
        <v>286</v>
      </c>
      <c r="K1837" t="s">
        <v>57</v>
      </c>
    </row>
    <row r="1838" spans="1:11" x14ac:dyDescent="0.35">
      <c r="A1838" t="s">
        <v>2315</v>
      </c>
      <c r="B1838">
        <v>2025</v>
      </c>
      <c r="C1838" t="s">
        <v>678</v>
      </c>
      <c r="D1838" t="s">
        <v>85</v>
      </c>
      <c r="E1838" t="s">
        <v>116</v>
      </c>
      <c r="F1838" t="s">
        <v>129</v>
      </c>
      <c r="G1838" t="s">
        <v>130</v>
      </c>
      <c r="H1838" t="s">
        <v>285</v>
      </c>
      <c r="I1838" t="s">
        <v>289</v>
      </c>
      <c r="J1838" t="s">
        <v>288</v>
      </c>
      <c r="K1838" t="s">
        <v>57</v>
      </c>
    </row>
    <row r="1839" spans="1:11" x14ac:dyDescent="0.35">
      <c r="A1839" t="s">
        <v>2316</v>
      </c>
      <c r="B1839">
        <v>2025</v>
      </c>
      <c r="C1839" t="s">
        <v>678</v>
      </c>
      <c r="D1839" t="s">
        <v>76</v>
      </c>
      <c r="E1839" t="s">
        <v>115</v>
      </c>
      <c r="F1839" t="s">
        <v>125</v>
      </c>
      <c r="G1839" t="s">
        <v>130</v>
      </c>
      <c r="H1839" t="s">
        <v>285</v>
      </c>
      <c r="I1839" t="s">
        <v>1536</v>
      </c>
      <c r="J1839" t="s">
        <v>686</v>
      </c>
      <c r="K1839" t="s">
        <v>57</v>
      </c>
    </row>
    <row r="1840" spans="1:11" x14ac:dyDescent="0.35">
      <c r="A1840" t="s">
        <v>2317</v>
      </c>
      <c r="B1840">
        <v>2025</v>
      </c>
      <c r="C1840" t="s">
        <v>678</v>
      </c>
      <c r="D1840" t="s">
        <v>85</v>
      </c>
      <c r="E1840" t="s">
        <v>116</v>
      </c>
      <c r="F1840" t="s">
        <v>131</v>
      </c>
      <c r="G1840" t="s">
        <v>130</v>
      </c>
      <c r="H1840" t="s">
        <v>285</v>
      </c>
      <c r="I1840" t="s">
        <v>77</v>
      </c>
      <c r="J1840" t="s">
        <v>286</v>
      </c>
      <c r="K1840" t="s">
        <v>57</v>
      </c>
    </row>
    <row r="1841" spans="1:11" x14ac:dyDescent="0.35">
      <c r="A1841" t="s">
        <v>2318</v>
      </c>
      <c r="B1841">
        <v>2025</v>
      </c>
      <c r="C1841" t="s">
        <v>678</v>
      </c>
      <c r="D1841" t="s">
        <v>85</v>
      </c>
      <c r="E1841" t="s">
        <v>117</v>
      </c>
      <c r="F1841" t="s">
        <v>134</v>
      </c>
      <c r="G1841" t="s">
        <v>128</v>
      </c>
      <c r="H1841" t="s">
        <v>285</v>
      </c>
      <c r="I1841" t="s">
        <v>77</v>
      </c>
      <c r="J1841" t="s">
        <v>326</v>
      </c>
      <c r="K1841" t="s">
        <v>57</v>
      </c>
    </row>
    <row r="1842" spans="1:11" x14ac:dyDescent="0.35">
      <c r="A1842" t="s">
        <v>2319</v>
      </c>
      <c r="B1842">
        <v>2025</v>
      </c>
      <c r="C1842" t="s">
        <v>678</v>
      </c>
      <c r="D1842" t="s">
        <v>76</v>
      </c>
      <c r="E1842" t="s">
        <v>115</v>
      </c>
      <c r="F1842" t="s">
        <v>129</v>
      </c>
      <c r="G1842" t="s">
        <v>132</v>
      </c>
      <c r="H1842" t="s">
        <v>285</v>
      </c>
      <c r="I1842" t="s">
        <v>77</v>
      </c>
      <c r="J1842" t="s">
        <v>447</v>
      </c>
      <c r="K1842" t="s">
        <v>57</v>
      </c>
    </row>
    <row r="1843" spans="1:11" x14ac:dyDescent="0.35">
      <c r="A1843" t="s">
        <v>2320</v>
      </c>
      <c r="B1843">
        <v>2025</v>
      </c>
      <c r="C1843" t="s">
        <v>678</v>
      </c>
      <c r="D1843" t="s">
        <v>76</v>
      </c>
      <c r="E1843" t="s">
        <v>119</v>
      </c>
      <c r="F1843" t="s">
        <v>288</v>
      </c>
      <c r="G1843" t="s">
        <v>130</v>
      </c>
      <c r="H1843" t="s">
        <v>285</v>
      </c>
      <c r="I1843" t="s">
        <v>86</v>
      </c>
      <c r="J1843" t="s">
        <v>317</v>
      </c>
      <c r="K1843" t="s">
        <v>57</v>
      </c>
    </row>
    <row r="1844" spans="1:11" x14ac:dyDescent="0.35">
      <c r="A1844" t="s">
        <v>2321</v>
      </c>
      <c r="B1844">
        <v>2025</v>
      </c>
      <c r="C1844" t="s">
        <v>678</v>
      </c>
      <c r="D1844" t="s">
        <v>85</v>
      </c>
      <c r="E1844" t="s">
        <v>120</v>
      </c>
      <c r="F1844" t="s">
        <v>131</v>
      </c>
      <c r="G1844" t="s">
        <v>128</v>
      </c>
      <c r="H1844" t="s">
        <v>357</v>
      </c>
      <c r="I1844" t="s">
        <v>86</v>
      </c>
      <c r="J1844" t="s">
        <v>286</v>
      </c>
      <c r="K1844" t="s">
        <v>57</v>
      </c>
    </row>
    <row r="1845" spans="1:11" x14ac:dyDescent="0.35">
      <c r="A1845" t="s">
        <v>2322</v>
      </c>
      <c r="B1845">
        <v>2025</v>
      </c>
      <c r="C1845" t="s">
        <v>678</v>
      </c>
      <c r="D1845" t="s">
        <v>85</v>
      </c>
      <c r="E1845" t="s">
        <v>117</v>
      </c>
      <c r="F1845" t="s">
        <v>131</v>
      </c>
      <c r="G1845" t="s">
        <v>132</v>
      </c>
      <c r="H1845" t="s">
        <v>285</v>
      </c>
      <c r="I1845" t="s">
        <v>288</v>
      </c>
      <c r="J1845" t="s">
        <v>331</v>
      </c>
      <c r="K1845" t="s">
        <v>42</v>
      </c>
    </row>
    <row r="1846" spans="1:11" x14ac:dyDescent="0.35">
      <c r="A1846" t="s">
        <v>2323</v>
      </c>
      <c r="B1846">
        <v>2025</v>
      </c>
      <c r="C1846" t="s">
        <v>678</v>
      </c>
      <c r="D1846" t="s">
        <v>76</v>
      </c>
      <c r="E1846" t="s">
        <v>115</v>
      </c>
      <c r="F1846" t="s">
        <v>125</v>
      </c>
      <c r="G1846" t="s">
        <v>132</v>
      </c>
      <c r="H1846" t="s">
        <v>285</v>
      </c>
      <c r="I1846" t="s">
        <v>86</v>
      </c>
      <c r="J1846" t="s">
        <v>286</v>
      </c>
      <c r="K1846" t="s">
        <v>57</v>
      </c>
    </row>
    <row r="1847" spans="1:11" x14ac:dyDescent="0.35">
      <c r="A1847" t="s">
        <v>2324</v>
      </c>
      <c r="B1847">
        <v>2025</v>
      </c>
      <c r="C1847" t="s">
        <v>678</v>
      </c>
      <c r="D1847" t="s">
        <v>85</v>
      </c>
      <c r="E1847" t="s">
        <v>116</v>
      </c>
      <c r="F1847" t="s">
        <v>131</v>
      </c>
      <c r="G1847" t="s">
        <v>128</v>
      </c>
      <c r="H1847" t="s">
        <v>285</v>
      </c>
      <c r="I1847" t="s">
        <v>1806</v>
      </c>
      <c r="J1847" t="s">
        <v>405</v>
      </c>
      <c r="K1847" t="s">
        <v>57</v>
      </c>
    </row>
    <row r="1848" spans="1:11" x14ac:dyDescent="0.35">
      <c r="A1848" t="s">
        <v>2325</v>
      </c>
      <c r="B1848">
        <v>2025</v>
      </c>
      <c r="C1848" t="s">
        <v>678</v>
      </c>
      <c r="D1848" t="s">
        <v>76</v>
      </c>
      <c r="E1848" t="s">
        <v>111</v>
      </c>
      <c r="F1848" t="s">
        <v>125</v>
      </c>
      <c r="G1848" t="s">
        <v>132</v>
      </c>
      <c r="H1848" t="s">
        <v>285</v>
      </c>
      <c r="I1848" t="s">
        <v>77</v>
      </c>
      <c r="J1848" t="s">
        <v>288</v>
      </c>
      <c r="K1848" t="s">
        <v>57</v>
      </c>
    </row>
    <row r="1849" spans="1:11" x14ac:dyDescent="0.35">
      <c r="A1849" t="s">
        <v>2326</v>
      </c>
      <c r="B1849">
        <v>2025</v>
      </c>
      <c r="C1849" t="s">
        <v>678</v>
      </c>
      <c r="D1849" t="s">
        <v>85</v>
      </c>
      <c r="E1849" t="s">
        <v>116</v>
      </c>
      <c r="F1849" t="s">
        <v>125</v>
      </c>
      <c r="G1849" t="s">
        <v>128</v>
      </c>
      <c r="H1849" t="s">
        <v>285</v>
      </c>
      <c r="I1849" t="s">
        <v>86</v>
      </c>
      <c r="J1849" t="s">
        <v>775</v>
      </c>
      <c r="K1849" t="s">
        <v>42</v>
      </c>
    </row>
    <row r="1850" spans="1:11" x14ac:dyDescent="0.35">
      <c r="A1850" t="s">
        <v>2327</v>
      </c>
      <c r="B1850">
        <v>2025</v>
      </c>
      <c r="C1850" t="s">
        <v>678</v>
      </c>
      <c r="D1850" t="s">
        <v>76</v>
      </c>
      <c r="E1850" t="s">
        <v>109</v>
      </c>
      <c r="F1850" t="s">
        <v>129</v>
      </c>
      <c r="G1850" t="s">
        <v>128</v>
      </c>
      <c r="H1850" t="s">
        <v>285</v>
      </c>
      <c r="I1850" t="s">
        <v>535</v>
      </c>
      <c r="J1850" t="s">
        <v>286</v>
      </c>
      <c r="K1850" t="s">
        <v>57</v>
      </c>
    </row>
    <row r="1851" spans="1:11" x14ac:dyDescent="0.35">
      <c r="A1851" t="s">
        <v>2328</v>
      </c>
      <c r="B1851">
        <v>2025</v>
      </c>
      <c r="C1851" t="s">
        <v>678</v>
      </c>
      <c r="D1851" t="s">
        <v>85</v>
      </c>
      <c r="E1851" t="s">
        <v>116</v>
      </c>
      <c r="F1851" t="s">
        <v>125</v>
      </c>
      <c r="G1851" t="s">
        <v>126</v>
      </c>
      <c r="H1851" t="s">
        <v>285</v>
      </c>
      <c r="I1851" t="s">
        <v>86</v>
      </c>
      <c r="J1851" t="s">
        <v>347</v>
      </c>
      <c r="K1851" t="s">
        <v>57</v>
      </c>
    </row>
    <row r="1852" spans="1:11" x14ac:dyDescent="0.35">
      <c r="A1852" t="s">
        <v>2329</v>
      </c>
      <c r="B1852">
        <v>2025</v>
      </c>
      <c r="C1852" t="s">
        <v>678</v>
      </c>
      <c r="D1852" t="s">
        <v>85</v>
      </c>
      <c r="E1852" t="s">
        <v>116</v>
      </c>
      <c r="F1852" t="s">
        <v>129</v>
      </c>
      <c r="G1852" t="s">
        <v>128</v>
      </c>
      <c r="H1852" t="s">
        <v>285</v>
      </c>
      <c r="I1852" t="s">
        <v>289</v>
      </c>
      <c r="J1852" t="s">
        <v>317</v>
      </c>
      <c r="K1852" t="s">
        <v>57</v>
      </c>
    </row>
    <row r="1853" spans="1:11" x14ac:dyDescent="0.35">
      <c r="A1853" t="s">
        <v>2330</v>
      </c>
      <c r="B1853">
        <v>2025</v>
      </c>
      <c r="C1853" t="s">
        <v>678</v>
      </c>
      <c r="D1853" t="s">
        <v>76</v>
      </c>
      <c r="E1853" t="s">
        <v>107</v>
      </c>
      <c r="F1853" t="s">
        <v>125</v>
      </c>
      <c r="G1853" t="s">
        <v>126</v>
      </c>
      <c r="H1853" t="s">
        <v>285</v>
      </c>
      <c r="I1853" t="s">
        <v>86</v>
      </c>
      <c r="J1853" t="s">
        <v>286</v>
      </c>
      <c r="K1853" t="s">
        <v>57</v>
      </c>
    </row>
    <row r="1854" spans="1:11" x14ac:dyDescent="0.35">
      <c r="A1854" t="s">
        <v>2331</v>
      </c>
      <c r="B1854">
        <v>2025</v>
      </c>
      <c r="C1854" t="s">
        <v>678</v>
      </c>
      <c r="D1854" t="s">
        <v>85</v>
      </c>
      <c r="E1854" t="s">
        <v>117</v>
      </c>
      <c r="F1854" t="s">
        <v>288</v>
      </c>
      <c r="G1854" t="s">
        <v>130</v>
      </c>
      <c r="H1854" t="s">
        <v>285</v>
      </c>
      <c r="I1854" t="s">
        <v>289</v>
      </c>
      <c r="J1854" t="s">
        <v>295</v>
      </c>
      <c r="K1854" t="s">
        <v>57</v>
      </c>
    </row>
    <row r="1855" spans="1:11" x14ac:dyDescent="0.35">
      <c r="A1855" t="s">
        <v>2332</v>
      </c>
      <c r="B1855">
        <v>2025</v>
      </c>
      <c r="C1855" t="s">
        <v>678</v>
      </c>
      <c r="D1855" t="s">
        <v>76</v>
      </c>
      <c r="E1855" t="s">
        <v>115</v>
      </c>
      <c r="F1855" t="s">
        <v>125</v>
      </c>
      <c r="G1855" t="s">
        <v>126</v>
      </c>
      <c r="H1855" t="s">
        <v>297</v>
      </c>
      <c r="I1855" t="s">
        <v>77</v>
      </c>
      <c r="J1855" t="s">
        <v>286</v>
      </c>
      <c r="K1855" t="s">
        <v>57</v>
      </c>
    </row>
    <row r="1856" spans="1:11" x14ac:dyDescent="0.35">
      <c r="A1856" t="s">
        <v>2333</v>
      </c>
      <c r="B1856">
        <v>2025</v>
      </c>
      <c r="C1856" t="s">
        <v>678</v>
      </c>
      <c r="D1856" t="s">
        <v>85</v>
      </c>
      <c r="E1856" t="s">
        <v>116</v>
      </c>
      <c r="F1856" t="s">
        <v>125</v>
      </c>
      <c r="G1856" t="s">
        <v>126</v>
      </c>
      <c r="H1856" t="s">
        <v>285</v>
      </c>
      <c r="I1856" t="s">
        <v>289</v>
      </c>
      <c r="J1856" t="s">
        <v>286</v>
      </c>
      <c r="K1856" t="s">
        <v>57</v>
      </c>
    </row>
    <row r="1857" spans="1:11" x14ac:dyDescent="0.35">
      <c r="A1857" t="s">
        <v>2334</v>
      </c>
      <c r="B1857">
        <v>2025</v>
      </c>
      <c r="C1857" t="s">
        <v>678</v>
      </c>
      <c r="D1857" t="s">
        <v>85</v>
      </c>
      <c r="E1857" t="s">
        <v>116</v>
      </c>
      <c r="F1857" t="s">
        <v>129</v>
      </c>
      <c r="G1857" t="s">
        <v>128</v>
      </c>
      <c r="H1857" t="s">
        <v>285</v>
      </c>
      <c r="I1857" t="s">
        <v>77</v>
      </c>
      <c r="J1857" t="s">
        <v>286</v>
      </c>
      <c r="K1857" t="s">
        <v>57</v>
      </c>
    </row>
    <row r="1858" spans="1:11" x14ac:dyDescent="0.35">
      <c r="A1858" t="s">
        <v>2335</v>
      </c>
      <c r="B1858">
        <v>2025</v>
      </c>
      <c r="C1858" t="s">
        <v>678</v>
      </c>
      <c r="D1858" t="s">
        <v>76</v>
      </c>
      <c r="E1858" t="s">
        <v>109</v>
      </c>
      <c r="F1858" t="s">
        <v>129</v>
      </c>
      <c r="G1858" t="s">
        <v>126</v>
      </c>
      <c r="H1858" t="s">
        <v>285</v>
      </c>
      <c r="I1858" t="s">
        <v>77</v>
      </c>
      <c r="J1858" t="s">
        <v>286</v>
      </c>
      <c r="K1858" t="s">
        <v>57</v>
      </c>
    </row>
    <row r="1859" spans="1:11" x14ac:dyDescent="0.35">
      <c r="A1859" t="s">
        <v>2336</v>
      </c>
      <c r="B1859">
        <v>2025</v>
      </c>
      <c r="C1859" t="s">
        <v>678</v>
      </c>
      <c r="D1859" t="s">
        <v>85</v>
      </c>
      <c r="E1859" t="s">
        <v>116</v>
      </c>
      <c r="F1859" t="s">
        <v>125</v>
      </c>
      <c r="G1859" t="s">
        <v>128</v>
      </c>
      <c r="H1859" t="s">
        <v>305</v>
      </c>
      <c r="I1859" t="s">
        <v>86</v>
      </c>
      <c r="J1859" t="s">
        <v>361</v>
      </c>
      <c r="K1859" t="s">
        <v>57</v>
      </c>
    </row>
    <row r="1860" spans="1:11" x14ac:dyDescent="0.35">
      <c r="A1860" t="s">
        <v>2337</v>
      </c>
      <c r="B1860">
        <v>2025</v>
      </c>
      <c r="C1860" t="s">
        <v>678</v>
      </c>
      <c r="D1860" t="s">
        <v>76</v>
      </c>
      <c r="E1860" t="s">
        <v>115</v>
      </c>
      <c r="F1860" t="s">
        <v>131</v>
      </c>
      <c r="G1860" t="s">
        <v>126</v>
      </c>
      <c r="H1860" t="s">
        <v>357</v>
      </c>
      <c r="I1860" t="s">
        <v>337</v>
      </c>
      <c r="J1860" t="s">
        <v>317</v>
      </c>
      <c r="K1860" t="s">
        <v>57</v>
      </c>
    </row>
    <row r="1861" spans="1:11" x14ac:dyDescent="0.35">
      <c r="A1861" t="s">
        <v>2338</v>
      </c>
      <c r="B1861">
        <v>2025</v>
      </c>
      <c r="C1861" t="s">
        <v>678</v>
      </c>
      <c r="D1861" t="s">
        <v>76</v>
      </c>
      <c r="E1861" t="s">
        <v>111</v>
      </c>
      <c r="F1861" t="s">
        <v>125</v>
      </c>
      <c r="G1861" t="s">
        <v>126</v>
      </c>
      <c r="H1861" t="s">
        <v>357</v>
      </c>
      <c r="I1861" t="s">
        <v>86</v>
      </c>
      <c r="J1861" t="s">
        <v>288</v>
      </c>
      <c r="K1861" t="s">
        <v>57</v>
      </c>
    </row>
    <row r="1862" spans="1:11" x14ac:dyDescent="0.35">
      <c r="A1862" t="s">
        <v>2339</v>
      </c>
      <c r="B1862">
        <v>2025</v>
      </c>
      <c r="C1862" t="s">
        <v>678</v>
      </c>
      <c r="D1862" t="s">
        <v>85</v>
      </c>
      <c r="E1862" t="s">
        <v>116</v>
      </c>
      <c r="F1862" t="s">
        <v>125</v>
      </c>
      <c r="G1862" t="s">
        <v>130</v>
      </c>
      <c r="H1862" t="s">
        <v>285</v>
      </c>
      <c r="I1862" t="s">
        <v>86</v>
      </c>
      <c r="J1862" t="s">
        <v>317</v>
      </c>
      <c r="K1862" t="s">
        <v>57</v>
      </c>
    </row>
    <row r="1863" spans="1:11" x14ac:dyDescent="0.35">
      <c r="A1863" t="s">
        <v>2340</v>
      </c>
      <c r="B1863">
        <v>2025</v>
      </c>
      <c r="C1863" t="s">
        <v>678</v>
      </c>
      <c r="D1863" t="s">
        <v>85</v>
      </c>
      <c r="E1863" t="s">
        <v>116</v>
      </c>
      <c r="F1863" t="s">
        <v>125</v>
      </c>
      <c r="G1863" t="s">
        <v>126</v>
      </c>
      <c r="H1863" t="s">
        <v>285</v>
      </c>
      <c r="I1863" t="s">
        <v>86</v>
      </c>
      <c r="J1863" t="s">
        <v>2341</v>
      </c>
      <c r="K1863" t="s">
        <v>42</v>
      </c>
    </row>
    <row r="1864" spans="1:11" x14ac:dyDescent="0.35">
      <c r="A1864" t="s">
        <v>2342</v>
      </c>
      <c r="B1864">
        <v>2025</v>
      </c>
      <c r="C1864" t="s">
        <v>678</v>
      </c>
      <c r="D1864" t="s">
        <v>76</v>
      </c>
      <c r="E1864" t="s">
        <v>115</v>
      </c>
      <c r="F1864" t="s">
        <v>125</v>
      </c>
      <c r="G1864" t="s">
        <v>130</v>
      </c>
      <c r="H1864" t="s">
        <v>357</v>
      </c>
      <c r="I1864" t="s">
        <v>77</v>
      </c>
      <c r="J1864" t="s">
        <v>286</v>
      </c>
      <c r="K1864" t="s">
        <v>57</v>
      </c>
    </row>
    <row r="1865" spans="1:11" x14ac:dyDescent="0.35">
      <c r="A1865" t="s">
        <v>2343</v>
      </c>
      <c r="B1865">
        <v>2025</v>
      </c>
      <c r="C1865" t="s">
        <v>678</v>
      </c>
      <c r="D1865" t="s">
        <v>76</v>
      </c>
      <c r="E1865" t="s">
        <v>115</v>
      </c>
      <c r="F1865" t="s">
        <v>125</v>
      </c>
      <c r="G1865" t="s">
        <v>130</v>
      </c>
      <c r="H1865" t="s">
        <v>285</v>
      </c>
      <c r="I1865" t="s">
        <v>77</v>
      </c>
      <c r="J1865" t="s">
        <v>286</v>
      </c>
      <c r="K1865" t="s">
        <v>57</v>
      </c>
    </row>
    <row r="1866" spans="1:11" x14ac:dyDescent="0.35">
      <c r="A1866" t="s">
        <v>2344</v>
      </c>
      <c r="B1866">
        <v>2025</v>
      </c>
      <c r="C1866" t="s">
        <v>678</v>
      </c>
      <c r="D1866" t="s">
        <v>76</v>
      </c>
      <c r="E1866" t="s">
        <v>113</v>
      </c>
      <c r="F1866" t="s">
        <v>129</v>
      </c>
      <c r="G1866" t="s">
        <v>128</v>
      </c>
      <c r="H1866" t="s">
        <v>285</v>
      </c>
      <c r="I1866" t="s">
        <v>86</v>
      </c>
      <c r="J1866" t="s">
        <v>895</v>
      </c>
      <c r="K1866" t="s">
        <v>42</v>
      </c>
    </row>
    <row r="1867" spans="1:11" x14ac:dyDescent="0.35">
      <c r="A1867" t="s">
        <v>2345</v>
      </c>
      <c r="B1867">
        <v>2025</v>
      </c>
      <c r="C1867" t="s">
        <v>678</v>
      </c>
      <c r="D1867" t="s">
        <v>85</v>
      </c>
      <c r="E1867" t="s">
        <v>116</v>
      </c>
      <c r="F1867" t="s">
        <v>131</v>
      </c>
      <c r="G1867" t="s">
        <v>130</v>
      </c>
      <c r="H1867" t="s">
        <v>285</v>
      </c>
      <c r="I1867" t="s">
        <v>77</v>
      </c>
      <c r="J1867" t="s">
        <v>286</v>
      </c>
      <c r="K1867" t="s">
        <v>57</v>
      </c>
    </row>
    <row r="1868" spans="1:11" x14ac:dyDescent="0.35">
      <c r="A1868" t="s">
        <v>2346</v>
      </c>
      <c r="B1868">
        <v>2025</v>
      </c>
      <c r="C1868" t="s">
        <v>678</v>
      </c>
      <c r="D1868" t="s">
        <v>85</v>
      </c>
      <c r="E1868" t="s">
        <v>116</v>
      </c>
      <c r="F1868" t="s">
        <v>129</v>
      </c>
      <c r="G1868" t="s">
        <v>130</v>
      </c>
      <c r="H1868" t="s">
        <v>285</v>
      </c>
      <c r="I1868" t="s">
        <v>77</v>
      </c>
      <c r="J1868" t="s">
        <v>286</v>
      </c>
      <c r="K1868" t="s">
        <v>57</v>
      </c>
    </row>
    <row r="1869" spans="1:11" x14ac:dyDescent="0.35">
      <c r="A1869" t="s">
        <v>2347</v>
      </c>
      <c r="B1869">
        <v>2025</v>
      </c>
      <c r="C1869" t="s">
        <v>678</v>
      </c>
      <c r="D1869" t="s">
        <v>85</v>
      </c>
      <c r="E1869" t="s">
        <v>115</v>
      </c>
      <c r="F1869" t="s">
        <v>125</v>
      </c>
      <c r="G1869" t="s">
        <v>128</v>
      </c>
      <c r="H1869" t="s">
        <v>285</v>
      </c>
      <c r="I1869" t="s">
        <v>86</v>
      </c>
      <c r="J1869" t="s">
        <v>326</v>
      </c>
      <c r="K1869" t="s">
        <v>57</v>
      </c>
    </row>
    <row r="1870" spans="1:11" x14ac:dyDescent="0.35">
      <c r="A1870" t="s">
        <v>2348</v>
      </c>
      <c r="B1870">
        <v>2025</v>
      </c>
      <c r="C1870" t="s">
        <v>678</v>
      </c>
      <c r="D1870" t="s">
        <v>85</v>
      </c>
      <c r="E1870" t="s">
        <v>120</v>
      </c>
      <c r="F1870" t="s">
        <v>288</v>
      </c>
      <c r="G1870" t="s">
        <v>128</v>
      </c>
      <c r="H1870" t="s">
        <v>285</v>
      </c>
      <c r="I1870" t="s">
        <v>77</v>
      </c>
      <c r="J1870" t="s">
        <v>286</v>
      </c>
      <c r="K1870" t="s">
        <v>57</v>
      </c>
    </row>
    <row r="1871" spans="1:11" x14ac:dyDescent="0.35">
      <c r="A1871" t="s">
        <v>2349</v>
      </c>
      <c r="B1871">
        <v>2025</v>
      </c>
      <c r="C1871" t="s">
        <v>678</v>
      </c>
      <c r="D1871" t="s">
        <v>85</v>
      </c>
      <c r="E1871" t="s">
        <v>117</v>
      </c>
      <c r="F1871" t="s">
        <v>288</v>
      </c>
      <c r="G1871" t="s">
        <v>130</v>
      </c>
      <c r="H1871" t="s">
        <v>285</v>
      </c>
      <c r="I1871" t="s">
        <v>77</v>
      </c>
      <c r="J1871" t="s">
        <v>405</v>
      </c>
      <c r="K1871" t="s">
        <v>57</v>
      </c>
    </row>
    <row r="1872" spans="1:11" x14ac:dyDescent="0.35">
      <c r="A1872" t="s">
        <v>2350</v>
      </c>
      <c r="B1872">
        <v>2025</v>
      </c>
      <c r="C1872" t="s">
        <v>678</v>
      </c>
      <c r="D1872" t="s">
        <v>76</v>
      </c>
      <c r="E1872" t="s">
        <v>107</v>
      </c>
      <c r="F1872" t="s">
        <v>125</v>
      </c>
      <c r="G1872" t="s">
        <v>130</v>
      </c>
      <c r="H1872" t="s">
        <v>285</v>
      </c>
      <c r="I1872" t="s">
        <v>86</v>
      </c>
      <c r="J1872" t="s">
        <v>308</v>
      </c>
      <c r="K1872" t="s">
        <v>42</v>
      </c>
    </row>
    <row r="1873" spans="1:11" x14ac:dyDescent="0.35">
      <c r="A1873" t="s">
        <v>2351</v>
      </c>
      <c r="B1873">
        <v>2025</v>
      </c>
      <c r="C1873" t="s">
        <v>678</v>
      </c>
      <c r="D1873" t="s">
        <v>85</v>
      </c>
      <c r="E1873" t="s">
        <v>344</v>
      </c>
      <c r="F1873" t="s">
        <v>127</v>
      </c>
      <c r="G1873" t="s">
        <v>128</v>
      </c>
      <c r="H1873" t="s">
        <v>285</v>
      </c>
      <c r="I1873" t="s">
        <v>86</v>
      </c>
      <c r="J1873" t="s">
        <v>367</v>
      </c>
      <c r="K1873" t="s">
        <v>42</v>
      </c>
    </row>
    <row r="1874" spans="1:11" x14ac:dyDescent="0.35">
      <c r="A1874" t="s">
        <v>2352</v>
      </c>
      <c r="B1874">
        <v>2025</v>
      </c>
      <c r="C1874" t="s">
        <v>678</v>
      </c>
      <c r="D1874" t="s">
        <v>76</v>
      </c>
      <c r="E1874" t="s">
        <v>115</v>
      </c>
      <c r="F1874" t="s">
        <v>131</v>
      </c>
      <c r="G1874" t="s">
        <v>132</v>
      </c>
      <c r="H1874" t="s">
        <v>285</v>
      </c>
      <c r="I1874" t="s">
        <v>77</v>
      </c>
      <c r="J1874" t="s">
        <v>286</v>
      </c>
      <c r="K1874" t="s">
        <v>57</v>
      </c>
    </row>
    <row r="1875" spans="1:11" x14ac:dyDescent="0.35">
      <c r="A1875" t="s">
        <v>2353</v>
      </c>
      <c r="B1875">
        <v>2025</v>
      </c>
      <c r="C1875" t="s">
        <v>678</v>
      </c>
      <c r="D1875" t="s">
        <v>85</v>
      </c>
      <c r="E1875" t="s">
        <v>116</v>
      </c>
      <c r="F1875" t="s">
        <v>131</v>
      </c>
      <c r="G1875" t="s">
        <v>128</v>
      </c>
      <c r="H1875" t="s">
        <v>305</v>
      </c>
      <c r="I1875" t="s">
        <v>86</v>
      </c>
      <c r="J1875" t="s">
        <v>2354</v>
      </c>
      <c r="K1875" t="s">
        <v>42</v>
      </c>
    </row>
    <row r="1876" spans="1:11" x14ac:dyDescent="0.35">
      <c r="A1876" t="s">
        <v>2355</v>
      </c>
      <c r="B1876">
        <v>2025</v>
      </c>
      <c r="C1876" t="s">
        <v>678</v>
      </c>
      <c r="D1876" t="s">
        <v>76</v>
      </c>
      <c r="E1876" t="s">
        <v>115</v>
      </c>
      <c r="F1876" t="s">
        <v>129</v>
      </c>
      <c r="G1876" t="s">
        <v>128</v>
      </c>
      <c r="H1876" t="s">
        <v>357</v>
      </c>
      <c r="I1876" t="s">
        <v>77</v>
      </c>
      <c r="J1876" t="s">
        <v>286</v>
      </c>
      <c r="K1876" t="s">
        <v>57</v>
      </c>
    </row>
    <row r="1877" spans="1:11" x14ac:dyDescent="0.35">
      <c r="A1877" t="s">
        <v>2356</v>
      </c>
      <c r="B1877">
        <v>2025</v>
      </c>
      <c r="C1877" t="s">
        <v>678</v>
      </c>
      <c r="D1877" t="s">
        <v>85</v>
      </c>
      <c r="E1877" t="s">
        <v>116</v>
      </c>
      <c r="F1877" t="s">
        <v>129</v>
      </c>
      <c r="G1877" t="s">
        <v>126</v>
      </c>
      <c r="H1877" t="s">
        <v>285</v>
      </c>
      <c r="I1877" t="s">
        <v>77</v>
      </c>
      <c r="J1877" t="s">
        <v>326</v>
      </c>
      <c r="K1877" t="s">
        <v>57</v>
      </c>
    </row>
    <row r="1878" spans="1:11" x14ac:dyDescent="0.35">
      <c r="A1878" t="s">
        <v>2357</v>
      </c>
      <c r="B1878">
        <v>2025</v>
      </c>
      <c r="C1878" t="s">
        <v>678</v>
      </c>
      <c r="D1878" t="s">
        <v>76</v>
      </c>
      <c r="E1878" t="s">
        <v>109</v>
      </c>
      <c r="F1878" t="s">
        <v>127</v>
      </c>
      <c r="G1878" t="s">
        <v>126</v>
      </c>
      <c r="H1878" t="s">
        <v>285</v>
      </c>
      <c r="I1878" t="s">
        <v>86</v>
      </c>
      <c r="J1878" t="s">
        <v>286</v>
      </c>
      <c r="K1878" t="s">
        <v>57</v>
      </c>
    </row>
    <row r="1879" spans="1:11" x14ac:dyDescent="0.35">
      <c r="A1879" t="s">
        <v>2358</v>
      </c>
      <c r="B1879">
        <v>2025</v>
      </c>
      <c r="C1879" t="s">
        <v>678</v>
      </c>
      <c r="D1879" t="s">
        <v>85</v>
      </c>
      <c r="E1879" t="s">
        <v>120</v>
      </c>
      <c r="F1879" t="s">
        <v>127</v>
      </c>
      <c r="G1879" t="s">
        <v>132</v>
      </c>
      <c r="H1879" t="s">
        <v>285</v>
      </c>
      <c r="I1879" t="s">
        <v>77</v>
      </c>
      <c r="J1879" t="s">
        <v>326</v>
      </c>
      <c r="K1879" t="s">
        <v>57</v>
      </c>
    </row>
    <row r="1880" spans="1:11" x14ac:dyDescent="0.35">
      <c r="A1880" t="s">
        <v>2359</v>
      </c>
      <c r="B1880">
        <v>2025</v>
      </c>
      <c r="C1880" t="s">
        <v>678</v>
      </c>
      <c r="D1880" t="s">
        <v>76</v>
      </c>
      <c r="E1880" t="s">
        <v>112</v>
      </c>
      <c r="F1880" t="s">
        <v>129</v>
      </c>
      <c r="G1880" t="s">
        <v>128</v>
      </c>
      <c r="H1880" t="s">
        <v>285</v>
      </c>
      <c r="I1880" t="s">
        <v>289</v>
      </c>
      <c r="J1880" t="s">
        <v>286</v>
      </c>
      <c r="K1880" t="s">
        <v>57</v>
      </c>
    </row>
    <row r="1881" spans="1:11" x14ac:dyDescent="0.35">
      <c r="A1881" t="s">
        <v>2360</v>
      </c>
      <c r="B1881">
        <v>2025</v>
      </c>
      <c r="C1881" t="s">
        <v>678</v>
      </c>
      <c r="D1881" t="s">
        <v>76</v>
      </c>
      <c r="E1881" t="s">
        <v>109</v>
      </c>
      <c r="F1881" t="s">
        <v>129</v>
      </c>
      <c r="G1881" t="s">
        <v>126</v>
      </c>
      <c r="H1881" t="s">
        <v>285</v>
      </c>
      <c r="I1881" t="s">
        <v>77</v>
      </c>
      <c r="J1881" t="s">
        <v>286</v>
      </c>
      <c r="K1881" t="s">
        <v>57</v>
      </c>
    </row>
    <row r="1882" spans="1:11" x14ac:dyDescent="0.35">
      <c r="A1882" t="s">
        <v>2361</v>
      </c>
      <c r="B1882">
        <v>2025</v>
      </c>
      <c r="C1882" t="s">
        <v>678</v>
      </c>
      <c r="D1882" t="s">
        <v>76</v>
      </c>
      <c r="E1882" t="s">
        <v>119</v>
      </c>
      <c r="F1882" t="s">
        <v>125</v>
      </c>
      <c r="G1882" t="s">
        <v>126</v>
      </c>
      <c r="H1882" t="s">
        <v>285</v>
      </c>
      <c r="I1882" t="s">
        <v>86</v>
      </c>
      <c r="J1882" t="s">
        <v>317</v>
      </c>
      <c r="K1882" t="s">
        <v>57</v>
      </c>
    </row>
    <row r="1883" spans="1:11" x14ac:dyDescent="0.35">
      <c r="A1883" t="s">
        <v>2362</v>
      </c>
      <c r="B1883">
        <v>2025</v>
      </c>
      <c r="C1883" t="s">
        <v>678</v>
      </c>
      <c r="D1883" t="s">
        <v>85</v>
      </c>
      <c r="E1883" t="s">
        <v>116</v>
      </c>
      <c r="F1883" t="s">
        <v>127</v>
      </c>
      <c r="G1883" t="s">
        <v>130</v>
      </c>
      <c r="H1883" t="s">
        <v>285</v>
      </c>
      <c r="I1883" t="s">
        <v>288</v>
      </c>
      <c r="J1883" t="s">
        <v>286</v>
      </c>
      <c r="K1883" t="s">
        <v>57</v>
      </c>
    </row>
    <row r="1884" spans="1:11" x14ac:dyDescent="0.35">
      <c r="A1884" t="s">
        <v>2363</v>
      </c>
      <c r="B1884">
        <v>2025</v>
      </c>
      <c r="C1884" t="s">
        <v>678</v>
      </c>
      <c r="D1884" t="s">
        <v>85</v>
      </c>
      <c r="E1884" t="s">
        <v>116</v>
      </c>
      <c r="F1884" t="s">
        <v>127</v>
      </c>
      <c r="G1884" t="s">
        <v>126</v>
      </c>
      <c r="H1884" t="s">
        <v>285</v>
      </c>
      <c r="I1884" t="s">
        <v>77</v>
      </c>
      <c r="J1884" t="s">
        <v>308</v>
      </c>
      <c r="K1884" t="s">
        <v>42</v>
      </c>
    </row>
    <row r="1885" spans="1:11" x14ac:dyDescent="0.35">
      <c r="A1885" t="s">
        <v>2364</v>
      </c>
      <c r="B1885">
        <v>2025</v>
      </c>
      <c r="C1885" t="s">
        <v>678</v>
      </c>
      <c r="D1885" t="s">
        <v>85</v>
      </c>
      <c r="E1885" t="s">
        <v>116</v>
      </c>
      <c r="F1885" t="s">
        <v>129</v>
      </c>
      <c r="G1885" t="s">
        <v>126</v>
      </c>
      <c r="H1885" t="s">
        <v>285</v>
      </c>
      <c r="I1885" t="s">
        <v>77</v>
      </c>
      <c r="J1885" t="s">
        <v>288</v>
      </c>
      <c r="K1885" t="s">
        <v>57</v>
      </c>
    </row>
    <row r="1886" spans="1:11" x14ac:dyDescent="0.35">
      <c r="A1886" t="s">
        <v>2365</v>
      </c>
      <c r="B1886">
        <v>2025</v>
      </c>
      <c r="C1886" t="s">
        <v>678</v>
      </c>
      <c r="D1886" t="s">
        <v>85</v>
      </c>
      <c r="E1886" t="s">
        <v>120</v>
      </c>
      <c r="F1886" t="s">
        <v>288</v>
      </c>
      <c r="G1886" t="s">
        <v>130</v>
      </c>
      <c r="H1886" t="s">
        <v>305</v>
      </c>
      <c r="I1886" t="s">
        <v>86</v>
      </c>
      <c r="J1886" t="s">
        <v>288</v>
      </c>
      <c r="K1886" t="s">
        <v>57</v>
      </c>
    </row>
    <row r="1887" spans="1:11" x14ac:dyDescent="0.35">
      <c r="A1887" t="s">
        <v>2366</v>
      </c>
      <c r="B1887">
        <v>2025</v>
      </c>
      <c r="C1887" t="s">
        <v>678</v>
      </c>
      <c r="D1887" t="s">
        <v>85</v>
      </c>
      <c r="E1887" t="s">
        <v>116</v>
      </c>
      <c r="F1887" t="s">
        <v>288</v>
      </c>
      <c r="G1887" t="s">
        <v>128</v>
      </c>
      <c r="H1887" t="s">
        <v>305</v>
      </c>
      <c r="I1887" t="s">
        <v>288</v>
      </c>
      <c r="J1887" t="s">
        <v>288</v>
      </c>
      <c r="K1887" t="s">
        <v>57</v>
      </c>
    </row>
    <row r="1888" spans="1:11" x14ac:dyDescent="0.35">
      <c r="A1888" t="s">
        <v>2367</v>
      </c>
      <c r="B1888">
        <v>2025</v>
      </c>
      <c r="C1888" t="s">
        <v>678</v>
      </c>
      <c r="D1888" t="s">
        <v>85</v>
      </c>
      <c r="E1888" t="s">
        <v>117</v>
      </c>
      <c r="F1888" t="s">
        <v>288</v>
      </c>
      <c r="G1888" t="s">
        <v>128</v>
      </c>
      <c r="H1888" t="s">
        <v>305</v>
      </c>
      <c r="I1888" t="s">
        <v>288</v>
      </c>
      <c r="J1888" t="s">
        <v>288</v>
      </c>
      <c r="K1888" t="s">
        <v>57</v>
      </c>
    </row>
    <row r="1889" spans="1:11" x14ac:dyDescent="0.35">
      <c r="A1889" t="s">
        <v>2368</v>
      </c>
      <c r="B1889">
        <v>2025</v>
      </c>
      <c r="C1889" t="s">
        <v>678</v>
      </c>
      <c r="D1889" t="s">
        <v>85</v>
      </c>
      <c r="E1889" t="s">
        <v>116</v>
      </c>
      <c r="F1889" t="s">
        <v>127</v>
      </c>
      <c r="G1889" t="s">
        <v>128</v>
      </c>
      <c r="H1889" t="s">
        <v>285</v>
      </c>
      <c r="I1889" t="s">
        <v>289</v>
      </c>
      <c r="J1889" t="s">
        <v>347</v>
      </c>
      <c r="K1889" t="s">
        <v>57</v>
      </c>
    </row>
    <row r="1890" spans="1:11" x14ac:dyDescent="0.35">
      <c r="A1890" t="s">
        <v>2369</v>
      </c>
      <c r="B1890">
        <v>2025</v>
      </c>
      <c r="C1890" t="s">
        <v>678</v>
      </c>
      <c r="D1890" t="s">
        <v>85</v>
      </c>
      <c r="E1890" t="s">
        <v>117</v>
      </c>
      <c r="F1890" t="s">
        <v>288</v>
      </c>
      <c r="G1890" t="s">
        <v>132</v>
      </c>
      <c r="H1890" t="s">
        <v>305</v>
      </c>
      <c r="I1890" t="s">
        <v>289</v>
      </c>
      <c r="J1890" t="s">
        <v>286</v>
      </c>
      <c r="K1890" t="s">
        <v>57</v>
      </c>
    </row>
    <row r="1891" spans="1:11" x14ac:dyDescent="0.35">
      <c r="A1891" t="s">
        <v>2370</v>
      </c>
      <c r="B1891">
        <v>2025</v>
      </c>
      <c r="C1891" t="s">
        <v>678</v>
      </c>
      <c r="D1891" t="s">
        <v>76</v>
      </c>
      <c r="E1891" t="s">
        <v>107</v>
      </c>
      <c r="F1891" t="s">
        <v>125</v>
      </c>
      <c r="G1891" t="s">
        <v>130</v>
      </c>
      <c r="H1891" t="s">
        <v>285</v>
      </c>
      <c r="I1891" t="s">
        <v>86</v>
      </c>
      <c r="J1891" t="s">
        <v>317</v>
      </c>
      <c r="K1891" t="s">
        <v>57</v>
      </c>
    </row>
    <row r="1892" spans="1:11" x14ac:dyDescent="0.35">
      <c r="A1892" t="s">
        <v>2371</v>
      </c>
      <c r="B1892">
        <v>2025</v>
      </c>
      <c r="C1892" t="s">
        <v>678</v>
      </c>
      <c r="D1892" t="s">
        <v>76</v>
      </c>
      <c r="E1892" t="s">
        <v>115</v>
      </c>
      <c r="F1892" t="s">
        <v>125</v>
      </c>
      <c r="G1892" t="s">
        <v>128</v>
      </c>
      <c r="H1892" t="s">
        <v>285</v>
      </c>
      <c r="I1892" t="s">
        <v>77</v>
      </c>
      <c r="J1892" t="s">
        <v>447</v>
      </c>
      <c r="K1892" t="s">
        <v>57</v>
      </c>
    </row>
    <row r="1893" spans="1:11" x14ac:dyDescent="0.35">
      <c r="A1893" t="s">
        <v>2372</v>
      </c>
      <c r="B1893">
        <v>2025</v>
      </c>
      <c r="C1893" t="s">
        <v>678</v>
      </c>
      <c r="D1893" t="s">
        <v>85</v>
      </c>
      <c r="E1893" t="s">
        <v>116</v>
      </c>
      <c r="F1893" t="s">
        <v>288</v>
      </c>
      <c r="G1893" t="s">
        <v>128</v>
      </c>
      <c r="H1893" t="s">
        <v>305</v>
      </c>
      <c r="I1893" t="s">
        <v>288</v>
      </c>
      <c r="J1893" t="s">
        <v>288</v>
      </c>
      <c r="K1893" t="s">
        <v>57</v>
      </c>
    </row>
    <row r="1894" spans="1:11" x14ac:dyDescent="0.35">
      <c r="A1894" t="s">
        <v>2373</v>
      </c>
      <c r="B1894">
        <v>2025</v>
      </c>
      <c r="C1894" t="s">
        <v>678</v>
      </c>
      <c r="D1894" t="s">
        <v>85</v>
      </c>
      <c r="E1894" t="s">
        <v>120</v>
      </c>
      <c r="F1894" t="s">
        <v>133</v>
      </c>
      <c r="G1894" t="s">
        <v>132</v>
      </c>
      <c r="H1894" t="s">
        <v>305</v>
      </c>
      <c r="I1894" t="s">
        <v>86</v>
      </c>
      <c r="J1894" t="s">
        <v>347</v>
      </c>
      <c r="K1894" t="s">
        <v>57</v>
      </c>
    </row>
    <row r="1895" spans="1:11" x14ac:dyDescent="0.35">
      <c r="A1895" t="s">
        <v>2374</v>
      </c>
      <c r="B1895">
        <v>2025</v>
      </c>
      <c r="C1895" t="s">
        <v>678</v>
      </c>
      <c r="D1895" t="s">
        <v>85</v>
      </c>
      <c r="E1895" t="s">
        <v>116</v>
      </c>
      <c r="F1895" t="s">
        <v>129</v>
      </c>
      <c r="G1895" t="s">
        <v>128</v>
      </c>
      <c r="H1895" t="s">
        <v>285</v>
      </c>
      <c r="I1895" t="s">
        <v>288</v>
      </c>
      <c r="J1895" t="s">
        <v>286</v>
      </c>
      <c r="K1895" t="s">
        <v>57</v>
      </c>
    </row>
    <row r="1896" spans="1:11" x14ac:dyDescent="0.35">
      <c r="A1896" t="s">
        <v>2375</v>
      </c>
      <c r="B1896">
        <v>2025</v>
      </c>
      <c r="C1896" t="s">
        <v>678</v>
      </c>
      <c r="D1896" t="s">
        <v>76</v>
      </c>
      <c r="E1896" t="s">
        <v>119</v>
      </c>
      <c r="F1896" t="s">
        <v>288</v>
      </c>
      <c r="G1896" t="s">
        <v>126</v>
      </c>
      <c r="H1896" t="s">
        <v>285</v>
      </c>
      <c r="I1896" t="s">
        <v>288</v>
      </c>
      <c r="J1896" t="s">
        <v>288</v>
      </c>
      <c r="K1896" t="s">
        <v>57</v>
      </c>
    </row>
    <row r="1897" spans="1:11" x14ac:dyDescent="0.35">
      <c r="A1897" t="s">
        <v>2376</v>
      </c>
      <c r="B1897">
        <v>2025</v>
      </c>
      <c r="C1897" t="s">
        <v>678</v>
      </c>
      <c r="D1897" t="s">
        <v>85</v>
      </c>
      <c r="E1897" t="s">
        <v>120</v>
      </c>
      <c r="F1897" t="s">
        <v>131</v>
      </c>
      <c r="G1897" t="s">
        <v>126</v>
      </c>
      <c r="H1897" t="s">
        <v>285</v>
      </c>
      <c r="I1897" t="s">
        <v>289</v>
      </c>
      <c r="J1897" t="s">
        <v>317</v>
      </c>
      <c r="K1897" t="s">
        <v>57</v>
      </c>
    </row>
    <row r="1898" spans="1:11" x14ac:dyDescent="0.35">
      <c r="A1898" t="s">
        <v>2377</v>
      </c>
      <c r="B1898">
        <v>2025</v>
      </c>
      <c r="C1898" t="s">
        <v>678</v>
      </c>
      <c r="D1898" t="s">
        <v>85</v>
      </c>
      <c r="E1898" t="s">
        <v>116</v>
      </c>
      <c r="F1898" t="s">
        <v>131</v>
      </c>
      <c r="G1898" t="s">
        <v>128</v>
      </c>
      <c r="H1898" t="s">
        <v>285</v>
      </c>
      <c r="I1898" t="s">
        <v>289</v>
      </c>
      <c r="J1898" t="s">
        <v>286</v>
      </c>
      <c r="K1898" t="s">
        <v>57</v>
      </c>
    </row>
    <row r="1899" spans="1:11" x14ac:dyDescent="0.35">
      <c r="A1899" t="s">
        <v>2378</v>
      </c>
      <c r="B1899">
        <v>2025</v>
      </c>
      <c r="C1899" t="s">
        <v>678</v>
      </c>
      <c r="D1899" t="s">
        <v>76</v>
      </c>
      <c r="E1899" t="s">
        <v>107</v>
      </c>
      <c r="F1899" t="s">
        <v>125</v>
      </c>
      <c r="G1899" t="s">
        <v>128</v>
      </c>
      <c r="H1899" t="s">
        <v>285</v>
      </c>
      <c r="I1899" t="s">
        <v>86</v>
      </c>
      <c r="J1899" t="s">
        <v>308</v>
      </c>
      <c r="K1899" t="s">
        <v>42</v>
      </c>
    </row>
    <row r="1900" spans="1:11" x14ac:dyDescent="0.35">
      <c r="A1900" t="s">
        <v>2379</v>
      </c>
      <c r="B1900">
        <v>2025</v>
      </c>
      <c r="C1900" t="s">
        <v>678</v>
      </c>
      <c r="D1900" t="s">
        <v>85</v>
      </c>
      <c r="E1900" t="s">
        <v>120</v>
      </c>
      <c r="F1900" t="s">
        <v>129</v>
      </c>
      <c r="G1900" t="s">
        <v>132</v>
      </c>
      <c r="H1900" t="s">
        <v>305</v>
      </c>
      <c r="I1900" t="s">
        <v>86</v>
      </c>
      <c r="J1900" t="s">
        <v>644</v>
      </c>
      <c r="K1900" t="s">
        <v>42</v>
      </c>
    </row>
    <row r="1901" spans="1:11" x14ac:dyDescent="0.35">
      <c r="A1901" t="s">
        <v>2380</v>
      </c>
      <c r="B1901">
        <v>2025</v>
      </c>
      <c r="C1901" t="s">
        <v>678</v>
      </c>
      <c r="D1901" t="s">
        <v>76</v>
      </c>
      <c r="E1901" t="s">
        <v>107</v>
      </c>
      <c r="F1901" t="s">
        <v>288</v>
      </c>
      <c r="G1901" t="s">
        <v>128</v>
      </c>
      <c r="H1901" t="s">
        <v>285</v>
      </c>
      <c r="I1901" t="s">
        <v>333</v>
      </c>
      <c r="J1901" t="s">
        <v>286</v>
      </c>
      <c r="K1901" t="s">
        <v>57</v>
      </c>
    </row>
    <row r="1902" spans="1:11" x14ac:dyDescent="0.35">
      <c r="A1902" t="s">
        <v>2381</v>
      </c>
      <c r="B1902">
        <v>2025</v>
      </c>
      <c r="C1902" t="s">
        <v>678</v>
      </c>
      <c r="D1902" t="s">
        <v>76</v>
      </c>
      <c r="E1902" t="s">
        <v>110</v>
      </c>
      <c r="F1902" t="s">
        <v>129</v>
      </c>
      <c r="G1902" t="s">
        <v>128</v>
      </c>
      <c r="H1902" t="s">
        <v>285</v>
      </c>
      <c r="I1902" t="s">
        <v>86</v>
      </c>
      <c r="J1902" t="s">
        <v>286</v>
      </c>
      <c r="K1902" t="s">
        <v>57</v>
      </c>
    </row>
    <row r="1903" spans="1:11" x14ac:dyDescent="0.35">
      <c r="A1903" t="s">
        <v>2382</v>
      </c>
      <c r="B1903">
        <v>2025</v>
      </c>
      <c r="C1903" t="s">
        <v>678</v>
      </c>
      <c r="D1903" t="s">
        <v>85</v>
      </c>
      <c r="E1903" t="s">
        <v>116</v>
      </c>
      <c r="F1903" t="s">
        <v>131</v>
      </c>
      <c r="G1903" t="s">
        <v>126</v>
      </c>
      <c r="H1903" t="s">
        <v>305</v>
      </c>
      <c r="I1903" t="s">
        <v>86</v>
      </c>
      <c r="J1903" t="s">
        <v>405</v>
      </c>
      <c r="K1903" t="s">
        <v>57</v>
      </c>
    </row>
    <row r="1904" spans="1:11" x14ac:dyDescent="0.35">
      <c r="A1904" t="s">
        <v>2383</v>
      </c>
      <c r="B1904">
        <v>2025</v>
      </c>
      <c r="C1904" t="s">
        <v>678</v>
      </c>
      <c r="D1904" t="s">
        <v>85</v>
      </c>
      <c r="E1904" t="s">
        <v>120</v>
      </c>
      <c r="F1904" t="s">
        <v>129</v>
      </c>
      <c r="G1904" t="s">
        <v>130</v>
      </c>
      <c r="H1904" t="s">
        <v>305</v>
      </c>
      <c r="I1904" t="s">
        <v>86</v>
      </c>
      <c r="J1904" t="s">
        <v>326</v>
      </c>
      <c r="K1904" t="s">
        <v>57</v>
      </c>
    </row>
    <row r="1905" spans="1:11" x14ac:dyDescent="0.35">
      <c r="A1905" t="s">
        <v>2384</v>
      </c>
      <c r="B1905">
        <v>2025</v>
      </c>
      <c r="C1905" t="s">
        <v>678</v>
      </c>
      <c r="D1905" t="s">
        <v>76</v>
      </c>
      <c r="E1905" t="s">
        <v>109</v>
      </c>
      <c r="F1905" t="s">
        <v>129</v>
      </c>
      <c r="G1905" t="s">
        <v>126</v>
      </c>
      <c r="H1905" t="s">
        <v>285</v>
      </c>
      <c r="I1905" t="s">
        <v>77</v>
      </c>
      <c r="J1905" t="s">
        <v>286</v>
      </c>
      <c r="K1905" t="s">
        <v>57</v>
      </c>
    </row>
    <row r="1906" spans="1:11" x14ac:dyDescent="0.35">
      <c r="A1906" t="s">
        <v>2385</v>
      </c>
      <c r="B1906">
        <v>2025</v>
      </c>
      <c r="C1906" t="s">
        <v>678</v>
      </c>
      <c r="D1906" t="s">
        <v>76</v>
      </c>
      <c r="E1906" t="s">
        <v>119</v>
      </c>
      <c r="F1906" t="s">
        <v>129</v>
      </c>
      <c r="G1906" t="s">
        <v>132</v>
      </c>
      <c r="H1906" t="s">
        <v>357</v>
      </c>
      <c r="I1906" t="s">
        <v>86</v>
      </c>
      <c r="J1906" t="s">
        <v>2298</v>
      </c>
      <c r="K1906" t="s">
        <v>42</v>
      </c>
    </row>
    <row r="1907" spans="1:11" x14ac:dyDescent="0.35">
      <c r="A1907" t="s">
        <v>2386</v>
      </c>
      <c r="B1907">
        <v>2025</v>
      </c>
      <c r="C1907" t="s">
        <v>678</v>
      </c>
      <c r="D1907" t="s">
        <v>85</v>
      </c>
      <c r="E1907" t="s">
        <v>120</v>
      </c>
      <c r="F1907" t="s">
        <v>288</v>
      </c>
      <c r="G1907" t="s">
        <v>126</v>
      </c>
      <c r="H1907" t="s">
        <v>305</v>
      </c>
      <c r="I1907" t="s">
        <v>86</v>
      </c>
      <c r="J1907" t="s">
        <v>347</v>
      </c>
      <c r="K1907" t="s">
        <v>57</v>
      </c>
    </row>
    <row r="1908" spans="1:11" x14ac:dyDescent="0.35">
      <c r="A1908" t="s">
        <v>2387</v>
      </c>
      <c r="B1908">
        <v>2025</v>
      </c>
      <c r="C1908" t="s">
        <v>678</v>
      </c>
      <c r="D1908" t="s">
        <v>76</v>
      </c>
      <c r="E1908" t="s">
        <v>119</v>
      </c>
      <c r="F1908" t="s">
        <v>129</v>
      </c>
      <c r="G1908" t="s">
        <v>132</v>
      </c>
      <c r="H1908" t="s">
        <v>285</v>
      </c>
      <c r="I1908" t="s">
        <v>337</v>
      </c>
      <c r="J1908" t="s">
        <v>326</v>
      </c>
      <c r="K1908" t="s">
        <v>57</v>
      </c>
    </row>
    <row r="1909" spans="1:11" x14ac:dyDescent="0.35">
      <c r="A1909" t="s">
        <v>256</v>
      </c>
      <c r="B1909">
        <v>2025</v>
      </c>
      <c r="C1909" t="s">
        <v>678</v>
      </c>
      <c r="D1909" t="s">
        <v>85</v>
      </c>
      <c r="E1909" t="s">
        <v>120</v>
      </c>
      <c r="F1909" t="s">
        <v>127</v>
      </c>
      <c r="G1909" t="s">
        <v>132</v>
      </c>
      <c r="H1909" t="s">
        <v>305</v>
      </c>
      <c r="I1909" t="s">
        <v>86</v>
      </c>
      <c r="J1909" t="s">
        <v>286</v>
      </c>
      <c r="K1909" t="s">
        <v>57</v>
      </c>
    </row>
    <row r="1910" spans="1:11" x14ac:dyDescent="0.35">
      <c r="A1910" t="s">
        <v>2388</v>
      </c>
      <c r="B1910">
        <v>2025</v>
      </c>
      <c r="C1910" t="s">
        <v>678</v>
      </c>
      <c r="D1910" t="s">
        <v>76</v>
      </c>
      <c r="E1910" t="s">
        <v>107</v>
      </c>
      <c r="F1910" t="s">
        <v>125</v>
      </c>
      <c r="G1910" t="s">
        <v>128</v>
      </c>
      <c r="H1910" t="s">
        <v>285</v>
      </c>
      <c r="I1910" t="s">
        <v>86</v>
      </c>
      <c r="J1910" t="s">
        <v>286</v>
      </c>
      <c r="K1910" t="s">
        <v>57</v>
      </c>
    </row>
    <row r="1911" spans="1:11" x14ac:dyDescent="0.35">
      <c r="A1911" t="s">
        <v>2389</v>
      </c>
      <c r="B1911">
        <v>2025</v>
      </c>
      <c r="C1911" t="s">
        <v>678</v>
      </c>
      <c r="D1911" t="s">
        <v>85</v>
      </c>
      <c r="E1911" t="s">
        <v>120</v>
      </c>
      <c r="F1911" t="s">
        <v>133</v>
      </c>
      <c r="G1911" t="s">
        <v>128</v>
      </c>
      <c r="H1911" t="s">
        <v>305</v>
      </c>
      <c r="I1911" t="s">
        <v>333</v>
      </c>
      <c r="J1911" t="s">
        <v>447</v>
      </c>
      <c r="K1911" t="s">
        <v>57</v>
      </c>
    </row>
    <row r="1912" spans="1:11" x14ac:dyDescent="0.35">
      <c r="A1912" t="s">
        <v>2390</v>
      </c>
      <c r="B1912">
        <v>2025</v>
      </c>
      <c r="C1912" t="s">
        <v>678</v>
      </c>
      <c r="D1912" t="s">
        <v>85</v>
      </c>
      <c r="E1912" t="s">
        <v>116</v>
      </c>
      <c r="F1912" t="s">
        <v>127</v>
      </c>
      <c r="G1912" t="s">
        <v>130</v>
      </c>
      <c r="H1912" t="s">
        <v>285</v>
      </c>
      <c r="I1912" t="s">
        <v>289</v>
      </c>
      <c r="J1912" t="s">
        <v>286</v>
      </c>
      <c r="K1912" t="s">
        <v>57</v>
      </c>
    </row>
    <row r="1913" spans="1:11" x14ac:dyDescent="0.35">
      <c r="A1913" t="s">
        <v>2391</v>
      </c>
      <c r="B1913">
        <v>2025</v>
      </c>
      <c r="C1913" t="s">
        <v>678</v>
      </c>
      <c r="D1913" t="s">
        <v>76</v>
      </c>
      <c r="E1913" t="s">
        <v>111</v>
      </c>
      <c r="F1913" t="s">
        <v>125</v>
      </c>
      <c r="G1913" t="s">
        <v>130</v>
      </c>
      <c r="H1913" t="s">
        <v>285</v>
      </c>
      <c r="I1913" t="s">
        <v>288</v>
      </c>
      <c r="J1913" t="s">
        <v>312</v>
      </c>
      <c r="K1913" t="s">
        <v>42</v>
      </c>
    </row>
    <row r="1914" spans="1:11" x14ac:dyDescent="0.35">
      <c r="A1914" t="s">
        <v>2392</v>
      </c>
      <c r="B1914">
        <v>2025</v>
      </c>
      <c r="C1914" t="s">
        <v>678</v>
      </c>
      <c r="D1914" t="s">
        <v>76</v>
      </c>
      <c r="E1914" t="s">
        <v>599</v>
      </c>
      <c r="F1914" t="s">
        <v>125</v>
      </c>
      <c r="G1914" t="s">
        <v>126</v>
      </c>
      <c r="H1914" t="s">
        <v>285</v>
      </c>
      <c r="I1914" t="s">
        <v>86</v>
      </c>
      <c r="J1914" t="s">
        <v>308</v>
      </c>
      <c r="K1914" t="s">
        <v>42</v>
      </c>
    </row>
    <row r="1915" spans="1:11" x14ac:dyDescent="0.35">
      <c r="A1915" t="s">
        <v>2393</v>
      </c>
      <c r="B1915">
        <v>2025</v>
      </c>
      <c r="C1915" t="s">
        <v>678</v>
      </c>
      <c r="D1915" t="s">
        <v>85</v>
      </c>
      <c r="E1915" t="s">
        <v>120</v>
      </c>
      <c r="F1915" t="s">
        <v>131</v>
      </c>
      <c r="G1915" t="s">
        <v>126</v>
      </c>
      <c r="H1915" t="s">
        <v>357</v>
      </c>
      <c r="I1915" t="s">
        <v>407</v>
      </c>
      <c r="J1915" t="s">
        <v>286</v>
      </c>
      <c r="K1915" t="s">
        <v>57</v>
      </c>
    </row>
    <row r="1916" spans="1:11" x14ac:dyDescent="0.35">
      <c r="A1916" t="s">
        <v>2394</v>
      </c>
      <c r="B1916">
        <v>2025</v>
      </c>
      <c r="C1916" t="s">
        <v>678</v>
      </c>
      <c r="D1916" t="s">
        <v>85</v>
      </c>
      <c r="E1916" t="s">
        <v>116</v>
      </c>
      <c r="F1916" t="s">
        <v>129</v>
      </c>
      <c r="G1916" t="s">
        <v>132</v>
      </c>
      <c r="H1916" t="s">
        <v>285</v>
      </c>
      <c r="I1916" t="s">
        <v>86</v>
      </c>
      <c r="J1916" t="s">
        <v>566</v>
      </c>
      <c r="K1916" t="s">
        <v>42</v>
      </c>
    </row>
    <row r="1917" spans="1:11" x14ac:dyDescent="0.35">
      <c r="A1917" t="s">
        <v>2395</v>
      </c>
      <c r="B1917">
        <v>2025</v>
      </c>
      <c r="C1917" t="s">
        <v>678</v>
      </c>
      <c r="D1917" t="s">
        <v>85</v>
      </c>
      <c r="E1917" t="s">
        <v>116</v>
      </c>
      <c r="F1917" t="s">
        <v>127</v>
      </c>
      <c r="G1917" t="s">
        <v>126</v>
      </c>
      <c r="H1917" t="s">
        <v>305</v>
      </c>
      <c r="I1917" t="s">
        <v>289</v>
      </c>
      <c r="J1917" t="s">
        <v>317</v>
      </c>
      <c r="K1917" t="s">
        <v>57</v>
      </c>
    </row>
    <row r="1918" spans="1:11" x14ac:dyDescent="0.35">
      <c r="A1918" t="s">
        <v>2396</v>
      </c>
      <c r="B1918">
        <v>2025</v>
      </c>
      <c r="C1918" t="s">
        <v>678</v>
      </c>
      <c r="D1918" t="s">
        <v>85</v>
      </c>
      <c r="E1918" t="s">
        <v>120</v>
      </c>
      <c r="F1918" t="s">
        <v>133</v>
      </c>
      <c r="G1918" t="s">
        <v>130</v>
      </c>
      <c r="H1918" t="s">
        <v>305</v>
      </c>
      <c r="I1918" t="s">
        <v>77</v>
      </c>
      <c r="J1918" t="s">
        <v>326</v>
      </c>
      <c r="K1918" t="s">
        <v>57</v>
      </c>
    </row>
    <row r="1919" spans="1:11" x14ac:dyDescent="0.35">
      <c r="A1919" t="s">
        <v>2397</v>
      </c>
      <c r="B1919">
        <v>2025</v>
      </c>
      <c r="C1919" t="s">
        <v>678</v>
      </c>
      <c r="D1919" t="s">
        <v>85</v>
      </c>
      <c r="E1919" t="s">
        <v>120</v>
      </c>
      <c r="F1919" t="s">
        <v>131</v>
      </c>
      <c r="G1919" t="s">
        <v>128</v>
      </c>
      <c r="H1919" t="s">
        <v>305</v>
      </c>
      <c r="I1919" t="s">
        <v>77</v>
      </c>
      <c r="J1919" t="s">
        <v>286</v>
      </c>
      <c r="K1919" t="s">
        <v>57</v>
      </c>
    </row>
    <row r="1920" spans="1:11" x14ac:dyDescent="0.35">
      <c r="A1920" t="s">
        <v>2398</v>
      </c>
      <c r="B1920">
        <v>2025</v>
      </c>
      <c r="C1920" t="s">
        <v>678</v>
      </c>
      <c r="D1920" t="s">
        <v>76</v>
      </c>
      <c r="E1920" t="s">
        <v>119</v>
      </c>
      <c r="F1920" t="s">
        <v>125</v>
      </c>
      <c r="G1920" t="s">
        <v>130</v>
      </c>
      <c r="H1920" t="s">
        <v>285</v>
      </c>
      <c r="I1920" t="s">
        <v>77</v>
      </c>
      <c r="J1920" t="s">
        <v>286</v>
      </c>
      <c r="K1920" t="s">
        <v>57</v>
      </c>
    </row>
    <row r="1921" spans="1:11" x14ac:dyDescent="0.35">
      <c r="A1921" t="s">
        <v>2399</v>
      </c>
      <c r="B1921">
        <v>2025</v>
      </c>
      <c r="C1921" t="s">
        <v>678</v>
      </c>
      <c r="D1921" t="s">
        <v>85</v>
      </c>
      <c r="E1921" t="s">
        <v>117</v>
      </c>
      <c r="F1921" t="s">
        <v>131</v>
      </c>
      <c r="G1921" t="s">
        <v>126</v>
      </c>
      <c r="H1921" t="s">
        <v>305</v>
      </c>
      <c r="I1921" t="s">
        <v>77</v>
      </c>
      <c r="J1921" t="s">
        <v>288</v>
      </c>
      <c r="K1921" t="s">
        <v>57</v>
      </c>
    </row>
    <row r="1922" spans="1:11" x14ac:dyDescent="0.35">
      <c r="A1922" t="s">
        <v>2400</v>
      </c>
      <c r="B1922">
        <v>2025</v>
      </c>
      <c r="C1922" t="s">
        <v>678</v>
      </c>
      <c r="D1922" t="s">
        <v>76</v>
      </c>
      <c r="E1922" t="s">
        <v>115</v>
      </c>
      <c r="F1922" t="s">
        <v>129</v>
      </c>
      <c r="G1922" t="s">
        <v>132</v>
      </c>
      <c r="H1922" t="s">
        <v>357</v>
      </c>
      <c r="I1922" t="s">
        <v>2305</v>
      </c>
      <c r="J1922" t="s">
        <v>295</v>
      </c>
      <c r="K1922" t="s">
        <v>57</v>
      </c>
    </row>
    <row r="1923" spans="1:11" x14ac:dyDescent="0.35">
      <c r="A1923" t="s">
        <v>2401</v>
      </c>
      <c r="B1923">
        <v>2025</v>
      </c>
      <c r="C1923" t="s">
        <v>678</v>
      </c>
      <c r="D1923" t="s">
        <v>85</v>
      </c>
      <c r="E1923" t="s">
        <v>120</v>
      </c>
      <c r="F1923" t="s">
        <v>134</v>
      </c>
      <c r="G1923" t="s">
        <v>128</v>
      </c>
      <c r="H1923" t="s">
        <v>297</v>
      </c>
      <c r="I1923" t="s">
        <v>288</v>
      </c>
      <c r="J1923" t="s">
        <v>288</v>
      </c>
      <c r="K1923" t="s">
        <v>57</v>
      </c>
    </row>
    <row r="1924" spans="1:11" x14ac:dyDescent="0.35">
      <c r="A1924" t="s">
        <v>2402</v>
      </c>
      <c r="B1924">
        <v>2025</v>
      </c>
      <c r="C1924" t="s">
        <v>678</v>
      </c>
      <c r="D1924" t="s">
        <v>85</v>
      </c>
      <c r="E1924" t="s">
        <v>117</v>
      </c>
      <c r="F1924" t="s">
        <v>127</v>
      </c>
      <c r="G1924" t="s">
        <v>130</v>
      </c>
      <c r="H1924" t="s">
        <v>305</v>
      </c>
      <c r="I1924" t="s">
        <v>86</v>
      </c>
      <c r="J1924" t="s">
        <v>288</v>
      </c>
      <c r="K1924" t="s">
        <v>57</v>
      </c>
    </row>
    <row r="1925" spans="1:11" x14ac:dyDescent="0.35">
      <c r="A1925" t="s">
        <v>2403</v>
      </c>
      <c r="B1925">
        <v>2025</v>
      </c>
      <c r="C1925" t="s">
        <v>678</v>
      </c>
      <c r="D1925" t="s">
        <v>76</v>
      </c>
      <c r="E1925" t="s">
        <v>114</v>
      </c>
      <c r="F1925" t="s">
        <v>125</v>
      </c>
      <c r="G1925" t="s">
        <v>126</v>
      </c>
      <c r="H1925" t="s">
        <v>285</v>
      </c>
      <c r="I1925" t="s">
        <v>86</v>
      </c>
      <c r="J1925" t="s">
        <v>317</v>
      </c>
      <c r="K1925" t="s">
        <v>57</v>
      </c>
    </row>
    <row r="1926" spans="1:11" x14ac:dyDescent="0.35">
      <c r="A1926" t="s">
        <v>2404</v>
      </c>
      <c r="B1926">
        <v>2025</v>
      </c>
      <c r="C1926" t="s">
        <v>678</v>
      </c>
      <c r="D1926" t="s">
        <v>76</v>
      </c>
      <c r="E1926" t="s">
        <v>107</v>
      </c>
      <c r="F1926" t="s">
        <v>127</v>
      </c>
      <c r="G1926" t="s">
        <v>128</v>
      </c>
      <c r="H1926" t="s">
        <v>285</v>
      </c>
      <c r="I1926" t="s">
        <v>86</v>
      </c>
      <c r="J1926" t="s">
        <v>317</v>
      </c>
      <c r="K1926" t="s">
        <v>57</v>
      </c>
    </row>
    <row r="1927" spans="1:11" x14ac:dyDescent="0.35">
      <c r="A1927" t="s">
        <v>2405</v>
      </c>
      <c r="B1927">
        <v>2025</v>
      </c>
      <c r="C1927" t="s">
        <v>678</v>
      </c>
      <c r="D1927" t="s">
        <v>76</v>
      </c>
      <c r="E1927" t="s">
        <v>115</v>
      </c>
      <c r="F1927" t="s">
        <v>129</v>
      </c>
      <c r="G1927" t="s">
        <v>126</v>
      </c>
      <c r="H1927" t="s">
        <v>285</v>
      </c>
      <c r="I1927" t="s">
        <v>407</v>
      </c>
      <c r="J1927" t="s">
        <v>286</v>
      </c>
      <c r="K1927" t="s">
        <v>57</v>
      </c>
    </row>
    <row r="1928" spans="1:11" x14ac:dyDescent="0.35">
      <c r="A1928" t="s">
        <v>2406</v>
      </c>
      <c r="B1928">
        <v>2025</v>
      </c>
      <c r="C1928" t="s">
        <v>678</v>
      </c>
      <c r="D1928" t="s">
        <v>76</v>
      </c>
      <c r="E1928" t="s">
        <v>119</v>
      </c>
      <c r="F1928" t="s">
        <v>127</v>
      </c>
      <c r="G1928" t="s">
        <v>126</v>
      </c>
      <c r="H1928" t="s">
        <v>285</v>
      </c>
      <c r="I1928" t="s">
        <v>77</v>
      </c>
      <c r="J1928" t="s">
        <v>286</v>
      </c>
      <c r="K1928" t="s">
        <v>57</v>
      </c>
    </row>
    <row r="1929" spans="1:11" x14ac:dyDescent="0.35">
      <c r="A1929" t="s">
        <v>2407</v>
      </c>
      <c r="B1929">
        <v>2025</v>
      </c>
      <c r="C1929" t="s">
        <v>678</v>
      </c>
      <c r="D1929" t="s">
        <v>85</v>
      </c>
      <c r="E1929" t="s">
        <v>117</v>
      </c>
      <c r="F1929" t="s">
        <v>288</v>
      </c>
      <c r="G1929" t="s">
        <v>126</v>
      </c>
      <c r="H1929" t="s">
        <v>305</v>
      </c>
      <c r="I1929" t="s">
        <v>77</v>
      </c>
      <c r="J1929" t="s">
        <v>288</v>
      </c>
      <c r="K1929" t="s">
        <v>57</v>
      </c>
    </row>
    <row r="1930" spans="1:11" x14ac:dyDescent="0.35">
      <c r="A1930" t="s">
        <v>2408</v>
      </c>
      <c r="B1930">
        <v>2025</v>
      </c>
      <c r="C1930" t="s">
        <v>678</v>
      </c>
      <c r="D1930" t="s">
        <v>76</v>
      </c>
      <c r="E1930" t="s">
        <v>113</v>
      </c>
      <c r="F1930" t="s">
        <v>288</v>
      </c>
      <c r="G1930" t="s">
        <v>128</v>
      </c>
      <c r="H1930" t="s">
        <v>285</v>
      </c>
      <c r="I1930" t="s">
        <v>288</v>
      </c>
      <c r="J1930" t="s">
        <v>317</v>
      </c>
      <c r="K1930" t="s">
        <v>57</v>
      </c>
    </row>
    <row r="1931" spans="1:11" x14ac:dyDescent="0.35">
      <c r="A1931" t="s">
        <v>2409</v>
      </c>
      <c r="B1931">
        <v>2025</v>
      </c>
      <c r="C1931" t="s">
        <v>678</v>
      </c>
      <c r="D1931" t="s">
        <v>85</v>
      </c>
      <c r="E1931" t="s">
        <v>117</v>
      </c>
      <c r="F1931" t="s">
        <v>127</v>
      </c>
      <c r="G1931" t="s">
        <v>132</v>
      </c>
      <c r="H1931" t="s">
        <v>305</v>
      </c>
      <c r="I1931" t="s">
        <v>86</v>
      </c>
      <c r="J1931" t="s">
        <v>1068</v>
      </c>
      <c r="K1931" t="s">
        <v>42</v>
      </c>
    </row>
    <row r="1932" spans="1:11" x14ac:dyDescent="0.35">
      <c r="A1932" t="s">
        <v>2410</v>
      </c>
      <c r="B1932">
        <v>2025</v>
      </c>
      <c r="C1932" t="s">
        <v>678</v>
      </c>
      <c r="D1932" t="s">
        <v>85</v>
      </c>
      <c r="E1932" t="s">
        <v>117</v>
      </c>
      <c r="F1932" t="s">
        <v>131</v>
      </c>
      <c r="G1932" t="s">
        <v>128</v>
      </c>
      <c r="H1932" t="s">
        <v>305</v>
      </c>
      <c r="I1932" t="s">
        <v>289</v>
      </c>
      <c r="J1932" t="s">
        <v>367</v>
      </c>
      <c r="K1932" t="s">
        <v>42</v>
      </c>
    </row>
    <row r="1933" spans="1:11" x14ac:dyDescent="0.35">
      <c r="A1933" t="s">
        <v>2411</v>
      </c>
      <c r="B1933">
        <v>2025</v>
      </c>
      <c r="C1933" t="s">
        <v>678</v>
      </c>
      <c r="D1933" t="s">
        <v>85</v>
      </c>
      <c r="E1933" t="s">
        <v>120</v>
      </c>
      <c r="F1933" t="s">
        <v>288</v>
      </c>
      <c r="G1933" t="s">
        <v>132</v>
      </c>
      <c r="H1933" t="s">
        <v>305</v>
      </c>
      <c r="I1933" t="s">
        <v>288</v>
      </c>
      <c r="J1933" t="s">
        <v>286</v>
      </c>
      <c r="K1933" t="s">
        <v>57</v>
      </c>
    </row>
    <row r="1934" spans="1:11" x14ac:dyDescent="0.35">
      <c r="A1934" t="s">
        <v>2412</v>
      </c>
      <c r="B1934">
        <v>2025</v>
      </c>
      <c r="C1934" t="s">
        <v>678</v>
      </c>
      <c r="D1934" t="s">
        <v>76</v>
      </c>
      <c r="E1934" t="s">
        <v>115</v>
      </c>
      <c r="F1934" t="s">
        <v>129</v>
      </c>
      <c r="G1934" t="s">
        <v>126</v>
      </c>
      <c r="H1934" t="s">
        <v>357</v>
      </c>
      <c r="I1934" t="s">
        <v>433</v>
      </c>
      <c r="J1934" t="s">
        <v>286</v>
      </c>
      <c r="K1934" t="s">
        <v>57</v>
      </c>
    </row>
    <row r="1935" spans="1:11" x14ac:dyDescent="0.35">
      <c r="A1935" t="s">
        <v>2413</v>
      </c>
      <c r="B1935">
        <v>2025</v>
      </c>
      <c r="C1935" t="s">
        <v>678</v>
      </c>
      <c r="D1935" t="s">
        <v>76</v>
      </c>
      <c r="E1935" t="s">
        <v>107</v>
      </c>
      <c r="F1935" t="s">
        <v>125</v>
      </c>
      <c r="G1935" t="s">
        <v>128</v>
      </c>
      <c r="H1935" t="s">
        <v>285</v>
      </c>
      <c r="I1935" t="s">
        <v>288</v>
      </c>
      <c r="J1935" t="s">
        <v>317</v>
      </c>
      <c r="K1935" t="s">
        <v>57</v>
      </c>
    </row>
    <row r="1936" spans="1:11" x14ac:dyDescent="0.35">
      <c r="A1936" t="s">
        <v>2414</v>
      </c>
      <c r="B1936">
        <v>2025</v>
      </c>
      <c r="C1936" t="s">
        <v>678</v>
      </c>
      <c r="D1936" t="s">
        <v>76</v>
      </c>
      <c r="E1936" t="s">
        <v>110</v>
      </c>
      <c r="F1936" t="s">
        <v>125</v>
      </c>
      <c r="G1936" t="s">
        <v>128</v>
      </c>
      <c r="H1936" t="s">
        <v>285</v>
      </c>
      <c r="I1936" t="s">
        <v>77</v>
      </c>
      <c r="J1936" t="s">
        <v>286</v>
      </c>
      <c r="K1936" t="s">
        <v>57</v>
      </c>
    </row>
    <row r="1937" spans="1:11" x14ac:dyDescent="0.35">
      <c r="A1937" t="s">
        <v>2415</v>
      </c>
      <c r="B1937">
        <v>2025</v>
      </c>
      <c r="C1937" t="s">
        <v>678</v>
      </c>
      <c r="D1937" t="s">
        <v>85</v>
      </c>
      <c r="E1937" t="s">
        <v>116</v>
      </c>
      <c r="F1937" t="s">
        <v>131</v>
      </c>
      <c r="G1937" t="s">
        <v>128</v>
      </c>
      <c r="H1937" t="s">
        <v>305</v>
      </c>
      <c r="I1937" t="s">
        <v>289</v>
      </c>
      <c r="J1937" t="s">
        <v>412</v>
      </c>
      <c r="K1937" t="s">
        <v>57</v>
      </c>
    </row>
    <row r="1938" spans="1:11" x14ac:dyDescent="0.35">
      <c r="A1938" t="s">
        <v>2416</v>
      </c>
      <c r="B1938">
        <v>2025</v>
      </c>
      <c r="C1938" t="s">
        <v>678</v>
      </c>
      <c r="D1938" t="s">
        <v>85</v>
      </c>
      <c r="E1938" t="s">
        <v>120</v>
      </c>
      <c r="F1938" t="s">
        <v>129</v>
      </c>
      <c r="G1938" t="s">
        <v>128</v>
      </c>
      <c r="H1938" t="s">
        <v>305</v>
      </c>
      <c r="I1938" t="s">
        <v>86</v>
      </c>
      <c r="J1938" t="s">
        <v>286</v>
      </c>
      <c r="K1938" t="s">
        <v>57</v>
      </c>
    </row>
    <row r="1939" spans="1:11" x14ac:dyDescent="0.35">
      <c r="A1939" t="s">
        <v>2417</v>
      </c>
      <c r="B1939">
        <v>2025</v>
      </c>
      <c r="C1939" t="s">
        <v>678</v>
      </c>
      <c r="D1939" t="s">
        <v>76</v>
      </c>
      <c r="E1939" t="s">
        <v>119</v>
      </c>
      <c r="F1939" t="s">
        <v>125</v>
      </c>
      <c r="G1939" t="s">
        <v>132</v>
      </c>
      <c r="H1939" t="s">
        <v>285</v>
      </c>
      <c r="I1939" t="s">
        <v>77</v>
      </c>
      <c r="J1939" t="s">
        <v>286</v>
      </c>
      <c r="K1939" t="s">
        <v>57</v>
      </c>
    </row>
    <row r="1940" spans="1:11" x14ac:dyDescent="0.35">
      <c r="A1940" t="s">
        <v>2418</v>
      </c>
      <c r="B1940">
        <v>2025</v>
      </c>
      <c r="C1940" t="s">
        <v>678</v>
      </c>
      <c r="D1940" t="s">
        <v>76</v>
      </c>
      <c r="E1940" t="s">
        <v>107</v>
      </c>
      <c r="F1940" t="s">
        <v>125</v>
      </c>
      <c r="G1940" t="s">
        <v>130</v>
      </c>
      <c r="H1940" t="s">
        <v>285</v>
      </c>
      <c r="I1940" t="s">
        <v>77</v>
      </c>
      <c r="J1940" t="s">
        <v>317</v>
      </c>
      <c r="K1940" t="s">
        <v>57</v>
      </c>
    </row>
    <row r="1941" spans="1:11" x14ac:dyDescent="0.35">
      <c r="A1941" t="s">
        <v>2419</v>
      </c>
      <c r="B1941">
        <v>2025</v>
      </c>
      <c r="C1941" t="s">
        <v>678</v>
      </c>
      <c r="D1941" t="s">
        <v>85</v>
      </c>
      <c r="E1941" t="s">
        <v>116</v>
      </c>
      <c r="F1941" t="s">
        <v>129</v>
      </c>
      <c r="G1941" t="s">
        <v>126</v>
      </c>
      <c r="H1941" t="s">
        <v>285</v>
      </c>
      <c r="I1941" t="s">
        <v>426</v>
      </c>
      <c r="J1941" t="s">
        <v>286</v>
      </c>
      <c r="K1941" t="s">
        <v>57</v>
      </c>
    </row>
    <row r="1942" spans="1:11" x14ac:dyDescent="0.35">
      <c r="A1942" t="s">
        <v>2420</v>
      </c>
      <c r="B1942">
        <v>2025</v>
      </c>
      <c r="C1942" t="s">
        <v>678</v>
      </c>
      <c r="D1942" t="s">
        <v>76</v>
      </c>
      <c r="E1942" t="s">
        <v>119</v>
      </c>
      <c r="F1942" t="s">
        <v>127</v>
      </c>
      <c r="G1942" t="s">
        <v>128</v>
      </c>
      <c r="H1942" t="s">
        <v>285</v>
      </c>
      <c r="I1942" t="s">
        <v>77</v>
      </c>
      <c r="J1942" t="s">
        <v>347</v>
      </c>
      <c r="K1942" t="s">
        <v>57</v>
      </c>
    </row>
    <row r="1943" spans="1:11" x14ac:dyDescent="0.35">
      <c r="A1943" t="s">
        <v>2421</v>
      </c>
      <c r="B1943">
        <v>2025</v>
      </c>
      <c r="C1943" t="s">
        <v>678</v>
      </c>
      <c r="D1943" t="s">
        <v>85</v>
      </c>
      <c r="E1943" t="s">
        <v>116</v>
      </c>
      <c r="F1943" t="s">
        <v>131</v>
      </c>
      <c r="G1943" t="s">
        <v>132</v>
      </c>
      <c r="H1943" t="s">
        <v>285</v>
      </c>
      <c r="I1943" t="s">
        <v>289</v>
      </c>
      <c r="J1943" t="s">
        <v>306</v>
      </c>
      <c r="K1943" t="s">
        <v>57</v>
      </c>
    </row>
    <row r="1944" spans="1:11" x14ac:dyDescent="0.35">
      <c r="A1944" t="s">
        <v>2422</v>
      </c>
      <c r="B1944">
        <v>2025</v>
      </c>
      <c r="C1944" t="s">
        <v>678</v>
      </c>
      <c r="D1944" t="s">
        <v>85</v>
      </c>
      <c r="E1944" t="s">
        <v>116</v>
      </c>
      <c r="F1944" t="s">
        <v>131</v>
      </c>
      <c r="G1944" t="s">
        <v>126</v>
      </c>
      <c r="H1944" t="s">
        <v>285</v>
      </c>
      <c r="I1944" t="s">
        <v>77</v>
      </c>
      <c r="J1944" t="s">
        <v>286</v>
      </c>
      <c r="K1944" t="s">
        <v>57</v>
      </c>
    </row>
    <row r="1945" spans="1:11" x14ac:dyDescent="0.35">
      <c r="A1945" t="s">
        <v>2423</v>
      </c>
      <c r="B1945">
        <v>2025</v>
      </c>
      <c r="C1945" t="s">
        <v>678</v>
      </c>
      <c r="D1945" t="s">
        <v>76</v>
      </c>
      <c r="E1945" t="s">
        <v>107</v>
      </c>
      <c r="F1945" t="s">
        <v>127</v>
      </c>
      <c r="G1945" t="s">
        <v>130</v>
      </c>
      <c r="H1945" t="s">
        <v>285</v>
      </c>
      <c r="I1945" t="s">
        <v>86</v>
      </c>
      <c r="J1945" t="s">
        <v>286</v>
      </c>
      <c r="K1945" t="s">
        <v>57</v>
      </c>
    </row>
    <row r="1946" spans="1:11" x14ac:dyDescent="0.35">
      <c r="A1946" t="s">
        <v>2424</v>
      </c>
      <c r="B1946">
        <v>2025</v>
      </c>
      <c r="C1946" t="s">
        <v>678</v>
      </c>
      <c r="D1946" t="s">
        <v>76</v>
      </c>
      <c r="E1946" t="s">
        <v>114</v>
      </c>
      <c r="F1946" t="s">
        <v>125</v>
      </c>
      <c r="G1946" t="s">
        <v>132</v>
      </c>
      <c r="H1946" t="s">
        <v>285</v>
      </c>
      <c r="I1946" t="s">
        <v>86</v>
      </c>
      <c r="J1946" t="s">
        <v>312</v>
      </c>
      <c r="K1946" t="s">
        <v>42</v>
      </c>
    </row>
    <row r="1947" spans="1:11" x14ac:dyDescent="0.35">
      <c r="A1947" t="s">
        <v>2425</v>
      </c>
      <c r="B1947">
        <v>2025</v>
      </c>
      <c r="C1947" t="s">
        <v>678</v>
      </c>
      <c r="D1947" t="s">
        <v>85</v>
      </c>
      <c r="E1947" t="s">
        <v>116</v>
      </c>
      <c r="F1947" t="s">
        <v>127</v>
      </c>
      <c r="G1947" t="s">
        <v>126</v>
      </c>
      <c r="H1947" t="s">
        <v>285</v>
      </c>
      <c r="I1947" t="s">
        <v>86</v>
      </c>
      <c r="J1947" t="s">
        <v>361</v>
      </c>
      <c r="K1947" t="s">
        <v>57</v>
      </c>
    </row>
    <row r="1948" spans="1:11" x14ac:dyDescent="0.35">
      <c r="A1948" t="s">
        <v>2426</v>
      </c>
      <c r="B1948">
        <v>2025</v>
      </c>
      <c r="C1948" t="s">
        <v>678</v>
      </c>
      <c r="D1948" t="s">
        <v>85</v>
      </c>
      <c r="E1948" t="s">
        <v>120</v>
      </c>
      <c r="F1948" t="s">
        <v>133</v>
      </c>
      <c r="G1948" t="s">
        <v>132</v>
      </c>
      <c r="H1948" t="s">
        <v>285</v>
      </c>
      <c r="I1948" t="s">
        <v>77</v>
      </c>
      <c r="J1948" t="s">
        <v>286</v>
      </c>
      <c r="K1948" t="s">
        <v>57</v>
      </c>
    </row>
    <row r="1949" spans="1:11" x14ac:dyDescent="0.35">
      <c r="A1949" t="s">
        <v>2427</v>
      </c>
      <c r="B1949">
        <v>2025</v>
      </c>
      <c r="C1949" t="s">
        <v>678</v>
      </c>
      <c r="D1949" t="s">
        <v>85</v>
      </c>
      <c r="E1949" t="s">
        <v>116</v>
      </c>
      <c r="F1949" t="s">
        <v>125</v>
      </c>
      <c r="G1949" t="s">
        <v>126</v>
      </c>
      <c r="H1949" t="s">
        <v>357</v>
      </c>
      <c r="I1949" t="s">
        <v>426</v>
      </c>
      <c r="J1949" t="s">
        <v>286</v>
      </c>
      <c r="K1949" t="s">
        <v>57</v>
      </c>
    </row>
    <row r="1950" spans="1:11" x14ac:dyDescent="0.35">
      <c r="A1950" t="s">
        <v>2428</v>
      </c>
      <c r="B1950">
        <v>2025</v>
      </c>
      <c r="C1950" t="s">
        <v>678</v>
      </c>
      <c r="D1950" t="s">
        <v>76</v>
      </c>
      <c r="E1950" t="s">
        <v>119</v>
      </c>
      <c r="F1950" t="s">
        <v>129</v>
      </c>
      <c r="G1950" t="s">
        <v>130</v>
      </c>
      <c r="H1950" t="s">
        <v>285</v>
      </c>
      <c r="I1950" t="s">
        <v>77</v>
      </c>
      <c r="J1950" t="s">
        <v>286</v>
      </c>
      <c r="K1950" t="s">
        <v>57</v>
      </c>
    </row>
    <row r="1951" spans="1:11" x14ac:dyDescent="0.35">
      <c r="A1951" t="s">
        <v>2429</v>
      </c>
      <c r="B1951">
        <v>2025</v>
      </c>
      <c r="C1951" t="s">
        <v>678</v>
      </c>
      <c r="D1951" t="s">
        <v>85</v>
      </c>
      <c r="E1951" t="s">
        <v>116</v>
      </c>
      <c r="F1951" t="s">
        <v>133</v>
      </c>
      <c r="G1951" t="s">
        <v>128</v>
      </c>
      <c r="H1951" t="s">
        <v>285</v>
      </c>
      <c r="I1951" t="s">
        <v>433</v>
      </c>
      <c r="J1951" t="s">
        <v>286</v>
      </c>
      <c r="K1951" t="s">
        <v>57</v>
      </c>
    </row>
    <row r="1952" spans="1:11" x14ac:dyDescent="0.35">
      <c r="A1952" t="s">
        <v>2430</v>
      </c>
      <c r="B1952">
        <v>2025</v>
      </c>
      <c r="C1952" t="s">
        <v>678</v>
      </c>
      <c r="D1952" t="s">
        <v>85</v>
      </c>
      <c r="E1952" t="s">
        <v>120</v>
      </c>
      <c r="F1952" t="s">
        <v>127</v>
      </c>
      <c r="G1952" t="s">
        <v>132</v>
      </c>
      <c r="H1952" t="s">
        <v>285</v>
      </c>
      <c r="I1952" t="s">
        <v>86</v>
      </c>
      <c r="J1952" t="s">
        <v>317</v>
      </c>
      <c r="K1952" t="s">
        <v>57</v>
      </c>
    </row>
    <row r="1953" spans="1:11" x14ac:dyDescent="0.35">
      <c r="A1953" t="s">
        <v>2431</v>
      </c>
      <c r="B1953">
        <v>2025</v>
      </c>
      <c r="C1953" t="s">
        <v>678</v>
      </c>
      <c r="D1953" t="s">
        <v>76</v>
      </c>
      <c r="E1953" t="s">
        <v>115</v>
      </c>
      <c r="F1953" t="s">
        <v>125</v>
      </c>
      <c r="G1953" t="s">
        <v>130</v>
      </c>
      <c r="H1953" t="s">
        <v>285</v>
      </c>
      <c r="I1953" t="s">
        <v>288</v>
      </c>
      <c r="J1953" t="s">
        <v>288</v>
      </c>
      <c r="K1953" t="s">
        <v>57</v>
      </c>
    </row>
    <row r="1954" spans="1:11" x14ac:dyDescent="0.35">
      <c r="A1954" t="s">
        <v>2432</v>
      </c>
      <c r="B1954">
        <v>2025</v>
      </c>
      <c r="C1954" t="s">
        <v>678</v>
      </c>
      <c r="D1954" t="s">
        <v>85</v>
      </c>
      <c r="E1954" t="s">
        <v>117</v>
      </c>
      <c r="F1954" t="s">
        <v>127</v>
      </c>
      <c r="G1954" t="s">
        <v>130</v>
      </c>
      <c r="H1954" t="s">
        <v>285</v>
      </c>
      <c r="I1954" t="s">
        <v>337</v>
      </c>
      <c r="J1954" t="s">
        <v>403</v>
      </c>
      <c r="K1954" t="s">
        <v>57</v>
      </c>
    </row>
    <row r="1955" spans="1:11" x14ac:dyDescent="0.35">
      <c r="A1955" t="s">
        <v>2433</v>
      </c>
      <c r="B1955">
        <v>2025</v>
      </c>
      <c r="C1955" t="s">
        <v>678</v>
      </c>
      <c r="D1955" t="s">
        <v>85</v>
      </c>
      <c r="E1955" t="s">
        <v>116</v>
      </c>
      <c r="F1955" t="s">
        <v>125</v>
      </c>
      <c r="G1955" t="s">
        <v>132</v>
      </c>
      <c r="H1955" t="s">
        <v>285</v>
      </c>
      <c r="I1955" t="s">
        <v>86</v>
      </c>
      <c r="J1955" t="s">
        <v>288</v>
      </c>
      <c r="K1955" t="s">
        <v>57</v>
      </c>
    </row>
    <row r="1956" spans="1:11" x14ac:dyDescent="0.35">
      <c r="A1956" t="s">
        <v>2434</v>
      </c>
      <c r="B1956">
        <v>2025</v>
      </c>
      <c r="C1956" t="s">
        <v>678</v>
      </c>
      <c r="D1956" t="s">
        <v>85</v>
      </c>
      <c r="E1956" t="s">
        <v>116</v>
      </c>
      <c r="F1956" t="s">
        <v>129</v>
      </c>
      <c r="G1956" t="s">
        <v>130</v>
      </c>
      <c r="H1956" t="s">
        <v>285</v>
      </c>
      <c r="I1956" t="s">
        <v>86</v>
      </c>
      <c r="J1956" t="s">
        <v>2435</v>
      </c>
      <c r="K1956" t="s">
        <v>42</v>
      </c>
    </row>
    <row r="1957" spans="1:11" x14ac:dyDescent="0.35">
      <c r="A1957" t="s">
        <v>2436</v>
      </c>
      <c r="B1957">
        <v>2025</v>
      </c>
      <c r="C1957" t="s">
        <v>678</v>
      </c>
      <c r="D1957" t="s">
        <v>85</v>
      </c>
      <c r="E1957" t="s">
        <v>120</v>
      </c>
      <c r="F1957" t="s">
        <v>134</v>
      </c>
      <c r="G1957" t="s">
        <v>126</v>
      </c>
      <c r="H1957" t="s">
        <v>297</v>
      </c>
      <c r="I1957" t="s">
        <v>289</v>
      </c>
      <c r="J1957" t="s">
        <v>288</v>
      </c>
      <c r="K1957" t="s">
        <v>57</v>
      </c>
    </row>
    <row r="1958" spans="1:11" x14ac:dyDescent="0.35">
      <c r="A1958" t="s">
        <v>2437</v>
      </c>
      <c r="B1958">
        <v>2025</v>
      </c>
      <c r="C1958" t="s">
        <v>678</v>
      </c>
      <c r="D1958" t="s">
        <v>76</v>
      </c>
      <c r="E1958" t="s">
        <v>107</v>
      </c>
      <c r="F1958" t="s">
        <v>125</v>
      </c>
      <c r="G1958" t="s">
        <v>132</v>
      </c>
      <c r="H1958" t="s">
        <v>285</v>
      </c>
      <c r="I1958" t="s">
        <v>86</v>
      </c>
      <c r="J1958" t="s">
        <v>308</v>
      </c>
      <c r="K1958" t="s">
        <v>42</v>
      </c>
    </row>
    <row r="1959" spans="1:11" x14ac:dyDescent="0.35">
      <c r="A1959" t="s">
        <v>2438</v>
      </c>
      <c r="B1959">
        <v>2025</v>
      </c>
      <c r="C1959" t="s">
        <v>678</v>
      </c>
      <c r="D1959" t="s">
        <v>85</v>
      </c>
      <c r="E1959" t="s">
        <v>377</v>
      </c>
      <c r="F1959" t="s">
        <v>129</v>
      </c>
      <c r="G1959" t="s">
        <v>128</v>
      </c>
      <c r="H1959" t="s">
        <v>285</v>
      </c>
      <c r="I1959" t="s">
        <v>288</v>
      </c>
      <c r="J1959" t="s">
        <v>288</v>
      </c>
      <c r="K1959" t="s">
        <v>57</v>
      </c>
    </row>
    <row r="1960" spans="1:11" x14ac:dyDescent="0.35">
      <c r="A1960" t="s">
        <v>2439</v>
      </c>
      <c r="B1960">
        <v>2025</v>
      </c>
      <c r="C1960" t="s">
        <v>678</v>
      </c>
      <c r="D1960" t="s">
        <v>85</v>
      </c>
      <c r="E1960" t="s">
        <v>117</v>
      </c>
      <c r="F1960" t="s">
        <v>127</v>
      </c>
      <c r="G1960" t="s">
        <v>128</v>
      </c>
      <c r="H1960" t="s">
        <v>305</v>
      </c>
      <c r="I1960" t="s">
        <v>86</v>
      </c>
      <c r="J1960" t="s">
        <v>288</v>
      </c>
      <c r="K1960" t="s">
        <v>57</v>
      </c>
    </row>
    <row r="1961" spans="1:11" x14ac:dyDescent="0.35">
      <c r="A1961" t="s">
        <v>2440</v>
      </c>
      <c r="B1961">
        <v>2025</v>
      </c>
      <c r="C1961" t="s">
        <v>678</v>
      </c>
      <c r="D1961" t="s">
        <v>76</v>
      </c>
      <c r="E1961" t="s">
        <v>115</v>
      </c>
      <c r="F1961" t="s">
        <v>129</v>
      </c>
      <c r="G1961" t="s">
        <v>128</v>
      </c>
      <c r="H1961" t="s">
        <v>285</v>
      </c>
      <c r="I1961" t="s">
        <v>77</v>
      </c>
      <c r="J1961" t="s">
        <v>286</v>
      </c>
      <c r="K1961" t="s">
        <v>57</v>
      </c>
    </row>
    <row r="1962" spans="1:11" x14ac:dyDescent="0.35">
      <c r="A1962" t="s">
        <v>2441</v>
      </c>
      <c r="B1962">
        <v>2025</v>
      </c>
      <c r="C1962" t="s">
        <v>678</v>
      </c>
      <c r="D1962" t="s">
        <v>76</v>
      </c>
      <c r="E1962" t="s">
        <v>107</v>
      </c>
      <c r="F1962" t="s">
        <v>125</v>
      </c>
      <c r="G1962" t="s">
        <v>128</v>
      </c>
      <c r="H1962" t="s">
        <v>285</v>
      </c>
      <c r="I1962" t="s">
        <v>86</v>
      </c>
      <c r="J1962" t="s">
        <v>286</v>
      </c>
      <c r="K1962" t="s">
        <v>57</v>
      </c>
    </row>
    <row r="1963" spans="1:11" x14ac:dyDescent="0.35">
      <c r="A1963" t="s">
        <v>2442</v>
      </c>
      <c r="B1963">
        <v>2025</v>
      </c>
      <c r="C1963" t="s">
        <v>678</v>
      </c>
      <c r="D1963" t="s">
        <v>85</v>
      </c>
      <c r="E1963" t="s">
        <v>116</v>
      </c>
      <c r="F1963" t="s">
        <v>127</v>
      </c>
      <c r="G1963" t="s">
        <v>128</v>
      </c>
      <c r="H1963" t="s">
        <v>305</v>
      </c>
      <c r="I1963" t="s">
        <v>86</v>
      </c>
      <c r="J1963" t="s">
        <v>571</v>
      </c>
      <c r="K1963" t="s">
        <v>42</v>
      </c>
    </row>
    <row r="1964" spans="1:11" x14ac:dyDescent="0.35">
      <c r="A1964" t="s">
        <v>2443</v>
      </c>
      <c r="B1964">
        <v>2025</v>
      </c>
      <c r="C1964" t="s">
        <v>678</v>
      </c>
      <c r="D1964" t="s">
        <v>76</v>
      </c>
      <c r="E1964" t="s">
        <v>119</v>
      </c>
      <c r="F1964" t="s">
        <v>131</v>
      </c>
      <c r="G1964" t="s">
        <v>130</v>
      </c>
      <c r="H1964" t="s">
        <v>357</v>
      </c>
      <c r="I1964" t="s">
        <v>288</v>
      </c>
      <c r="J1964" t="s">
        <v>295</v>
      </c>
      <c r="K1964" t="s">
        <v>57</v>
      </c>
    </row>
    <row r="1965" spans="1:11" x14ac:dyDescent="0.35">
      <c r="A1965" t="s">
        <v>2444</v>
      </c>
      <c r="B1965">
        <v>2025</v>
      </c>
      <c r="C1965" t="s">
        <v>678</v>
      </c>
      <c r="D1965" t="s">
        <v>85</v>
      </c>
      <c r="E1965" t="s">
        <v>377</v>
      </c>
      <c r="F1965" t="s">
        <v>131</v>
      </c>
      <c r="G1965" t="s">
        <v>128</v>
      </c>
      <c r="H1965" t="s">
        <v>285</v>
      </c>
      <c r="I1965" t="s">
        <v>77</v>
      </c>
      <c r="J1965" t="s">
        <v>317</v>
      </c>
      <c r="K1965" t="s">
        <v>57</v>
      </c>
    </row>
    <row r="1966" spans="1:11" x14ac:dyDescent="0.35">
      <c r="A1966" t="s">
        <v>2445</v>
      </c>
      <c r="B1966">
        <v>2025</v>
      </c>
      <c r="C1966" t="s">
        <v>678</v>
      </c>
      <c r="D1966" t="s">
        <v>85</v>
      </c>
      <c r="E1966" t="s">
        <v>116</v>
      </c>
      <c r="F1966" t="s">
        <v>127</v>
      </c>
      <c r="G1966" t="s">
        <v>128</v>
      </c>
      <c r="H1966" t="s">
        <v>285</v>
      </c>
      <c r="I1966" t="s">
        <v>77</v>
      </c>
      <c r="J1966" t="s">
        <v>286</v>
      </c>
      <c r="K1966" t="s">
        <v>57</v>
      </c>
    </row>
    <row r="1967" spans="1:11" x14ac:dyDescent="0.35">
      <c r="A1967" t="s">
        <v>2446</v>
      </c>
      <c r="B1967">
        <v>2025</v>
      </c>
      <c r="C1967" t="s">
        <v>678</v>
      </c>
      <c r="D1967" t="s">
        <v>76</v>
      </c>
      <c r="E1967" t="s">
        <v>119</v>
      </c>
      <c r="F1967" t="s">
        <v>131</v>
      </c>
      <c r="G1967" t="s">
        <v>128</v>
      </c>
      <c r="H1967" t="s">
        <v>357</v>
      </c>
      <c r="I1967" t="s">
        <v>333</v>
      </c>
      <c r="J1967" t="s">
        <v>286</v>
      </c>
      <c r="K1967" t="s">
        <v>57</v>
      </c>
    </row>
    <row r="1968" spans="1:11" x14ac:dyDescent="0.35">
      <c r="A1968" t="s">
        <v>2447</v>
      </c>
      <c r="B1968">
        <v>2025</v>
      </c>
      <c r="C1968" t="s">
        <v>678</v>
      </c>
      <c r="D1968" t="s">
        <v>76</v>
      </c>
      <c r="E1968" t="s">
        <v>119</v>
      </c>
      <c r="F1968" t="s">
        <v>131</v>
      </c>
      <c r="G1968" t="s">
        <v>128</v>
      </c>
      <c r="H1968" t="s">
        <v>357</v>
      </c>
      <c r="I1968" t="s">
        <v>288</v>
      </c>
      <c r="J1968" t="s">
        <v>295</v>
      </c>
      <c r="K1968" t="s">
        <v>57</v>
      </c>
    </row>
    <row r="1969" spans="1:11" x14ac:dyDescent="0.35">
      <c r="A1969" t="s">
        <v>2448</v>
      </c>
      <c r="B1969">
        <v>2025</v>
      </c>
      <c r="C1969" t="s">
        <v>678</v>
      </c>
      <c r="D1969" t="s">
        <v>76</v>
      </c>
      <c r="E1969" t="s">
        <v>107</v>
      </c>
      <c r="F1969" t="s">
        <v>125</v>
      </c>
      <c r="G1969" t="s">
        <v>126</v>
      </c>
      <c r="H1969" t="s">
        <v>285</v>
      </c>
      <c r="I1969" t="s">
        <v>77</v>
      </c>
      <c r="J1969" t="s">
        <v>286</v>
      </c>
      <c r="K1969" t="s">
        <v>57</v>
      </c>
    </row>
    <row r="1970" spans="1:11" x14ac:dyDescent="0.35">
      <c r="A1970" t="s">
        <v>2449</v>
      </c>
      <c r="B1970">
        <v>2025</v>
      </c>
      <c r="C1970" t="s">
        <v>678</v>
      </c>
      <c r="D1970" t="s">
        <v>76</v>
      </c>
      <c r="E1970" t="s">
        <v>119</v>
      </c>
      <c r="F1970" t="s">
        <v>131</v>
      </c>
      <c r="G1970" t="s">
        <v>128</v>
      </c>
      <c r="H1970" t="s">
        <v>357</v>
      </c>
      <c r="I1970" t="s">
        <v>288</v>
      </c>
      <c r="J1970" t="s">
        <v>295</v>
      </c>
      <c r="K1970" t="s">
        <v>57</v>
      </c>
    </row>
    <row r="1971" spans="1:11" x14ac:dyDescent="0.35">
      <c r="A1971" t="s">
        <v>2450</v>
      </c>
      <c r="B1971">
        <v>2025</v>
      </c>
      <c r="C1971" t="s">
        <v>678</v>
      </c>
      <c r="D1971" t="s">
        <v>76</v>
      </c>
      <c r="E1971" t="s">
        <v>599</v>
      </c>
      <c r="F1971" t="s">
        <v>125</v>
      </c>
      <c r="G1971" t="s">
        <v>128</v>
      </c>
      <c r="H1971" t="s">
        <v>285</v>
      </c>
      <c r="I1971" t="s">
        <v>288</v>
      </c>
      <c r="J1971" t="s">
        <v>317</v>
      </c>
      <c r="K1971" t="s">
        <v>57</v>
      </c>
    </row>
    <row r="1972" spans="1:11" x14ac:dyDescent="0.35">
      <c r="A1972" t="s">
        <v>2451</v>
      </c>
      <c r="B1972">
        <v>2025</v>
      </c>
      <c r="C1972" t="s">
        <v>678</v>
      </c>
      <c r="D1972" t="s">
        <v>76</v>
      </c>
      <c r="E1972" t="s">
        <v>115</v>
      </c>
      <c r="F1972" t="s">
        <v>125</v>
      </c>
      <c r="G1972" t="s">
        <v>128</v>
      </c>
      <c r="H1972" t="s">
        <v>285</v>
      </c>
      <c r="I1972" t="s">
        <v>86</v>
      </c>
      <c r="J1972" t="s">
        <v>312</v>
      </c>
      <c r="K1972" t="s">
        <v>42</v>
      </c>
    </row>
    <row r="1973" spans="1:11" x14ac:dyDescent="0.35">
      <c r="A1973" t="s">
        <v>2452</v>
      </c>
      <c r="B1973">
        <v>2025</v>
      </c>
      <c r="C1973" t="s">
        <v>678</v>
      </c>
      <c r="D1973" t="s">
        <v>76</v>
      </c>
      <c r="E1973" t="s">
        <v>119</v>
      </c>
      <c r="F1973" t="s">
        <v>125</v>
      </c>
      <c r="G1973" t="s">
        <v>128</v>
      </c>
      <c r="H1973" t="s">
        <v>357</v>
      </c>
      <c r="I1973" t="s">
        <v>77</v>
      </c>
      <c r="J1973" t="s">
        <v>286</v>
      </c>
      <c r="K1973" t="s">
        <v>57</v>
      </c>
    </row>
    <row r="1974" spans="1:11" x14ac:dyDescent="0.35">
      <c r="A1974" t="s">
        <v>2453</v>
      </c>
      <c r="B1974">
        <v>2025</v>
      </c>
      <c r="C1974" t="s">
        <v>678</v>
      </c>
      <c r="D1974" t="s">
        <v>85</v>
      </c>
      <c r="E1974" t="s">
        <v>117</v>
      </c>
      <c r="F1974" t="s">
        <v>129</v>
      </c>
      <c r="G1974" t="s">
        <v>128</v>
      </c>
      <c r="H1974" t="s">
        <v>285</v>
      </c>
      <c r="I1974" t="s">
        <v>289</v>
      </c>
      <c r="J1974" t="s">
        <v>347</v>
      </c>
      <c r="K1974" t="s">
        <v>57</v>
      </c>
    </row>
    <row r="1975" spans="1:11" x14ac:dyDescent="0.35">
      <c r="A1975" t="s">
        <v>2454</v>
      </c>
      <c r="B1975">
        <v>2025</v>
      </c>
      <c r="C1975" t="s">
        <v>678</v>
      </c>
      <c r="D1975" t="s">
        <v>76</v>
      </c>
      <c r="E1975" t="s">
        <v>107</v>
      </c>
      <c r="F1975" t="s">
        <v>125</v>
      </c>
      <c r="G1975" t="s">
        <v>130</v>
      </c>
      <c r="H1975" t="s">
        <v>285</v>
      </c>
      <c r="I1975" t="s">
        <v>86</v>
      </c>
      <c r="J1975" t="s">
        <v>286</v>
      </c>
      <c r="K1975" t="s">
        <v>57</v>
      </c>
    </row>
    <row r="1976" spans="1:11" x14ac:dyDescent="0.35">
      <c r="A1976" t="s">
        <v>2455</v>
      </c>
      <c r="B1976">
        <v>2025</v>
      </c>
      <c r="C1976" t="s">
        <v>678</v>
      </c>
      <c r="D1976" t="s">
        <v>76</v>
      </c>
      <c r="E1976" t="s">
        <v>107</v>
      </c>
      <c r="F1976" t="s">
        <v>127</v>
      </c>
      <c r="G1976" t="s">
        <v>130</v>
      </c>
      <c r="H1976" t="s">
        <v>285</v>
      </c>
      <c r="I1976" t="s">
        <v>428</v>
      </c>
      <c r="J1976" t="s">
        <v>447</v>
      </c>
      <c r="K1976" t="s">
        <v>57</v>
      </c>
    </row>
    <row r="1977" spans="1:11" x14ac:dyDescent="0.35">
      <c r="A1977" t="s">
        <v>2456</v>
      </c>
      <c r="B1977">
        <v>2025</v>
      </c>
      <c r="C1977" t="s">
        <v>678</v>
      </c>
      <c r="D1977" t="s">
        <v>76</v>
      </c>
      <c r="E1977" t="s">
        <v>115</v>
      </c>
      <c r="F1977" t="s">
        <v>127</v>
      </c>
      <c r="G1977" t="s">
        <v>132</v>
      </c>
      <c r="H1977" t="s">
        <v>285</v>
      </c>
      <c r="I1977" t="s">
        <v>86</v>
      </c>
      <c r="J1977" t="s">
        <v>286</v>
      </c>
      <c r="K1977" t="s">
        <v>57</v>
      </c>
    </row>
    <row r="1978" spans="1:11" x14ac:dyDescent="0.35">
      <c r="A1978" t="s">
        <v>2457</v>
      </c>
      <c r="B1978">
        <v>2025</v>
      </c>
      <c r="C1978" t="s">
        <v>678</v>
      </c>
      <c r="D1978" t="s">
        <v>76</v>
      </c>
      <c r="E1978" t="s">
        <v>115</v>
      </c>
      <c r="F1978" t="s">
        <v>125</v>
      </c>
      <c r="G1978" t="s">
        <v>132</v>
      </c>
      <c r="H1978" t="s">
        <v>285</v>
      </c>
      <c r="I1978" t="s">
        <v>86</v>
      </c>
      <c r="J1978" t="s">
        <v>295</v>
      </c>
      <c r="K1978" t="s">
        <v>57</v>
      </c>
    </row>
    <row r="1979" spans="1:11" x14ac:dyDescent="0.35">
      <c r="A1979" t="s">
        <v>2458</v>
      </c>
      <c r="B1979">
        <v>2025</v>
      </c>
      <c r="C1979" t="s">
        <v>678</v>
      </c>
      <c r="D1979" t="s">
        <v>76</v>
      </c>
      <c r="E1979" t="s">
        <v>113</v>
      </c>
      <c r="F1979" t="s">
        <v>125</v>
      </c>
      <c r="G1979" t="s">
        <v>128</v>
      </c>
      <c r="H1979" t="s">
        <v>285</v>
      </c>
      <c r="I1979" t="s">
        <v>86</v>
      </c>
      <c r="J1979" t="s">
        <v>286</v>
      </c>
      <c r="K1979" t="s">
        <v>57</v>
      </c>
    </row>
    <row r="1980" spans="1:11" x14ac:dyDescent="0.35">
      <c r="A1980" t="s">
        <v>2459</v>
      </c>
      <c r="B1980">
        <v>2025</v>
      </c>
      <c r="C1980" t="s">
        <v>678</v>
      </c>
      <c r="D1980" t="s">
        <v>85</v>
      </c>
      <c r="E1980" t="s">
        <v>117</v>
      </c>
      <c r="F1980" t="s">
        <v>288</v>
      </c>
      <c r="G1980" t="s">
        <v>130</v>
      </c>
      <c r="H1980" t="s">
        <v>305</v>
      </c>
      <c r="I1980" t="s">
        <v>86</v>
      </c>
      <c r="J1980" t="s">
        <v>286</v>
      </c>
      <c r="K1980" t="s">
        <v>57</v>
      </c>
    </row>
    <row r="1981" spans="1:11" x14ac:dyDescent="0.35">
      <c r="A1981" t="s">
        <v>2460</v>
      </c>
      <c r="B1981">
        <v>2025</v>
      </c>
      <c r="C1981" t="s">
        <v>678</v>
      </c>
      <c r="D1981" t="s">
        <v>76</v>
      </c>
      <c r="E1981" t="s">
        <v>109</v>
      </c>
      <c r="F1981" t="s">
        <v>127</v>
      </c>
      <c r="G1981" t="s">
        <v>126</v>
      </c>
      <c r="H1981" t="s">
        <v>285</v>
      </c>
      <c r="I1981" t="s">
        <v>288</v>
      </c>
      <c r="J1981" t="s">
        <v>288</v>
      </c>
      <c r="K1981" t="s">
        <v>57</v>
      </c>
    </row>
    <row r="1982" spans="1:11" x14ac:dyDescent="0.35">
      <c r="A1982" t="s">
        <v>2461</v>
      </c>
      <c r="B1982">
        <v>2025</v>
      </c>
      <c r="C1982" t="s">
        <v>678</v>
      </c>
      <c r="D1982" t="s">
        <v>76</v>
      </c>
      <c r="E1982" t="s">
        <v>107</v>
      </c>
      <c r="F1982" t="s">
        <v>127</v>
      </c>
      <c r="G1982" t="s">
        <v>130</v>
      </c>
      <c r="H1982" t="s">
        <v>285</v>
      </c>
      <c r="I1982" t="s">
        <v>86</v>
      </c>
      <c r="J1982" t="s">
        <v>286</v>
      </c>
      <c r="K1982" t="s">
        <v>57</v>
      </c>
    </row>
    <row r="1983" spans="1:11" x14ac:dyDescent="0.35">
      <c r="A1983" t="s">
        <v>2462</v>
      </c>
      <c r="B1983">
        <v>2025</v>
      </c>
      <c r="C1983" t="s">
        <v>678</v>
      </c>
      <c r="D1983" t="s">
        <v>76</v>
      </c>
      <c r="E1983" t="s">
        <v>115</v>
      </c>
      <c r="F1983" t="s">
        <v>133</v>
      </c>
      <c r="G1983" t="s">
        <v>132</v>
      </c>
      <c r="H1983" t="s">
        <v>285</v>
      </c>
      <c r="I1983" t="s">
        <v>77</v>
      </c>
      <c r="J1983" t="s">
        <v>286</v>
      </c>
      <c r="K1983" t="s">
        <v>57</v>
      </c>
    </row>
    <row r="1984" spans="1:11" x14ac:dyDescent="0.35">
      <c r="A1984" t="s">
        <v>2463</v>
      </c>
      <c r="B1984">
        <v>2025</v>
      </c>
      <c r="C1984" t="s">
        <v>678</v>
      </c>
      <c r="D1984" t="s">
        <v>85</v>
      </c>
      <c r="E1984" t="s">
        <v>117</v>
      </c>
      <c r="F1984" t="s">
        <v>288</v>
      </c>
      <c r="G1984" t="s">
        <v>130</v>
      </c>
      <c r="H1984" t="s">
        <v>285</v>
      </c>
      <c r="I1984" t="s">
        <v>288</v>
      </c>
      <c r="J1984" t="s">
        <v>286</v>
      </c>
      <c r="K1984" t="s">
        <v>57</v>
      </c>
    </row>
    <row r="1985" spans="1:11" x14ac:dyDescent="0.35">
      <c r="A1985" t="s">
        <v>2464</v>
      </c>
      <c r="B1985">
        <v>2025</v>
      </c>
      <c r="C1985" t="s">
        <v>678</v>
      </c>
      <c r="D1985" t="s">
        <v>85</v>
      </c>
      <c r="E1985" t="s">
        <v>116</v>
      </c>
      <c r="F1985" t="s">
        <v>288</v>
      </c>
      <c r="G1985" t="s">
        <v>128</v>
      </c>
      <c r="H1985" t="s">
        <v>285</v>
      </c>
      <c r="I1985" t="s">
        <v>86</v>
      </c>
      <c r="J1985" t="s">
        <v>566</v>
      </c>
      <c r="K1985" t="s">
        <v>42</v>
      </c>
    </row>
    <row r="1986" spans="1:11" x14ac:dyDescent="0.35">
      <c r="A1986" t="s">
        <v>2465</v>
      </c>
      <c r="B1986">
        <v>2025</v>
      </c>
      <c r="C1986" t="s">
        <v>678</v>
      </c>
      <c r="D1986" t="s">
        <v>85</v>
      </c>
      <c r="E1986" t="s">
        <v>120</v>
      </c>
      <c r="F1986" t="s">
        <v>134</v>
      </c>
      <c r="G1986" t="s">
        <v>128</v>
      </c>
      <c r="H1986" t="s">
        <v>285</v>
      </c>
      <c r="I1986" t="s">
        <v>77</v>
      </c>
      <c r="J1986" t="s">
        <v>286</v>
      </c>
      <c r="K1986" t="s">
        <v>57</v>
      </c>
    </row>
    <row r="1987" spans="1:11" x14ac:dyDescent="0.35">
      <c r="A1987" t="s">
        <v>2466</v>
      </c>
      <c r="B1987">
        <v>2025</v>
      </c>
      <c r="C1987" t="s">
        <v>678</v>
      </c>
      <c r="D1987" t="s">
        <v>85</v>
      </c>
      <c r="E1987" t="s">
        <v>116</v>
      </c>
      <c r="F1987" t="s">
        <v>127</v>
      </c>
      <c r="G1987" t="s">
        <v>132</v>
      </c>
      <c r="H1987" t="s">
        <v>285</v>
      </c>
      <c r="I1987" t="s">
        <v>86</v>
      </c>
      <c r="J1987" t="s">
        <v>2354</v>
      </c>
      <c r="K1987" t="s">
        <v>42</v>
      </c>
    </row>
    <row r="1988" spans="1:11" x14ac:dyDescent="0.35">
      <c r="A1988" t="s">
        <v>2467</v>
      </c>
      <c r="B1988">
        <v>2025</v>
      </c>
      <c r="C1988" t="s">
        <v>678</v>
      </c>
      <c r="D1988" t="s">
        <v>76</v>
      </c>
      <c r="E1988" t="s">
        <v>115</v>
      </c>
      <c r="F1988" t="s">
        <v>125</v>
      </c>
      <c r="G1988" t="s">
        <v>132</v>
      </c>
      <c r="H1988" t="s">
        <v>285</v>
      </c>
      <c r="I1988" t="s">
        <v>289</v>
      </c>
      <c r="J1988" t="s">
        <v>286</v>
      </c>
      <c r="K1988" t="s">
        <v>57</v>
      </c>
    </row>
    <row r="1989" spans="1:11" x14ac:dyDescent="0.35">
      <c r="A1989" t="s">
        <v>2468</v>
      </c>
      <c r="B1989">
        <v>2025</v>
      </c>
      <c r="C1989" t="s">
        <v>678</v>
      </c>
      <c r="D1989" t="s">
        <v>76</v>
      </c>
      <c r="E1989" t="s">
        <v>109</v>
      </c>
      <c r="F1989" t="s">
        <v>127</v>
      </c>
      <c r="G1989" t="s">
        <v>126</v>
      </c>
      <c r="H1989" t="s">
        <v>285</v>
      </c>
      <c r="I1989" t="s">
        <v>2271</v>
      </c>
      <c r="J1989" t="s">
        <v>288</v>
      </c>
      <c r="K1989" t="s">
        <v>57</v>
      </c>
    </row>
    <row r="1990" spans="1:11" x14ac:dyDescent="0.35">
      <c r="A1990" t="s">
        <v>2469</v>
      </c>
      <c r="B1990">
        <v>2025</v>
      </c>
      <c r="C1990" t="s">
        <v>678</v>
      </c>
      <c r="D1990" t="s">
        <v>85</v>
      </c>
      <c r="E1990" t="s">
        <v>117</v>
      </c>
      <c r="F1990" t="s">
        <v>129</v>
      </c>
      <c r="G1990" t="s">
        <v>128</v>
      </c>
      <c r="H1990" t="s">
        <v>285</v>
      </c>
      <c r="I1990" t="s">
        <v>86</v>
      </c>
      <c r="J1990" t="s">
        <v>403</v>
      </c>
      <c r="K1990" t="s">
        <v>57</v>
      </c>
    </row>
    <row r="1991" spans="1:11" x14ac:dyDescent="0.35">
      <c r="A1991" t="s">
        <v>2470</v>
      </c>
      <c r="B1991">
        <v>2025</v>
      </c>
      <c r="C1991" t="s">
        <v>678</v>
      </c>
      <c r="D1991" t="s">
        <v>76</v>
      </c>
      <c r="E1991" t="s">
        <v>119</v>
      </c>
      <c r="F1991" t="s">
        <v>125</v>
      </c>
      <c r="G1991" t="s">
        <v>128</v>
      </c>
      <c r="H1991" t="s">
        <v>285</v>
      </c>
      <c r="I1991" t="s">
        <v>333</v>
      </c>
      <c r="J1991" t="s">
        <v>286</v>
      </c>
      <c r="K1991" t="s">
        <v>57</v>
      </c>
    </row>
    <row r="1992" spans="1:11" x14ac:dyDescent="0.35">
      <c r="A1992" t="s">
        <v>2471</v>
      </c>
      <c r="B1992">
        <v>2025</v>
      </c>
      <c r="C1992" t="s">
        <v>678</v>
      </c>
      <c r="D1992" t="s">
        <v>76</v>
      </c>
      <c r="E1992" t="s">
        <v>109</v>
      </c>
      <c r="F1992" t="s">
        <v>129</v>
      </c>
      <c r="G1992" t="s">
        <v>132</v>
      </c>
      <c r="H1992" t="s">
        <v>285</v>
      </c>
      <c r="I1992" t="s">
        <v>77</v>
      </c>
      <c r="J1992" t="s">
        <v>286</v>
      </c>
      <c r="K1992" t="s">
        <v>57</v>
      </c>
    </row>
    <row r="1993" spans="1:11" x14ac:dyDescent="0.35">
      <c r="A1993" t="s">
        <v>2472</v>
      </c>
      <c r="B1993">
        <v>2025</v>
      </c>
      <c r="C1993" t="s">
        <v>678</v>
      </c>
      <c r="D1993" t="s">
        <v>85</v>
      </c>
      <c r="E1993" t="s">
        <v>344</v>
      </c>
      <c r="F1993" t="s">
        <v>133</v>
      </c>
      <c r="G1993" t="s">
        <v>130</v>
      </c>
      <c r="H1993" t="s">
        <v>285</v>
      </c>
      <c r="I1993" t="s">
        <v>407</v>
      </c>
      <c r="J1993" t="s">
        <v>326</v>
      </c>
      <c r="K1993" t="s">
        <v>57</v>
      </c>
    </row>
    <row r="1994" spans="1:11" x14ac:dyDescent="0.35">
      <c r="A1994" t="s">
        <v>2473</v>
      </c>
      <c r="B1994">
        <v>2025</v>
      </c>
      <c r="C1994" t="s">
        <v>678</v>
      </c>
      <c r="D1994" t="s">
        <v>85</v>
      </c>
      <c r="E1994" t="s">
        <v>117</v>
      </c>
      <c r="F1994" t="s">
        <v>125</v>
      </c>
      <c r="G1994" t="s">
        <v>128</v>
      </c>
      <c r="H1994" t="s">
        <v>285</v>
      </c>
      <c r="I1994" t="s">
        <v>86</v>
      </c>
      <c r="J1994" t="s">
        <v>286</v>
      </c>
      <c r="K1994" t="s">
        <v>57</v>
      </c>
    </row>
    <row r="1995" spans="1:11" x14ac:dyDescent="0.35">
      <c r="A1995" t="s">
        <v>2474</v>
      </c>
      <c r="B1995">
        <v>2025</v>
      </c>
      <c r="C1995" t="s">
        <v>678</v>
      </c>
      <c r="D1995" t="s">
        <v>76</v>
      </c>
      <c r="E1995" t="s">
        <v>115</v>
      </c>
      <c r="F1995" t="s">
        <v>131</v>
      </c>
      <c r="G1995" t="s">
        <v>132</v>
      </c>
      <c r="H1995" t="s">
        <v>285</v>
      </c>
      <c r="I1995" t="s">
        <v>77</v>
      </c>
      <c r="J1995" t="s">
        <v>286</v>
      </c>
      <c r="K1995" t="s">
        <v>57</v>
      </c>
    </row>
    <row r="1996" spans="1:11" x14ac:dyDescent="0.35">
      <c r="A1996" t="s">
        <v>2475</v>
      </c>
      <c r="B1996">
        <v>2025</v>
      </c>
      <c r="C1996" t="s">
        <v>678</v>
      </c>
      <c r="D1996" t="s">
        <v>85</v>
      </c>
      <c r="E1996" t="s">
        <v>117</v>
      </c>
      <c r="F1996" t="s">
        <v>131</v>
      </c>
      <c r="G1996" t="s">
        <v>128</v>
      </c>
      <c r="H1996" t="s">
        <v>305</v>
      </c>
      <c r="I1996" t="s">
        <v>2152</v>
      </c>
      <c r="J1996" t="s">
        <v>308</v>
      </c>
      <c r="K1996" t="s">
        <v>42</v>
      </c>
    </row>
    <row r="1997" spans="1:11" x14ac:dyDescent="0.35">
      <c r="A1997" t="s">
        <v>2476</v>
      </c>
      <c r="B1997">
        <v>2025</v>
      </c>
      <c r="C1997" t="s">
        <v>678</v>
      </c>
      <c r="D1997" t="s">
        <v>85</v>
      </c>
      <c r="E1997" t="s">
        <v>344</v>
      </c>
      <c r="F1997" t="s">
        <v>131</v>
      </c>
      <c r="G1997" t="s">
        <v>130</v>
      </c>
      <c r="H1997" t="s">
        <v>285</v>
      </c>
      <c r="I1997" t="s">
        <v>77</v>
      </c>
      <c r="J1997" t="s">
        <v>286</v>
      </c>
      <c r="K1997" t="s">
        <v>57</v>
      </c>
    </row>
    <row r="1998" spans="1:11" x14ac:dyDescent="0.35">
      <c r="A1998" t="s">
        <v>2477</v>
      </c>
      <c r="B1998">
        <v>2025</v>
      </c>
      <c r="C1998" t="s">
        <v>678</v>
      </c>
      <c r="D1998" t="s">
        <v>85</v>
      </c>
      <c r="E1998" t="s">
        <v>116</v>
      </c>
      <c r="F1998" t="s">
        <v>131</v>
      </c>
      <c r="G1998" t="s">
        <v>126</v>
      </c>
      <c r="H1998" t="s">
        <v>285</v>
      </c>
      <c r="I1998" t="s">
        <v>77</v>
      </c>
      <c r="J1998" t="s">
        <v>286</v>
      </c>
      <c r="K1998" t="s">
        <v>57</v>
      </c>
    </row>
    <row r="1999" spans="1:11" x14ac:dyDescent="0.35">
      <c r="A1999" t="s">
        <v>2478</v>
      </c>
      <c r="B1999">
        <v>2025</v>
      </c>
      <c r="C1999" t="s">
        <v>678</v>
      </c>
      <c r="D1999" t="s">
        <v>76</v>
      </c>
      <c r="E1999" t="s">
        <v>110</v>
      </c>
      <c r="F1999" t="s">
        <v>125</v>
      </c>
      <c r="G1999" t="s">
        <v>128</v>
      </c>
      <c r="H1999" t="s">
        <v>285</v>
      </c>
      <c r="I1999" t="s">
        <v>77</v>
      </c>
      <c r="J1999" t="s">
        <v>312</v>
      </c>
      <c r="K1999" t="s">
        <v>42</v>
      </c>
    </row>
    <row r="2000" spans="1:11" x14ac:dyDescent="0.35">
      <c r="A2000" t="s">
        <v>2479</v>
      </c>
      <c r="B2000">
        <v>2025</v>
      </c>
      <c r="C2000" t="s">
        <v>678</v>
      </c>
      <c r="D2000" t="s">
        <v>85</v>
      </c>
      <c r="E2000" t="s">
        <v>117</v>
      </c>
      <c r="F2000" t="s">
        <v>127</v>
      </c>
      <c r="G2000" t="s">
        <v>130</v>
      </c>
      <c r="H2000" t="s">
        <v>285</v>
      </c>
      <c r="I2000" t="s">
        <v>289</v>
      </c>
      <c r="J2000" t="s">
        <v>347</v>
      </c>
      <c r="K2000" t="s">
        <v>57</v>
      </c>
    </row>
    <row r="2001" spans="1:11" x14ac:dyDescent="0.35">
      <c r="A2001" t="s">
        <v>2480</v>
      </c>
      <c r="B2001">
        <v>2025</v>
      </c>
      <c r="C2001" t="s">
        <v>678</v>
      </c>
      <c r="D2001" t="s">
        <v>76</v>
      </c>
      <c r="E2001" t="s">
        <v>107</v>
      </c>
      <c r="F2001" t="s">
        <v>125</v>
      </c>
      <c r="G2001" t="s">
        <v>126</v>
      </c>
      <c r="H2001" t="s">
        <v>285</v>
      </c>
      <c r="I2001" t="s">
        <v>77</v>
      </c>
      <c r="J2001" t="s">
        <v>286</v>
      </c>
      <c r="K2001" t="s">
        <v>57</v>
      </c>
    </row>
    <row r="2002" spans="1:11" x14ac:dyDescent="0.35">
      <c r="A2002" t="s">
        <v>2481</v>
      </c>
      <c r="B2002">
        <v>2025</v>
      </c>
      <c r="C2002" t="s">
        <v>678</v>
      </c>
      <c r="D2002" t="s">
        <v>85</v>
      </c>
      <c r="E2002" t="s">
        <v>116</v>
      </c>
      <c r="F2002" t="s">
        <v>125</v>
      </c>
      <c r="G2002" t="s">
        <v>128</v>
      </c>
      <c r="H2002" t="s">
        <v>285</v>
      </c>
      <c r="I2002" t="s">
        <v>86</v>
      </c>
      <c r="J2002" t="s">
        <v>286</v>
      </c>
      <c r="K2002" t="s">
        <v>57</v>
      </c>
    </row>
    <row r="2003" spans="1:11" x14ac:dyDescent="0.35">
      <c r="A2003" t="s">
        <v>2482</v>
      </c>
      <c r="B2003">
        <v>2025</v>
      </c>
      <c r="C2003" t="s">
        <v>678</v>
      </c>
      <c r="D2003" t="s">
        <v>76</v>
      </c>
      <c r="E2003" t="s">
        <v>114</v>
      </c>
      <c r="F2003" t="s">
        <v>129</v>
      </c>
      <c r="G2003" t="s">
        <v>128</v>
      </c>
      <c r="H2003" t="s">
        <v>285</v>
      </c>
      <c r="I2003" t="s">
        <v>288</v>
      </c>
      <c r="J2003" t="s">
        <v>317</v>
      </c>
      <c r="K2003" t="s">
        <v>57</v>
      </c>
    </row>
    <row r="2004" spans="1:11" x14ac:dyDescent="0.35">
      <c r="A2004" t="s">
        <v>2483</v>
      </c>
      <c r="B2004">
        <v>2025</v>
      </c>
      <c r="C2004" t="s">
        <v>678</v>
      </c>
      <c r="D2004" t="s">
        <v>76</v>
      </c>
      <c r="E2004" t="s">
        <v>107</v>
      </c>
      <c r="F2004" t="s">
        <v>125</v>
      </c>
      <c r="G2004" t="s">
        <v>128</v>
      </c>
      <c r="H2004" t="s">
        <v>305</v>
      </c>
      <c r="I2004" t="s">
        <v>86</v>
      </c>
      <c r="J2004" t="s">
        <v>286</v>
      </c>
      <c r="K2004" t="s">
        <v>57</v>
      </c>
    </row>
    <row r="2005" spans="1:11" x14ac:dyDescent="0.35">
      <c r="A2005" t="s">
        <v>2484</v>
      </c>
      <c r="B2005">
        <v>2025</v>
      </c>
      <c r="C2005" t="s">
        <v>678</v>
      </c>
      <c r="D2005" t="s">
        <v>85</v>
      </c>
      <c r="E2005" t="s">
        <v>116</v>
      </c>
      <c r="F2005" t="s">
        <v>131</v>
      </c>
      <c r="G2005" t="s">
        <v>128</v>
      </c>
      <c r="H2005" t="s">
        <v>285</v>
      </c>
      <c r="I2005" t="s">
        <v>289</v>
      </c>
      <c r="J2005" t="s">
        <v>405</v>
      </c>
      <c r="K2005" t="s">
        <v>57</v>
      </c>
    </row>
    <row r="2006" spans="1:11" x14ac:dyDescent="0.35">
      <c r="A2006" t="s">
        <v>2485</v>
      </c>
      <c r="B2006">
        <v>2025</v>
      </c>
      <c r="C2006" t="s">
        <v>678</v>
      </c>
      <c r="D2006" t="s">
        <v>85</v>
      </c>
      <c r="E2006" t="s">
        <v>117</v>
      </c>
      <c r="F2006" t="s">
        <v>288</v>
      </c>
      <c r="G2006" t="s">
        <v>132</v>
      </c>
      <c r="H2006" t="s">
        <v>285</v>
      </c>
      <c r="I2006" t="s">
        <v>77</v>
      </c>
      <c r="J2006" t="s">
        <v>286</v>
      </c>
      <c r="K2006" t="s">
        <v>57</v>
      </c>
    </row>
    <row r="2007" spans="1:11" x14ac:dyDescent="0.35">
      <c r="A2007" t="s">
        <v>2486</v>
      </c>
      <c r="B2007">
        <v>2025</v>
      </c>
      <c r="C2007" t="s">
        <v>678</v>
      </c>
      <c r="D2007" t="s">
        <v>85</v>
      </c>
      <c r="E2007" t="s">
        <v>117</v>
      </c>
      <c r="F2007" t="s">
        <v>127</v>
      </c>
      <c r="G2007" t="s">
        <v>130</v>
      </c>
      <c r="H2007" t="s">
        <v>285</v>
      </c>
      <c r="I2007" t="s">
        <v>86</v>
      </c>
      <c r="J2007" t="s">
        <v>405</v>
      </c>
      <c r="K2007" t="s">
        <v>57</v>
      </c>
    </row>
    <row r="2008" spans="1:11" x14ac:dyDescent="0.35">
      <c r="A2008" t="s">
        <v>2487</v>
      </c>
      <c r="B2008">
        <v>2025</v>
      </c>
      <c r="C2008" t="s">
        <v>678</v>
      </c>
      <c r="D2008" t="s">
        <v>76</v>
      </c>
      <c r="E2008" t="s">
        <v>108</v>
      </c>
      <c r="F2008" t="s">
        <v>125</v>
      </c>
      <c r="G2008" t="s">
        <v>128</v>
      </c>
      <c r="H2008" t="s">
        <v>285</v>
      </c>
      <c r="I2008" t="s">
        <v>86</v>
      </c>
      <c r="J2008" t="s">
        <v>317</v>
      </c>
      <c r="K2008" t="s">
        <v>57</v>
      </c>
    </row>
    <row r="2009" spans="1:11" x14ac:dyDescent="0.35">
      <c r="A2009" t="s">
        <v>2488</v>
      </c>
      <c r="B2009">
        <v>2025</v>
      </c>
      <c r="C2009" t="s">
        <v>678</v>
      </c>
      <c r="D2009" t="s">
        <v>76</v>
      </c>
      <c r="E2009" t="s">
        <v>107</v>
      </c>
      <c r="F2009" t="s">
        <v>125</v>
      </c>
      <c r="G2009" t="s">
        <v>126</v>
      </c>
      <c r="H2009" t="s">
        <v>357</v>
      </c>
      <c r="I2009" t="s">
        <v>461</v>
      </c>
      <c r="J2009" t="s">
        <v>2489</v>
      </c>
      <c r="K2009" t="s">
        <v>42</v>
      </c>
    </row>
    <row r="2010" spans="1:11" x14ac:dyDescent="0.35">
      <c r="A2010" t="s">
        <v>2490</v>
      </c>
      <c r="B2010">
        <v>2025</v>
      </c>
      <c r="C2010" t="s">
        <v>678</v>
      </c>
      <c r="D2010" t="s">
        <v>76</v>
      </c>
      <c r="E2010" t="s">
        <v>109</v>
      </c>
      <c r="F2010" t="s">
        <v>127</v>
      </c>
      <c r="G2010" t="s">
        <v>126</v>
      </c>
      <c r="H2010" t="s">
        <v>285</v>
      </c>
      <c r="I2010" t="s">
        <v>535</v>
      </c>
      <c r="J2010" t="s">
        <v>286</v>
      </c>
      <c r="K2010" t="s">
        <v>57</v>
      </c>
    </row>
    <row r="2011" spans="1:11" x14ac:dyDescent="0.35">
      <c r="A2011" t="s">
        <v>2491</v>
      </c>
      <c r="B2011">
        <v>2025</v>
      </c>
      <c r="C2011" t="s">
        <v>678</v>
      </c>
      <c r="D2011" t="s">
        <v>85</v>
      </c>
      <c r="E2011" t="s">
        <v>116</v>
      </c>
      <c r="F2011" t="s">
        <v>131</v>
      </c>
      <c r="G2011" t="s">
        <v>130</v>
      </c>
      <c r="H2011" t="s">
        <v>285</v>
      </c>
      <c r="I2011" t="s">
        <v>289</v>
      </c>
      <c r="J2011" t="s">
        <v>295</v>
      </c>
      <c r="K2011" t="s">
        <v>57</v>
      </c>
    </row>
    <row r="2012" spans="1:11" x14ac:dyDescent="0.35">
      <c r="A2012" t="s">
        <v>2492</v>
      </c>
      <c r="B2012">
        <v>2025</v>
      </c>
      <c r="C2012" t="s">
        <v>678</v>
      </c>
      <c r="D2012" t="s">
        <v>85</v>
      </c>
      <c r="E2012" t="s">
        <v>116</v>
      </c>
      <c r="F2012" t="s">
        <v>125</v>
      </c>
      <c r="G2012" t="s">
        <v>130</v>
      </c>
      <c r="H2012" t="s">
        <v>285</v>
      </c>
      <c r="I2012" t="s">
        <v>77</v>
      </c>
      <c r="J2012" t="s">
        <v>286</v>
      </c>
      <c r="K2012" t="s">
        <v>57</v>
      </c>
    </row>
    <row r="2013" spans="1:11" x14ac:dyDescent="0.35">
      <c r="A2013" t="s">
        <v>2493</v>
      </c>
      <c r="B2013">
        <v>2025</v>
      </c>
      <c r="C2013" t="s">
        <v>678</v>
      </c>
      <c r="D2013" t="s">
        <v>85</v>
      </c>
      <c r="E2013" t="s">
        <v>120</v>
      </c>
      <c r="F2013" t="s">
        <v>131</v>
      </c>
      <c r="G2013" t="s">
        <v>128</v>
      </c>
      <c r="H2013" t="s">
        <v>285</v>
      </c>
      <c r="I2013" t="s">
        <v>86</v>
      </c>
      <c r="J2013" t="s">
        <v>326</v>
      </c>
      <c r="K2013" t="s">
        <v>57</v>
      </c>
    </row>
    <row r="2014" spans="1:11" x14ac:dyDescent="0.35">
      <c r="A2014" t="s">
        <v>2494</v>
      </c>
      <c r="B2014">
        <v>2025</v>
      </c>
      <c r="C2014" t="s">
        <v>678</v>
      </c>
      <c r="D2014" t="s">
        <v>85</v>
      </c>
      <c r="E2014" t="s">
        <v>120</v>
      </c>
      <c r="F2014" t="s">
        <v>125</v>
      </c>
      <c r="G2014" t="s">
        <v>132</v>
      </c>
      <c r="H2014" t="s">
        <v>285</v>
      </c>
      <c r="I2014" t="s">
        <v>288</v>
      </c>
      <c r="J2014" t="s">
        <v>326</v>
      </c>
      <c r="K2014" t="s">
        <v>57</v>
      </c>
    </row>
    <row r="2015" spans="1:11" x14ac:dyDescent="0.35">
      <c r="A2015" t="s">
        <v>2495</v>
      </c>
      <c r="B2015">
        <v>2025</v>
      </c>
      <c r="C2015" t="s">
        <v>678</v>
      </c>
      <c r="D2015" t="s">
        <v>85</v>
      </c>
      <c r="E2015" t="s">
        <v>116</v>
      </c>
      <c r="F2015" t="s">
        <v>129</v>
      </c>
      <c r="G2015" t="s">
        <v>128</v>
      </c>
      <c r="H2015" t="s">
        <v>285</v>
      </c>
      <c r="I2015" t="s">
        <v>426</v>
      </c>
      <c r="J2015" t="s">
        <v>286</v>
      </c>
      <c r="K2015" t="s">
        <v>57</v>
      </c>
    </row>
    <row r="2016" spans="1:11" x14ac:dyDescent="0.35">
      <c r="A2016" t="s">
        <v>2496</v>
      </c>
      <c r="B2016">
        <v>2025</v>
      </c>
      <c r="C2016" t="s">
        <v>678</v>
      </c>
      <c r="D2016" t="s">
        <v>76</v>
      </c>
      <c r="E2016" t="s">
        <v>118</v>
      </c>
      <c r="F2016" t="s">
        <v>127</v>
      </c>
      <c r="G2016" t="s">
        <v>126</v>
      </c>
      <c r="H2016" t="s">
        <v>285</v>
      </c>
      <c r="I2016" t="s">
        <v>77</v>
      </c>
      <c r="J2016" t="s">
        <v>286</v>
      </c>
      <c r="K2016" t="s">
        <v>57</v>
      </c>
    </row>
    <row r="2017" spans="1:11" x14ac:dyDescent="0.35">
      <c r="A2017" t="s">
        <v>2497</v>
      </c>
      <c r="B2017">
        <v>2025</v>
      </c>
      <c r="C2017" t="s">
        <v>678</v>
      </c>
      <c r="D2017" t="s">
        <v>76</v>
      </c>
      <c r="E2017" t="s">
        <v>107</v>
      </c>
      <c r="F2017" t="s">
        <v>125</v>
      </c>
      <c r="G2017" t="s">
        <v>126</v>
      </c>
      <c r="H2017" t="s">
        <v>357</v>
      </c>
      <c r="I2017" t="s">
        <v>86</v>
      </c>
      <c r="J2017" t="s">
        <v>286</v>
      </c>
      <c r="K2017" t="s">
        <v>57</v>
      </c>
    </row>
    <row r="2018" spans="1:11" x14ac:dyDescent="0.35">
      <c r="A2018" t="s">
        <v>2498</v>
      </c>
      <c r="B2018">
        <v>2025</v>
      </c>
      <c r="C2018" t="s">
        <v>678</v>
      </c>
      <c r="D2018" t="s">
        <v>85</v>
      </c>
      <c r="E2018" t="s">
        <v>117</v>
      </c>
      <c r="F2018" t="s">
        <v>127</v>
      </c>
      <c r="G2018" t="s">
        <v>126</v>
      </c>
      <c r="H2018" t="s">
        <v>285</v>
      </c>
      <c r="I2018" t="s">
        <v>86</v>
      </c>
      <c r="J2018" t="s">
        <v>286</v>
      </c>
      <c r="K2018" t="s">
        <v>57</v>
      </c>
    </row>
    <row r="2019" spans="1:11" x14ac:dyDescent="0.35">
      <c r="A2019" t="s">
        <v>2499</v>
      </c>
      <c r="B2019">
        <v>2025</v>
      </c>
      <c r="C2019" t="s">
        <v>678</v>
      </c>
      <c r="D2019" t="s">
        <v>76</v>
      </c>
      <c r="E2019" t="s">
        <v>107</v>
      </c>
      <c r="F2019" t="s">
        <v>125</v>
      </c>
      <c r="G2019" t="s">
        <v>132</v>
      </c>
      <c r="H2019" t="s">
        <v>285</v>
      </c>
      <c r="I2019" t="s">
        <v>86</v>
      </c>
      <c r="J2019" t="s">
        <v>286</v>
      </c>
      <c r="K2019" t="s">
        <v>57</v>
      </c>
    </row>
    <row r="2020" spans="1:11" x14ac:dyDescent="0.35">
      <c r="A2020" t="s">
        <v>2500</v>
      </c>
      <c r="B2020">
        <v>2025</v>
      </c>
      <c r="C2020" t="s">
        <v>678</v>
      </c>
      <c r="D2020" t="s">
        <v>85</v>
      </c>
      <c r="E2020" t="s">
        <v>117</v>
      </c>
      <c r="F2020" t="s">
        <v>127</v>
      </c>
      <c r="G2020" t="s">
        <v>132</v>
      </c>
      <c r="H2020" t="s">
        <v>305</v>
      </c>
      <c r="I2020" t="s">
        <v>77</v>
      </c>
      <c r="J2020" t="s">
        <v>1190</v>
      </c>
      <c r="K2020" t="s">
        <v>57</v>
      </c>
    </row>
    <row r="2021" spans="1:11" x14ac:dyDescent="0.35">
      <c r="A2021" t="s">
        <v>2501</v>
      </c>
      <c r="B2021">
        <v>2025</v>
      </c>
      <c r="C2021" t="s">
        <v>678</v>
      </c>
      <c r="D2021" t="s">
        <v>85</v>
      </c>
      <c r="E2021" t="s">
        <v>117</v>
      </c>
      <c r="F2021" t="s">
        <v>127</v>
      </c>
      <c r="G2021" t="s">
        <v>128</v>
      </c>
      <c r="H2021" t="s">
        <v>285</v>
      </c>
      <c r="I2021" t="s">
        <v>86</v>
      </c>
      <c r="J2021" t="s">
        <v>326</v>
      </c>
      <c r="K2021" t="s">
        <v>57</v>
      </c>
    </row>
    <row r="2022" spans="1:11" x14ac:dyDescent="0.35">
      <c r="A2022" t="s">
        <v>2502</v>
      </c>
      <c r="B2022">
        <v>2025</v>
      </c>
      <c r="C2022" t="s">
        <v>678</v>
      </c>
      <c r="D2022" t="s">
        <v>76</v>
      </c>
      <c r="E2022" t="s">
        <v>115</v>
      </c>
      <c r="F2022" t="s">
        <v>125</v>
      </c>
      <c r="G2022" t="s">
        <v>126</v>
      </c>
      <c r="H2022" t="s">
        <v>285</v>
      </c>
      <c r="I2022" t="s">
        <v>86</v>
      </c>
      <c r="J2022" t="s">
        <v>286</v>
      </c>
      <c r="K2022" t="s">
        <v>57</v>
      </c>
    </row>
    <row r="2023" spans="1:11" x14ac:dyDescent="0.35">
      <c r="A2023" t="s">
        <v>2503</v>
      </c>
      <c r="B2023">
        <v>2025</v>
      </c>
      <c r="C2023" t="s">
        <v>678</v>
      </c>
      <c r="D2023" t="s">
        <v>76</v>
      </c>
      <c r="E2023" t="s">
        <v>110</v>
      </c>
      <c r="F2023" t="s">
        <v>125</v>
      </c>
      <c r="G2023" t="s">
        <v>128</v>
      </c>
      <c r="H2023" t="s">
        <v>285</v>
      </c>
      <c r="I2023" t="s">
        <v>86</v>
      </c>
      <c r="J2023" t="s">
        <v>317</v>
      </c>
      <c r="K2023" t="s">
        <v>57</v>
      </c>
    </row>
    <row r="2024" spans="1:11" x14ac:dyDescent="0.35">
      <c r="A2024" t="s">
        <v>2504</v>
      </c>
      <c r="B2024">
        <v>2025</v>
      </c>
      <c r="C2024" t="s">
        <v>678</v>
      </c>
      <c r="D2024" t="s">
        <v>85</v>
      </c>
      <c r="E2024" t="s">
        <v>120</v>
      </c>
      <c r="F2024" t="s">
        <v>133</v>
      </c>
      <c r="G2024" t="s">
        <v>126</v>
      </c>
      <c r="H2024" t="s">
        <v>285</v>
      </c>
      <c r="I2024" t="s">
        <v>288</v>
      </c>
      <c r="J2024" t="s">
        <v>286</v>
      </c>
      <c r="K2024" t="s">
        <v>57</v>
      </c>
    </row>
    <row r="2025" spans="1:11" x14ac:dyDescent="0.35">
      <c r="A2025" t="s">
        <v>2505</v>
      </c>
      <c r="B2025">
        <v>2025</v>
      </c>
      <c r="C2025" t="s">
        <v>678</v>
      </c>
      <c r="D2025" t="s">
        <v>85</v>
      </c>
      <c r="E2025" t="s">
        <v>120</v>
      </c>
      <c r="F2025" t="s">
        <v>288</v>
      </c>
      <c r="G2025" t="s">
        <v>128</v>
      </c>
      <c r="H2025" t="s">
        <v>305</v>
      </c>
      <c r="I2025" t="s">
        <v>288</v>
      </c>
      <c r="J2025" t="s">
        <v>288</v>
      </c>
      <c r="K2025" t="s">
        <v>57</v>
      </c>
    </row>
    <row r="2026" spans="1:11" x14ac:dyDescent="0.35">
      <c r="A2026" t="s">
        <v>2506</v>
      </c>
      <c r="B2026">
        <v>2025</v>
      </c>
      <c r="C2026" t="s">
        <v>678</v>
      </c>
      <c r="D2026" t="s">
        <v>76</v>
      </c>
      <c r="E2026" t="s">
        <v>119</v>
      </c>
      <c r="F2026" t="s">
        <v>133</v>
      </c>
      <c r="G2026" t="s">
        <v>128</v>
      </c>
      <c r="H2026" t="s">
        <v>285</v>
      </c>
      <c r="I2026" t="s">
        <v>77</v>
      </c>
      <c r="J2026" t="s">
        <v>286</v>
      </c>
      <c r="K2026" t="s">
        <v>57</v>
      </c>
    </row>
    <row r="2027" spans="1:11" x14ac:dyDescent="0.35">
      <c r="A2027" t="s">
        <v>2507</v>
      </c>
      <c r="B2027">
        <v>2025</v>
      </c>
      <c r="C2027" t="s">
        <v>678</v>
      </c>
      <c r="D2027" t="s">
        <v>76</v>
      </c>
      <c r="E2027" t="s">
        <v>107</v>
      </c>
      <c r="F2027" t="s">
        <v>127</v>
      </c>
      <c r="G2027" t="s">
        <v>130</v>
      </c>
      <c r="H2027" t="s">
        <v>285</v>
      </c>
      <c r="I2027" t="s">
        <v>86</v>
      </c>
      <c r="J2027" t="s">
        <v>308</v>
      </c>
      <c r="K2027" t="s">
        <v>42</v>
      </c>
    </row>
    <row r="2028" spans="1:11" x14ac:dyDescent="0.35">
      <c r="A2028" t="s">
        <v>2508</v>
      </c>
      <c r="B2028">
        <v>2025</v>
      </c>
      <c r="C2028" t="s">
        <v>678</v>
      </c>
      <c r="D2028" t="s">
        <v>76</v>
      </c>
      <c r="E2028" t="s">
        <v>119</v>
      </c>
      <c r="F2028" t="s">
        <v>129</v>
      </c>
      <c r="G2028" t="s">
        <v>128</v>
      </c>
      <c r="H2028" t="s">
        <v>285</v>
      </c>
      <c r="I2028" t="s">
        <v>86</v>
      </c>
      <c r="J2028" t="s">
        <v>317</v>
      </c>
      <c r="K2028" t="s">
        <v>57</v>
      </c>
    </row>
    <row r="2029" spans="1:11" x14ac:dyDescent="0.35">
      <c r="A2029" t="s">
        <v>2509</v>
      </c>
      <c r="B2029">
        <v>2025</v>
      </c>
      <c r="C2029" t="s">
        <v>678</v>
      </c>
      <c r="D2029" t="s">
        <v>85</v>
      </c>
      <c r="E2029" t="s">
        <v>117</v>
      </c>
      <c r="F2029" t="s">
        <v>129</v>
      </c>
      <c r="G2029" t="s">
        <v>128</v>
      </c>
      <c r="H2029" t="s">
        <v>305</v>
      </c>
      <c r="I2029" t="s">
        <v>86</v>
      </c>
      <c r="J2029" t="s">
        <v>286</v>
      </c>
      <c r="K2029" t="s">
        <v>57</v>
      </c>
    </row>
    <row r="2030" spans="1:11" x14ac:dyDescent="0.35">
      <c r="A2030" t="s">
        <v>2510</v>
      </c>
      <c r="B2030">
        <v>2025</v>
      </c>
      <c r="C2030" t="s">
        <v>678</v>
      </c>
      <c r="D2030" t="s">
        <v>85</v>
      </c>
      <c r="E2030" t="s">
        <v>117</v>
      </c>
      <c r="F2030" t="s">
        <v>288</v>
      </c>
      <c r="G2030" t="s">
        <v>132</v>
      </c>
      <c r="H2030" t="s">
        <v>305</v>
      </c>
      <c r="I2030" t="s">
        <v>77</v>
      </c>
      <c r="J2030" t="s">
        <v>286</v>
      </c>
      <c r="K2030" t="s">
        <v>57</v>
      </c>
    </row>
    <row r="2031" spans="1:11" x14ac:dyDescent="0.35">
      <c r="A2031" t="s">
        <v>2511</v>
      </c>
      <c r="B2031">
        <v>2025</v>
      </c>
      <c r="C2031" t="s">
        <v>678</v>
      </c>
      <c r="D2031" t="s">
        <v>76</v>
      </c>
      <c r="E2031" t="s">
        <v>107</v>
      </c>
      <c r="F2031" t="s">
        <v>129</v>
      </c>
      <c r="G2031" t="s">
        <v>130</v>
      </c>
      <c r="H2031" t="s">
        <v>285</v>
      </c>
      <c r="I2031" t="s">
        <v>86</v>
      </c>
      <c r="J2031" t="s">
        <v>286</v>
      </c>
      <c r="K2031" t="s">
        <v>57</v>
      </c>
    </row>
    <row r="2032" spans="1:11" x14ac:dyDescent="0.35">
      <c r="A2032" t="s">
        <v>2512</v>
      </c>
      <c r="B2032">
        <v>2025</v>
      </c>
      <c r="C2032" t="s">
        <v>678</v>
      </c>
      <c r="D2032" t="s">
        <v>85</v>
      </c>
      <c r="E2032" t="s">
        <v>116</v>
      </c>
      <c r="F2032" t="s">
        <v>125</v>
      </c>
      <c r="G2032" t="s">
        <v>130</v>
      </c>
      <c r="H2032" t="s">
        <v>285</v>
      </c>
      <c r="I2032" t="s">
        <v>288</v>
      </c>
      <c r="J2032" t="s">
        <v>288</v>
      </c>
      <c r="K2032" t="s">
        <v>57</v>
      </c>
    </row>
    <row r="2033" spans="1:11" x14ac:dyDescent="0.35">
      <c r="A2033" t="s">
        <v>2513</v>
      </c>
      <c r="B2033">
        <v>2025</v>
      </c>
      <c r="C2033" t="s">
        <v>678</v>
      </c>
      <c r="D2033" t="s">
        <v>85</v>
      </c>
      <c r="E2033" t="s">
        <v>117</v>
      </c>
      <c r="F2033" t="s">
        <v>129</v>
      </c>
      <c r="G2033" t="s">
        <v>132</v>
      </c>
      <c r="H2033" t="s">
        <v>305</v>
      </c>
      <c r="I2033" t="s">
        <v>77</v>
      </c>
      <c r="J2033" t="s">
        <v>286</v>
      </c>
      <c r="K2033" t="s">
        <v>57</v>
      </c>
    </row>
    <row r="2034" spans="1:11" x14ac:dyDescent="0.35">
      <c r="A2034" t="s">
        <v>2514</v>
      </c>
      <c r="B2034">
        <v>2025</v>
      </c>
      <c r="C2034" t="s">
        <v>678</v>
      </c>
      <c r="D2034" t="s">
        <v>76</v>
      </c>
      <c r="E2034" t="s">
        <v>115</v>
      </c>
      <c r="F2034" t="s">
        <v>133</v>
      </c>
      <c r="G2034" t="s">
        <v>132</v>
      </c>
      <c r="H2034" t="s">
        <v>285</v>
      </c>
      <c r="I2034" t="s">
        <v>289</v>
      </c>
      <c r="J2034" t="s">
        <v>286</v>
      </c>
      <c r="K2034" t="s">
        <v>57</v>
      </c>
    </row>
    <row r="2035" spans="1:11" x14ac:dyDescent="0.35">
      <c r="A2035" t="s">
        <v>2515</v>
      </c>
      <c r="B2035">
        <v>2025</v>
      </c>
      <c r="C2035" t="s">
        <v>678</v>
      </c>
      <c r="D2035" t="s">
        <v>85</v>
      </c>
      <c r="E2035" t="s">
        <v>115</v>
      </c>
      <c r="F2035" t="s">
        <v>131</v>
      </c>
      <c r="G2035" t="s">
        <v>130</v>
      </c>
      <c r="H2035" t="s">
        <v>285</v>
      </c>
      <c r="I2035" t="s">
        <v>288</v>
      </c>
      <c r="J2035" t="s">
        <v>288</v>
      </c>
      <c r="K2035" t="s">
        <v>57</v>
      </c>
    </row>
    <row r="2036" spans="1:11" x14ac:dyDescent="0.35">
      <c r="A2036" t="s">
        <v>2516</v>
      </c>
      <c r="B2036">
        <v>2025</v>
      </c>
      <c r="C2036" t="s">
        <v>678</v>
      </c>
      <c r="D2036" t="s">
        <v>85</v>
      </c>
      <c r="E2036" t="s">
        <v>116</v>
      </c>
      <c r="F2036" t="s">
        <v>131</v>
      </c>
      <c r="G2036" t="s">
        <v>132</v>
      </c>
      <c r="H2036" t="s">
        <v>285</v>
      </c>
      <c r="I2036" t="s">
        <v>77</v>
      </c>
      <c r="J2036" t="s">
        <v>317</v>
      </c>
      <c r="K2036" t="s">
        <v>57</v>
      </c>
    </row>
    <row r="2037" spans="1:11" x14ac:dyDescent="0.35">
      <c r="A2037" t="s">
        <v>2517</v>
      </c>
      <c r="B2037">
        <v>2025</v>
      </c>
      <c r="C2037" t="s">
        <v>1051</v>
      </c>
      <c r="D2037" t="s">
        <v>85</v>
      </c>
      <c r="E2037" t="s">
        <v>120</v>
      </c>
      <c r="F2037" t="s">
        <v>127</v>
      </c>
      <c r="G2037" t="s">
        <v>130</v>
      </c>
      <c r="H2037" t="s">
        <v>305</v>
      </c>
      <c r="I2037" t="s">
        <v>86</v>
      </c>
      <c r="J2037" t="s">
        <v>295</v>
      </c>
      <c r="K2037" t="s">
        <v>57</v>
      </c>
    </row>
    <row r="2038" spans="1:11" x14ac:dyDescent="0.35">
      <c r="A2038" t="s">
        <v>2518</v>
      </c>
      <c r="B2038">
        <v>2025</v>
      </c>
      <c r="C2038" t="s">
        <v>1051</v>
      </c>
      <c r="D2038" t="s">
        <v>85</v>
      </c>
      <c r="E2038" t="s">
        <v>120</v>
      </c>
      <c r="F2038" t="s">
        <v>134</v>
      </c>
      <c r="G2038" t="s">
        <v>128</v>
      </c>
      <c r="H2038" t="s">
        <v>305</v>
      </c>
      <c r="I2038" t="s">
        <v>77</v>
      </c>
      <c r="J2038" t="s">
        <v>326</v>
      </c>
      <c r="K2038" t="s">
        <v>57</v>
      </c>
    </row>
    <row r="2039" spans="1:11" x14ac:dyDescent="0.35">
      <c r="A2039" t="s">
        <v>2519</v>
      </c>
      <c r="B2039">
        <v>2025</v>
      </c>
      <c r="C2039" t="s">
        <v>1051</v>
      </c>
      <c r="D2039" t="s">
        <v>85</v>
      </c>
      <c r="E2039" t="s">
        <v>120</v>
      </c>
      <c r="F2039" t="s">
        <v>127</v>
      </c>
      <c r="G2039" t="s">
        <v>130</v>
      </c>
      <c r="H2039" t="s">
        <v>305</v>
      </c>
      <c r="I2039" t="s">
        <v>86</v>
      </c>
      <c r="J2039" t="s">
        <v>403</v>
      </c>
      <c r="K2039" t="s">
        <v>57</v>
      </c>
    </row>
    <row r="2040" spans="1:11" x14ac:dyDescent="0.35">
      <c r="A2040" t="s">
        <v>2520</v>
      </c>
      <c r="B2040">
        <v>2025</v>
      </c>
      <c r="C2040" t="s">
        <v>1051</v>
      </c>
      <c r="D2040" t="s">
        <v>76</v>
      </c>
      <c r="E2040" t="s">
        <v>115</v>
      </c>
      <c r="F2040" t="s">
        <v>127</v>
      </c>
      <c r="G2040" t="s">
        <v>126</v>
      </c>
      <c r="H2040" t="s">
        <v>357</v>
      </c>
      <c r="I2040" t="s">
        <v>77</v>
      </c>
      <c r="J2040" t="s">
        <v>286</v>
      </c>
      <c r="K2040" t="s">
        <v>57</v>
      </c>
    </row>
    <row r="2041" spans="1:11" x14ac:dyDescent="0.35">
      <c r="A2041" t="s">
        <v>2521</v>
      </c>
      <c r="B2041">
        <v>2025</v>
      </c>
      <c r="C2041" t="s">
        <v>1051</v>
      </c>
      <c r="D2041" t="s">
        <v>85</v>
      </c>
      <c r="E2041" t="s">
        <v>117</v>
      </c>
      <c r="F2041" t="s">
        <v>127</v>
      </c>
      <c r="G2041" t="s">
        <v>128</v>
      </c>
      <c r="H2041" t="s">
        <v>305</v>
      </c>
      <c r="I2041" t="s">
        <v>86</v>
      </c>
      <c r="J2041" t="s">
        <v>347</v>
      </c>
      <c r="K2041" t="s">
        <v>57</v>
      </c>
    </row>
    <row r="2042" spans="1:11" x14ac:dyDescent="0.35">
      <c r="A2042" t="s">
        <v>2522</v>
      </c>
      <c r="B2042">
        <v>2025</v>
      </c>
      <c r="C2042" t="s">
        <v>1051</v>
      </c>
      <c r="D2042" t="s">
        <v>76</v>
      </c>
      <c r="E2042" t="s">
        <v>109</v>
      </c>
      <c r="F2042" t="s">
        <v>131</v>
      </c>
      <c r="G2042" t="s">
        <v>126</v>
      </c>
      <c r="H2042" t="s">
        <v>285</v>
      </c>
      <c r="I2042" t="s">
        <v>77</v>
      </c>
      <c r="J2042" t="s">
        <v>286</v>
      </c>
      <c r="K2042" t="s">
        <v>57</v>
      </c>
    </row>
    <row r="2043" spans="1:11" x14ac:dyDescent="0.35">
      <c r="A2043" t="s">
        <v>2523</v>
      </c>
      <c r="B2043">
        <v>2025</v>
      </c>
      <c r="C2043" t="s">
        <v>1051</v>
      </c>
      <c r="D2043" t="s">
        <v>85</v>
      </c>
      <c r="E2043" t="s">
        <v>116</v>
      </c>
      <c r="F2043" t="s">
        <v>131</v>
      </c>
      <c r="G2043" t="s">
        <v>126</v>
      </c>
      <c r="H2043" t="s">
        <v>305</v>
      </c>
      <c r="I2043" t="s">
        <v>77</v>
      </c>
      <c r="J2043" t="s">
        <v>317</v>
      </c>
      <c r="K2043" t="s">
        <v>57</v>
      </c>
    </row>
    <row r="2044" spans="1:11" x14ac:dyDescent="0.35">
      <c r="A2044" t="s">
        <v>2524</v>
      </c>
      <c r="B2044">
        <v>2025</v>
      </c>
      <c r="C2044" t="s">
        <v>1051</v>
      </c>
      <c r="D2044" t="s">
        <v>76</v>
      </c>
      <c r="E2044" t="s">
        <v>119</v>
      </c>
      <c r="F2044" t="s">
        <v>125</v>
      </c>
      <c r="G2044" t="s">
        <v>132</v>
      </c>
      <c r="H2044" t="s">
        <v>305</v>
      </c>
      <c r="I2044" t="s">
        <v>288</v>
      </c>
      <c r="J2044" t="s">
        <v>286</v>
      </c>
      <c r="K2044" t="s">
        <v>57</v>
      </c>
    </row>
    <row r="2045" spans="1:11" x14ac:dyDescent="0.35">
      <c r="A2045" t="s">
        <v>2525</v>
      </c>
      <c r="B2045">
        <v>2025</v>
      </c>
      <c r="C2045" t="s">
        <v>1051</v>
      </c>
      <c r="D2045" t="s">
        <v>76</v>
      </c>
      <c r="E2045" t="s">
        <v>119</v>
      </c>
      <c r="F2045" t="s">
        <v>125</v>
      </c>
      <c r="G2045" t="s">
        <v>132</v>
      </c>
      <c r="H2045" t="s">
        <v>285</v>
      </c>
      <c r="I2045" t="s">
        <v>86</v>
      </c>
      <c r="J2045" t="s">
        <v>447</v>
      </c>
      <c r="K2045" t="s">
        <v>57</v>
      </c>
    </row>
    <row r="2046" spans="1:11" x14ac:dyDescent="0.35">
      <c r="A2046" t="s">
        <v>2526</v>
      </c>
      <c r="B2046">
        <v>2025</v>
      </c>
      <c r="C2046" t="s">
        <v>1051</v>
      </c>
      <c r="D2046" t="s">
        <v>85</v>
      </c>
      <c r="E2046" t="s">
        <v>116</v>
      </c>
      <c r="F2046" t="s">
        <v>129</v>
      </c>
      <c r="G2046" t="s">
        <v>128</v>
      </c>
      <c r="H2046" t="s">
        <v>305</v>
      </c>
      <c r="I2046" t="s">
        <v>289</v>
      </c>
      <c r="J2046" t="s">
        <v>286</v>
      </c>
      <c r="K2046" t="s">
        <v>57</v>
      </c>
    </row>
    <row r="2047" spans="1:11" x14ac:dyDescent="0.35">
      <c r="A2047" t="s">
        <v>2527</v>
      </c>
      <c r="B2047">
        <v>2025</v>
      </c>
      <c r="C2047" t="s">
        <v>1051</v>
      </c>
      <c r="D2047" t="s">
        <v>85</v>
      </c>
      <c r="E2047" t="s">
        <v>116</v>
      </c>
      <c r="F2047" t="s">
        <v>127</v>
      </c>
      <c r="G2047" t="s">
        <v>132</v>
      </c>
      <c r="H2047" t="s">
        <v>285</v>
      </c>
      <c r="I2047" t="s">
        <v>407</v>
      </c>
      <c r="J2047" t="s">
        <v>286</v>
      </c>
      <c r="K2047" t="s">
        <v>57</v>
      </c>
    </row>
    <row r="2048" spans="1:11" x14ac:dyDescent="0.35">
      <c r="A2048" t="s">
        <v>2528</v>
      </c>
      <c r="B2048">
        <v>2025</v>
      </c>
      <c r="C2048" t="s">
        <v>1051</v>
      </c>
      <c r="D2048" t="s">
        <v>76</v>
      </c>
      <c r="E2048" t="s">
        <v>118</v>
      </c>
      <c r="F2048" t="s">
        <v>127</v>
      </c>
      <c r="G2048" t="s">
        <v>128</v>
      </c>
      <c r="H2048" t="s">
        <v>285</v>
      </c>
      <c r="I2048" t="s">
        <v>333</v>
      </c>
      <c r="J2048" t="s">
        <v>317</v>
      </c>
      <c r="K2048" t="s">
        <v>57</v>
      </c>
    </row>
    <row r="2049" spans="1:11" x14ac:dyDescent="0.35">
      <c r="A2049" t="s">
        <v>2529</v>
      </c>
      <c r="B2049">
        <v>2025</v>
      </c>
      <c r="C2049" t="s">
        <v>1051</v>
      </c>
      <c r="D2049" t="s">
        <v>85</v>
      </c>
      <c r="E2049" t="s">
        <v>120</v>
      </c>
      <c r="F2049" t="s">
        <v>129</v>
      </c>
      <c r="G2049" t="s">
        <v>132</v>
      </c>
      <c r="H2049" t="s">
        <v>297</v>
      </c>
      <c r="I2049" t="s">
        <v>288</v>
      </c>
      <c r="J2049" t="s">
        <v>286</v>
      </c>
      <c r="K2049" t="s">
        <v>57</v>
      </c>
    </row>
    <row r="2050" spans="1:11" x14ac:dyDescent="0.35">
      <c r="A2050" t="s">
        <v>2530</v>
      </c>
      <c r="B2050">
        <v>2025</v>
      </c>
      <c r="C2050" t="s">
        <v>1051</v>
      </c>
      <c r="D2050" t="s">
        <v>85</v>
      </c>
      <c r="E2050" t="s">
        <v>116</v>
      </c>
      <c r="F2050" t="s">
        <v>127</v>
      </c>
      <c r="G2050" t="s">
        <v>128</v>
      </c>
      <c r="H2050" t="s">
        <v>285</v>
      </c>
      <c r="I2050" t="s">
        <v>289</v>
      </c>
      <c r="J2050" t="s">
        <v>286</v>
      </c>
      <c r="K2050" t="s">
        <v>57</v>
      </c>
    </row>
    <row r="2051" spans="1:11" x14ac:dyDescent="0.35">
      <c r="A2051" t="s">
        <v>2531</v>
      </c>
      <c r="B2051">
        <v>2025</v>
      </c>
      <c r="C2051" t="s">
        <v>1051</v>
      </c>
      <c r="D2051" t="s">
        <v>76</v>
      </c>
      <c r="E2051" t="s">
        <v>107</v>
      </c>
      <c r="F2051" t="s">
        <v>127</v>
      </c>
      <c r="G2051" t="s">
        <v>128</v>
      </c>
      <c r="H2051" t="s">
        <v>357</v>
      </c>
      <c r="I2051" t="s">
        <v>288</v>
      </c>
      <c r="J2051" t="s">
        <v>288</v>
      </c>
      <c r="K2051" t="s">
        <v>57</v>
      </c>
    </row>
    <row r="2052" spans="1:11" x14ac:dyDescent="0.35">
      <c r="A2052" t="s">
        <v>2532</v>
      </c>
      <c r="B2052">
        <v>2025</v>
      </c>
      <c r="C2052" t="s">
        <v>1051</v>
      </c>
      <c r="D2052" t="s">
        <v>85</v>
      </c>
      <c r="E2052" t="s">
        <v>116</v>
      </c>
      <c r="F2052" t="s">
        <v>129</v>
      </c>
      <c r="G2052" t="s">
        <v>130</v>
      </c>
      <c r="H2052" t="s">
        <v>357</v>
      </c>
      <c r="I2052" t="s">
        <v>86</v>
      </c>
      <c r="J2052" t="s">
        <v>288</v>
      </c>
      <c r="K2052" t="s">
        <v>57</v>
      </c>
    </row>
    <row r="2053" spans="1:11" x14ac:dyDescent="0.35">
      <c r="A2053" t="s">
        <v>2533</v>
      </c>
      <c r="B2053">
        <v>2025</v>
      </c>
      <c r="C2053" t="s">
        <v>1051</v>
      </c>
      <c r="D2053" t="s">
        <v>85</v>
      </c>
      <c r="E2053" t="s">
        <v>117</v>
      </c>
      <c r="F2053" t="s">
        <v>129</v>
      </c>
      <c r="G2053" t="s">
        <v>128</v>
      </c>
      <c r="H2053" t="s">
        <v>357</v>
      </c>
      <c r="I2053" t="s">
        <v>86</v>
      </c>
      <c r="J2053" t="s">
        <v>317</v>
      </c>
      <c r="K2053" t="s">
        <v>57</v>
      </c>
    </row>
    <row r="2054" spans="1:11" x14ac:dyDescent="0.35">
      <c r="A2054" t="s">
        <v>2534</v>
      </c>
      <c r="B2054">
        <v>2025</v>
      </c>
      <c r="C2054" t="s">
        <v>1051</v>
      </c>
      <c r="D2054" t="s">
        <v>76</v>
      </c>
      <c r="E2054" t="s">
        <v>115</v>
      </c>
      <c r="F2054" t="s">
        <v>129</v>
      </c>
      <c r="G2054" t="s">
        <v>128</v>
      </c>
      <c r="H2054" t="s">
        <v>285</v>
      </c>
      <c r="I2054" t="s">
        <v>86</v>
      </c>
      <c r="J2054" t="s">
        <v>288</v>
      </c>
      <c r="K2054" t="s">
        <v>57</v>
      </c>
    </row>
    <row r="2055" spans="1:11" x14ac:dyDescent="0.35">
      <c r="A2055" t="s">
        <v>2535</v>
      </c>
      <c r="B2055">
        <v>2025</v>
      </c>
      <c r="C2055" t="s">
        <v>1051</v>
      </c>
      <c r="D2055" t="s">
        <v>85</v>
      </c>
      <c r="E2055" t="s">
        <v>116</v>
      </c>
      <c r="F2055" t="s">
        <v>129</v>
      </c>
      <c r="G2055" t="s">
        <v>128</v>
      </c>
      <c r="H2055" t="s">
        <v>285</v>
      </c>
      <c r="I2055" t="s">
        <v>289</v>
      </c>
      <c r="J2055" t="s">
        <v>308</v>
      </c>
      <c r="K2055" t="s">
        <v>42</v>
      </c>
    </row>
    <row r="2056" spans="1:11" x14ac:dyDescent="0.35">
      <c r="A2056" t="s">
        <v>2536</v>
      </c>
      <c r="B2056">
        <v>2025</v>
      </c>
      <c r="C2056" t="s">
        <v>1051</v>
      </c>
      <c r="D2056" t="s">
        <v>85</v>
      </c>
      <c r="E2056" t="s">
        <v>117</v>
      </c>
      <c r="F2056" t="s">
        <v>129</v>
      </c>
      <c r="G2056" t="s">
        <v>128</v>
      </c>
      <c r="H2056" t="s">
        <v>357</v>
      </c>
      <c r="I2056" t="s">
        <v>289</v>
      </c>
      <c r="J2056" t="s">
        <v>515</v>
      </c>
      <c r="K2056" t="s">
        <v>57</v>
      </c>
    </row>
    <row r="2057" spans="1:11" x14ac:dyDescent="0.35">
      <c r="A2057" t="s">
        <v>2537</v>
      </c>
      <c r="B2057">
        <v>2025</v>
      </c>
      <c r="C2057" t="s">
        <v>1051</v>
      </c>
      <c r="D2057" t="s">
        <v>76</v>
      </c>
      <c r="E2057" t="s">
        <v>118</v>
      </c>
      <c r="F2057" t="s">
        <v>127</v>
      </c>
      <c r="G2057" t="s">
        <v>128</v>
      </c>
      <c r="H2057" t="s">
        <v>285</v>
      </c>
      <c r="I2057" t="s">
        <v>86</v>
      </c>
      <c r="J2057" t="s">
        <v>286</v>
      </c>
      <c r="K2057" t="s">
        <v>57</v>
      </c>
    </row>
    <row r="2058" spans="1:11" x14ac:dyDescent="0.35">
      <c r="A2058" t="s">
        <v>2538</v>
      </c>
      <c r="B2058">
        <v>2025</v>
      </c>
      <c r="C2058" t="s">
        <v>1051</v>
      </c>
      <c r="D2058" t="s">
        <v>85</v>
      </c>
      <c r="E2058" t="s">
        <v>117</v>
      </c>
      <c r="F2058" t="s">
        <v>131</v>
      </c>
      <c r="G2058" t="s">
        <v>128</v>
      </c>
      <c r="H2058" t="s">
        <v>305</v>
      </c>
      <c r="I2058" t="s">
        <v>86</v>
      </c>
      <c r="J2058" t="s">
        <v>317</v>
      </c>
      <c r="K2058" t="s">
        <v>57</v>
      </c>
    </row>
    <row r="2059" spans="1:11" x14ac:dyDescent="0.35">
      <c r="A2059" t="s">
        <v>2539</v>
      </c>
      <c r="B2059">
        <v>2025</v>
      </c>
      <c r="C2059" t="s">
        <v>1051</v>
      </c>
      <c r="D2059" t="s">
        <v>85</v>
      </c>
      <c r="E2059" t="s">
        <v>116</v>
      </c>
      <c r="F2059" t="s">
        <v>129</v>
      </c>
      <c r="G2059" t="s">
        <v>128</v>
      </c>
      <c r="H2059" t="s">
        <v>285</v>
      </c>
      <c r="I2059" t="s">
        <v>289</v>
      </c>
      <c r="J2059" t="s">
        <v>447</v>
      </c>
      <c r="K2059" t="s">
        <v>57</v>
      </c>
    </row>
    <row r="2060" spans="1:11" x14ac:dyDescent="0.35">
      <c r="A2060" t="s">
        <v>2540</v>
      </c>
      <c r="B2060">
        <v>2025</v>
      </c>
      <c r="C2060" t="s">
        <v>1051</v>
      </c>
      <c r="D2060" t="s">
        <v>85</v>
      </c>
      <c r="E2060" t="s">
        <v>117</v>
      </c>
      <c r="F2060" t="s">
        <v>134</v>
      </c>
      <c r="G2060" t="s">
        <v>128</v>
      </c>
      <c r="H2060" t="s">
        <v>297</v>
      </c>
      <c r="I2060" t="s">
        <v>77</v>
      </c>
      <c r="J2060" t="s">
        <v>286</v>
      </c>
      <c r="K2060" t="s">
        <v>57</v>
      </c>
    </row>
    <row r="2061" spans="1:11" x14ac:dyDescent="0.35">
      <c r="A2061" t="s">
        <v>2541</v>
      </c>
      <c r="B2061">
        <v>2025</v>
      </c>
      <c r="C2061" t="s">
        <v>1051</v>
      </c>
      <c r="D2061" t="s">
        <v>85</v>
      </c>
      <c r="E2061" t="s">
        <v>116</v>
      </c>
      <c r="F2061" t="s">
        <v>129</v>
      </c>
      <c r="G2061" t="s">
        <v>128</v>
      </c>
      <c r="H2061" t="s">
        <v>285</v>
      </c>
      <c r="I2061" t="s">
        <v>289</v>
      </c>
      <c r="J2061" t="s">
        <v>286</v>
      </c>
      <c r="K2061" t="s">
        <v>57</v>
      </c>
    </row>
    <row r="2062" spans="1:11" x14ac:dyDescent="0.35">
      <c r="A2062" t="s">
        <v>2542</v>
      </c>
      <c r="B2062">
        <v>2025</v>
      </c>
      <c r="C2062" t="s">
        <v>1051</v>
      </c>
      <c r="D2062" t="s">
        <v>76</v>
      </c>
      <c r="E2062" t="s">
        <v>110</v>
      </c>
      <c r="F2062" t="s">
        <v>125</v>
      </c>
      <c r="G2062" t="s">
        <v>128</v>
      </c>
      <c r="H2062" t="s">
        <v>285</v>
      </c>
      <c r="I2062" t="s">
        <v>86</v>
      </c>
      <c r="J2062" t="s">
        <v>317</v>
      </c>
      <c r="K2062" t="s">
        <v>57</v>
      </c>
    </row>
    <row r="2063" spans="1:11" x14ac:dyDescent="0.35">
      <c r="A2063" t="s">
        <v>2543</v>
      </c>
      <c r="B2063">
        <v>2025</v>
      </c>
      <c r="C2063" t="s">
        <v>1051</v>
      </c>
      <c r="D2063" t="s">
        <v>76</v>
      </c>
      <c r="E2063" t="s">
        <v>107</v>
      </c>
      <c r="F2063" t="s">
        <v>127</v>
      </c>
      <c r="G2063" t="s">
        <v>126</v>
      </c>
      <c r="H2063" t="s">
        <v>285</v>
      </c>
      <c r="I2063" t="s">
        <v>86</v>
      </c>
      <c r="J2063" t="s">
        <v>286</v>
      </c>
      <c r="K2063" t="s">
        <v>57</v>
      </c>
    </row>
    <row r="2064" spans="1:11" x14ac:dyDescent="0.35">
      <c r="A2064" t="s">
        <v>2544</v>
      </c>
      <c r="B2064">
        <v>2025</v>
      </c>
      <c r="C2064" t="s">
        <v>1051</v>
      </c>
      <c r="D2064" t="s">
        <v>85</v>
      </c>
      <c r="E2064" t="s">
        <v>116</v>
      </c>
      <c r="F2064" t="s">
        <v>129</v>
      </c>
      <c r="G2064" t="s">
        <v>126</v>
      </c>
      <c r="H2064" t="s">
        <v>285</v>
      </c>
      <c r="I2064" t="s">
        <v>833</v>
      </c>
      <c r="J2064" t="s">
        <v>286</v>
      </c>
      <c r="K2064" t="s">
        <v>57</v>
      </c>
    </row>
    <row r="2065" spans="1:11" x14ac:dyDescent="0.35">
      <c r="A2065" t="s">
        <v>2545</v>
      </c>
      <c r="B2065">
        <v>2025</v>
      </c>
      <c r="C2065" t="s">
        <v>1051</v>
      </c>
      <c r="D2065" t="s">
        <v>76</v>
      </c>
      <c r="E2065" t="s">
        <v>360</v>
      </c>
      <c r="F2065" t="s">
        <v>288</v>
      </c>
      <c r="G2065" t="s">
        <v>130</v>
      </c>
      <c r="H2065" t="s">
        <v>305</v>
      </c>
      <c r="I2065" t="s">
        <v>288</v>
      </c>
      <c r="J2065" t="s">
        <v>286</v>
      </c>
      <c r="K2065" t="s">
        <v>57</v>
      </c>
    </row>
    <row r="2066" spans="1:11" x14ac:dyDescent="0.35">
      <c r="A2066" t="s">
        <v>2546</v>
      </c>
      <c r="B2066">
        <v>2025</v>
      </c>
      <c r="C2066" t="s">
        <v>1051</v>
      </c>
      <c r="D2066" t="s">
        <v>76</v>
      </c>
      <c r="E2066" t="s">
        <v>119</v>
      </c>
      <c r="F2066" t="s">
        <v>125</v>
      </c>
      <c r="G2066" t="s">
        <v>128</v>
      </c>
      <c r="H2066" t="s">
        <v>285</v>
      </c>
      <c r="I2066" t="s">
        <v>86</v>
      </c>
      <c r="J2066" t="s">
        <v>286</v>
      </c>
      <c r="K2066" t="s">
        <v>57</v>
      </c>
    </row>
    <row r="2067" spans="1:11" x14ac:dyDescent="0.35">
      <c r="A2067" t="s">
        <v>2547</v>
      </c>
      <c r="B2067">
        <v>2025</v>
      </c>
      <c r="C2067" t="s">
        <v>1051</v>
      </c>
      <c r="D2067" t="s">
        <v>76</v>
      </c>
      <c r="E2067" t="s">
        <v>111</v>
      </c>
      <c r="F2067" t="s">
        <v>125</v>
      </c>
      <c r="G2067" t="s">
        <v>132</v>
      </c>
      <c r="H2067" t="s">
        <v>285</v>
      </c>
      <c r="I2067" t="s">
        <v>77</v>
      </c>
      <c r="J2067" t="s">
        <v>286</v>
      </c>
      <c r="K2067" t="s">
        <v>57</v>
      </c>
    </row>
    <row r="2068" spans="1:11" x14ac:dyDescent="0.35">
      <c r="A2068" t="s">
        <v>2548</v>
      </c>
      <c r="B2068">
        <v>2025</v>
      </c>
      <c r="C2068" t="s">
        <v>1051</v>
      </c>
      <c r="D2068" t="s">
        <v>76</v>
      </c>
      <c r="E2068" t="s">
        <v>115</v>
      </c>
      <c r="F2068" t="s">
        <v>127</v>
      </c>
      <c r="G2068" t="s">
        <v>128</v>
      </c>
      <c r="H2068" t="s">
        <v>285</v>
      </c>
      <c r="I2068" t="s">
        <v>86</v>
      </c>
      <c r="J2068" t="s">
        <v>2549</v>
      </c>
      <c r="K2068" t="s">
        <v>42</v>
      </c>
    </row>
    <row r="2069" spans="1:11" x14ac:dyDescent="0.35">
      <c r="A2069" t="s">
        <v>2550</v>
      </c>
      <c r="B2069">
        <v>2025</v>
      </c>
      <c r="C2069" t="s">
        <v>1051</v>
      </c>
      <c r="D2069" t="s">
        <v>76</v>
      </c>
      <c r="E2069" t="s">
        <v>115</v>
      </c>
      <c r="F2069" t="s">
        <v>129</v>
      </c>
      <c r="G2069" t="s">
        <v>128</v>
      </c>
      <c r="H2069" t="s">
        <v>285</v>
      </c>
      <c r="I2069" t="s">
        <v>289</v>
      </c>
      <c r="J2069" t="s">
        <v>286</v>
      </c>
      <c r="K2069" t="s">
        <v>57</v>
      </c>
    </row>
    <row r="2070" spans="1:11" x14ac:dyDescent="0.35">
      <c r="A2070" t="s">
        <v>2551</v>
      </c>
      <c r="B2070">
        <v>2025</v>
      </c>
      <c r="C2070" t="s">
        <v>1051</v>
      </c>
      <c r="D2070" t="s">
        <v>76</v>
      </c>
      <c r="E2070" t="s">
        <v>107</v>
      </c>
      <c r="F2070" t="s">
        <v>127</v>
      </c>
      <c r="G2070" t="s">
        <v>126</v>
      </c>
      <c r="H2070" t="s">
        <v>285</v>
      </c>
      <c r="I2070" t="s">
        <v>77</v>
      </c>
      <c r="J2070" t="s">
        <v>286</v>
      </c>
      <c r="K2070" t="s">
        <v>57</v>
      </c>
    </row>
    <row r="2071" spans="1:11" x14ac:dyDescent="0.35">
      <c r="A2071" t="s">
        <v>2552</v>
      </c>
      <c r="B2071">
        <v>2025</v>
      </c>
      <c r="C2071" t="s">
        <v>1051</v>
      </c>
      <c r="D2071" t="s">
        <v>76</v>
      </c>
      <c r="E2071" t="s">
        <v>119</v>
      </c>
      <c r="F2071" t="s">
        <v>125</v>
      </c>
      <c r="G2071" t="s">
        <v>126</v>
      </c>
      <c r="H2071" t="s">
        <v>285</v>
      </c>
      <c r="I2071" t="s">
        <v>77</v>
      </c>
      <c r="J2071" t="s">
        <v>737</v>
      </c>
      <c r="K2071" t="s">
        <v>57</v>
      </c>
    </row>
    <row r="2072" spans="1:11" x14ac:dyDescent="0.35">
      <c r="A2072" t="s">
        <v>2553</v>
      </c>
      <c r="B2072">
        <v>2025</v>
      </c>
      <c r="C2072" t="s">
        <v>1051</v>
      </c>
      <c r="D2072" t="s">
        <v>76</v>
      </c>
      <c r="E2072" t="s">
        <v>115</v>
      </c>
      <c r="F2072" t="s">
        <v>129</v>
      </c>
      <c r="G2072" t="s">
        <v>132</v>
      </c>
      <c r="H2072" t="s">
        <v>357</v>
      </c>
      <c r="I2072" t="s">
        <v>86</v>
      </c>
      <c r="J2072" t="s">
        <v>2554</v>
      </c>
      <c r="K2072" t="s">
        <v>42</v>
      </c>
    </row>
    <row r="2073" spans="1:11" x14ac:dyDescent="0.35">
      <c r="A2073" t="s">
        <v>2555</v>
      </c>
      <c r="B2073">
        <v>2025</v>
      </c>
      <c r="C2073" t="s">
        <v>1051</v>
      </c>
      <c r="D2073" t="s">
        <v>85</v>
      </c>
      <c r="E2073" t="s">
        <v>116</v>
      </c>
      <c r="F2073" t="s">
        <v>127</v>
      </c>
      <c r="G2073" t="s">
        <v>130</v>
      </c>
      <c r="H2073" t="s">
        <v>285</v>
      </c>
      <c r="I2073" t="s">
        <v>77</v>
      </c>
      <c r="J2073" t="s">
        <v>288</v>
      </c>
      <c r="K2073" t="s">
        <v>57</v>
      </c>
    </row>
    <row r="2074" spans="1:11" x14ac:dyDescent="0.35">
      <c r="A2074" t="s">
        <v>2556</v>
      </c>
      <c r="B2074">
        <v>2025</v>
      </c>
      <c r="C2074" t="s">
        <v>1051</v>
      </c>
      <c r="D2074" t="s">
        <v>76</v>
      </c>
      <c r="E2074" t="s">
        <v>115</v>
      </c>
      <c r="F2074" t="s">
        <v>125</v>
      </c>
      <c r="G2074" t="s">
        <v>132</v>
      </c>
      <c r="H2074" t="s">
        <v>285</v>
      </c>
      <c r="I2074" t="s">
        <v>77</v>
      </c>
      <c r="J2074" t="s">
        <v>286</v>
      </c>
      <c r="K2074" t="s">
        <v>57</v>
      </c>
    </row>
    <row r="2075" spans="1:11" x14ac:dyDescent="0.35">
      <c r="A2075" t="s">
        <v>2557</v>
      </c>
      <c r="B2075">
        <v>2025</v>
      </c>
      <c r="C2075" t="s">
        <v>1051</v>
      </c>
      <c r="D2075" t="s">
        <v>76</v>
      </c>
      <c r="E2075" t="s">
        <v>115</v>
      </c>
      <c r="F2075" t="s">
        <v>125</v>
      </c>
      <c r="G2075" t="s">
        <v>128</v>
      </c>
      <c r="H2075" t="s">
        <v>285</v>
      </c>
      <c r="I2075" t="s">
        <v>77</v>
      </c>
      <c r="J2075" t="s">
        <v>288</v>
      </c>
      <c r="K2075" t="s">
        <v>57</v>
      </c>
    </row>
    <row r="2076" spans="1:11" x14ac:dyDescent="0.35">
      <c r="A2076" t="s">
        <v>2558</v>
      </c>
      <c r="B2076">
        <v>2025</v>
      </c>
      <c r="C2076" t="s">
        <v>1051</v>
      </c>
      <c r="D2076" t="s">
        <v>85</v>
      </c>
      <c r="E2076" t="s">
        <v>117</v>
      </c>
      <c r="F2076" t="s">
        <v>129</v>
      </c>
      <c r="G2076" t="s">
        <v>128</v>
      </c>
      <c r="H2076" t="s">
        <v>357</v>
      </c>
      <c r="I2076" t="s">
        <v>77</v>
      </c>
      <c r="J2076" t="s">
        <v>286</v>
      </c>
      <c r="K2076" t="s">
        <v>57</v>
      </c>
    </row>
    <row r="2077" spans="1:11" x14ac:dyDescent="0.35">
      <c r="A2077" t="s">
        <v>2559</v>
      </c>
      <c r="B2077">
        <v>2025</v>
      </c>
      <c r="C2077" t="s">
        <v>1051</v>
      </c>
      <c r="D2077" t="s">
        <v>85</v>
      </c>
      <c r="E2077" t="s">
        <v>116</v>
      </c>
      <c r="F2077" t="s">
        <v>125</v>
      </c>
      <c r="G2077" t="s">
        <v>132</v>
      </c>
      <c r="H2077" t="s">
        <v>285</v>
      </c>
      <c r="I2077" t="s">
        <v>77</v>
      </c>
      <c r="J2077" t="s">
        <v>286</v>
      </c>
      <c r="K2077" t="s">
        <v>57</v>
      </c>
    </row>
    <row r="2078" spans="1:11" x14ac:dyDescent="0.35">
      <c r="A2078" t="s">
        <v>2560</v>
      </c>
      <c r="B2078">
        <v>2025</v>
      </c>
      <c r="C2078" t="s">
        <v>1051</v>
      </c>
      <c r="D2078" t="s">
        <v>76</v>
      </c>
      <c r="E2078" t="s">
        <v>107</v>
      </c>
      <c r="F2078" t="s">
        <v>129</v>
      </c>
      <c r="G2078" t="s">
        <v>130</v>
      </c>
      <c r="H2078" t="s">
        <v>285</v>
      </c>
      <c r="I2078" t="s">
        <v>86</v>
      </c>
      <c r="J2078" t="s">
        <v>2561</v>
      </c>
      <c r="K2078" t="s">
        <v>42</v>
      </c>
    </row>
    <row r="2079" spans="1:11" x14ac:dyDescent="0.35">
      <c r="A2079" t="s">
        <v>2562</v>
      </c>
      <c r="B2079">
        <v>2025</v>
      </c>
      <c r="C2079" t="s">
        <v>1051</v>
      </c>
      <c r="D2079" t="s">
        <v>76</v>
      </c>
      <c r="E2079" t="s">
        <v>115</v>
      </c>
      <c r="F2079" t="s">
        <v>131</v>
      </c>
      <c r="G2079" t="s">
        <v>128</v>
      </c>
      <c r="H2079" t="s">
        <v>357</v>
      </c>
      <c r="I2079" t="s">
        <v>77</v>
      </c>
      <c r="J2079" t="s">
        <v>286</v>
      </c>
      <c r="K2079" t="s">
        <v>57</v>
      </c>
    </row>
    <row r="2080" spans="1:11" x14ac:dyDescent="0.35">
      <c r="A2080" t="s">
        <v>2563</v>
      </c>
      <c r="B2080">
        <v>2025</v>
      </c>
      <c r="C2080" t="s">
        <v>1051</v>
      </c>
      <c r="D2080" t="s">
        <v>85</v>
      </c>
      <c r="E2080" t="s">
        <v>120</v>
      </c>
      <c r="F2080" t="s">
        <v>288</v>
      </c>
      <c r="G2080" t="s">
        <v>132</v>
      </c>
      <c r="H2080" t="s">
        <v>357</v>
      </c>
      <c r="I2080" t="s">
        <v>337</v>
      </c>
      <c r="J2080" t="s">
        <v>286</v>
      </c>
      <c r="K2080" t="s">
        <v>57</v>
      </c>
    </row>
    <row r="2081" spans="1:11" x14ac:dyDescent="0.35">
      <c r="A2081" t="s">
        <v>2564</v>
      </c>
      <c r="B2081">
        <v>2025</v>
      </c>
      <c r="C2081" t="s">
        <v>1051</v>
      </c>
      <c r="D2081" t="s">
        <v>76</v>
      </c>
      <c r="E2081" t="s">
        <v>119</v>
      </c>
      <c r="F2081" t="s">
        <v>125</v>
      </c>
      <c r="G2081" t="s">
        <v>128</v>
      </c>
      <c r="H2081" t="s">
        <v>285</v>
      </c>
      <c r="I2081" t="s">
        <v>2565</v>
      </c>
      <c r="J2081" t="s">
        <v>331</v>
      </c>
      <c r="K2081" t="s">
        <v>42</v>
      </c>
    </row>
    <row r="2082" spans="1:11" x14ac:dyDescent="0.35">
      <c r="A2082" t="s">
        <v>2566</v>
      </c>
      <c r="B2082">
        <v>2025</v>
      </c>
      <c r="C2082" t="s">
        <v>1051</v>
      </c>
      <c r="D2082" t="s">
        <v>76</v>
      </c>
      <c r="E2082" t="s">
        <v>119</v>
      </c>
      <c r="F2082" t="s">
        <v>125</v>
      </c>
      <c r="G2082" t="s">
        <v>130</v>
      </c>
      <c r="H2082" t="s">
        <v>285</v>
      </c>
      <c r="I2082" t="s">
        <v>288</v>
      </c>
      <c r="J2082" t="s">
        <v>737</v>
      </c>
      <c r="K2082" t="s">
        <v>57</v>
      </c>
    </row>
    <row r="2083" spans="1:11" x14ac:dyDescent="0.35">
      <c r="A2083" t="s">
        <v>2567</v>
      </c>
      <c r="B2083">
        <v>2025</v>
      </c>
      <c r="C2083" t="s">
        <v>1051</v>
      </c>
      <c r="D2083" t="s">
        <v>76</v>
      </c>
      <c r="E2083" t="s">
        <v>119</v>
      </c>
      <c r="F2083" t="s">
        <v>288</v>
      </c>
      <c r="G2083" t="s">
        <v>130</v>
      </c>
      <c r="H2083" t="s">
        <v>285</v>
      </c>
      <c r="I2083" t="s">
        <v>288</v>
      </c>
      <c r="J2083" t="s">
        <v>288</v>
      </c>
      <c r="K2083" t="s">
        <v>57</v>
      </c>
    </row>
    <row r="2084" spans="1:11" x14ac:dyDescent="0.35">
      <c r="A2084" t="s">
        <v>2568</v>
      </c>
      <c r="B2084">
        <v>2025</v>
      </c>
      <c r="C2084" t="s">
        <v>1051</v>
      </c>
      <c r="D2084" t="s">
        <v>76</v>
      </c>
      <c r="E2084" t="s">
        <v>119</v>
      </c>
      <c r="F2084" t="s">
        <v>131</v>
      </c>
      <c r="G2084" t="s">
        <v>128</v>
      </c>
      <c r="H2084" t="s">
        <v>285</v>
      </c>
      <c r="I2084" t="s">
        <v>86</v>
      </c>
      <c r="J2084" t="s">
        <v>326</v>
      </c>
      <c r="K2084" t="s">
        <v>57</v>
      </c>
    </row>
    <row r="2085" spans="1:11" x14ac:dyDescent="0.35">
      <c r="A2085" t="s">
        <v>2569</v>
      </c>
      <c r="B2085">
        <v>2025</v>
      </c>
      <c r="C2085" t="s">
        <v>1051</v>
      </c>
      <c r="D2085" t="s">
        <v>85</v>
      </c>
      <c r="E2085" t="s">
        <v>117</v>
      </c>
      <c r="F2085" t="s">
        <v>127</v>
      </c>
      <c r="G2085" t="s">
        <v>128</v>
      </c>
      <c r="H2085" t="s">
        <v>357</v>
      </c>
      <c r="I2085" t="s">
        <v>86</v>
      </c>
      <c r="J2085" t="s">
        <v>317</v>
      </c>
      <c r="K2085" t="s">
        <v>57</v>
      </c>
    </row>
    <row r="2086" spans="1:11" x14ac:dyDescent="0.35">
      <c r="A2086" t="s">
        <v>2570</v>
      </c>
      <c r="B2086">
        <v>2025</v>
      </c>
      <c r="C2086" t="s">
        <v>1051</v>
      </c>
      <c r="D2086" t="s">
        <v>85</v>
      </c>
      <c r="E2086" t="s">
        <v>117</v>
      </c>
      <c r="F2086" t="s">
        <v>288</v>
      </c>
      <c r="G2086" t="s">
        <v>128</v>
      </c>
      <c r="H2086" t="s">
        <v>357</v>
      </c>
      <c r="I2086" t="s">
        <v>86</v>
      </c>
      <c r="J2086" t="s">
        <v>286</v>
      </c>
      <c r="K2086" t="s">
        <v>57</v>
      </c>
    </row>
    <row r="2087" spans="1:11" x14ac:dyDescent="0.35">
      <c r="A2087" t="s">
        <v>2571</v>
      </c>
      <c r="B2087">
        <v>2025</v>
      </c>
      <c r="C2087" t="s">
        <v>1051</v>
      </c>
      <c r="D2087" t="s">
        <v>85</v>
      </c>
      <c r="E2087" t="s">
        <v>117</v>
      </c>
      <c r="F2087" t="s">
        <v>288</v>
      </c>
      <c r="G2087" t="s">
        <v>128</v>
      </c>
      <c r="H2087" t="s">
        <v>357</v>
      </c>
      <c r="I2087" t="s">
        <v>86</v>
      </c>
      <c r="J2087" t="s">
        <v>286</v>
      </c>
      <c r="K2087" t="s">
        <v>57</v>
      </c>
    </row>
    <row r="2088" spans="1:11" x14ac:dyDescent="0.35">
      <c r="A2088" t="s">
        <v>2572</v>
      </c>
      <c r="B2088">
        <v>2025</v>
      </c>
      <c r="C2088" t="s">
        <v>1051</v>
      </c>
      <c r="D2088" t="s">
        <v>85</v>
      </c>
      <c r="E2088" t="s">
        <v>117</v>
      </c>
      <c r="F2088" t="s">
        <v>288</v>
      </c>
      <c r="G2088" t="s">
        <v>128</v>
      </c>
      <c r="H2088" t="s">
        <v>357</v>
      </c>
      <c r="I2088" t="s">
        <v>86</v>
      </c>
      <c r="J2088" t="s">
        <v>286</v>
      </c>
      <c r="K2088" t="s">
        <v>57</v>
      </c>
    </row>
    <row r="2089" spans="1:11" x14ac:dyDescent="0.35">
      <c r="A2089" t="s">
        <v>266</v>
      </c>
      <c r="B2089">
        <v>2025</v>
      </c>
      <c r="C2089" t="s">
        <v>1051</v>
      </c>
      <c r="D2089" t="s">
        <v>76</v>
      </c>
      <c r="E2089" t="s">
        <v>115</v>
      </c>
      <c r="F2089" t="s">
        <v>127</v>
      </c>
      <c r="G2089" t="s">
        <v>126</v>
      </c>
      <c r="H2089" t="s">
        <v>285</v>
      </c>
      <c r="I2089" t="s">
        <v>426</v>
      </c>
      <c r="J2089" t="s">
        <v>286</v>
      </c>
      <c r="K2089" t="s">
        <v>57</v>
      </c>
    </row>
    <row r="2090" spans="1:11" x14ac:dyDescent="0.35">
      <c r="A2090" t="s">
        <v>2573</v>
      </c>
      <c r="B2090">
        <v>2025</v>
      </c>
      <c r="C2090" t="s">
        <v>1051</v>
      </c>
      <c r="D2090" t="s">
        <v>76</v>
      </c>
      <c r="E2090" t="s">
        <v>108</v>
      </c>
      <c r="F2090" t="s">
        <v>125</v>
      </c>
      <c r="G2090" t="s">
        <v>128</v>
      </c>
      <c r="H2090" t="s">
        <v>285</v>
      </c>
      <c r="I2090" t="s">
        <v>77</v>
      </c>
      <c r="J2090" t="s">
        <v>286</v>
      </c>
      <c r="K2090" t="s">
        <v>57</v>
      </c>
    </row>
    <row r="2091" spans="1:11" x14ac:dyDescent="0.35">
      <c r="A2091" t="s">
        <v>2574</v>
      </c>
      <c r="B2091">
        <v>2025</v>
      </c>
      <c r="C2091" t="s">
        <v>1051</v>
      </c>
      <c r="D2091" t="s">
        <v>85</v>
      </c>
      <c r="E2091" t="s">
        <v>116</v>
      </c>
      <c r="F2091" t="s">
        <v>133</v>
      </c>
      <c r="G2091" t="s">
        <v>130</v>
      </c>
      <c r="H2091" t="s">
        <v>285</v>
      </c>
      <c r="I2091" t="s">
        <v>288</v>
      </c>
      <c r="J2091" t="s">
        <v>288</v>
      </c>
      <c r="K2091" t="s">
        <v>57</v>
      </c>
    </row>
    <row r="2092" spans="1:11" x14ac:dyDescent="0.35">
      <c r="A2092" t="s">
        <v>2575</v>
      </c>
      <c r="B2092">
        <v>2025</v>
      </c>
      <c r="C2092" t="s">
        <v>1051</v>
      </c>
      <c r="D2092" t="s">
        <v>85</v>
      </c>
      <c r="E2092" t="s">
        <v>116</v>
      </c>
      <c r="F2092" t="s">
        <v>129</v>
      </c>
      <c r="G2092" t="s">
        <v>128</v>
      </c>
      <c r="H2092" t="s">
        <v>285</v>
      </c>
      <c r="I2092" t="s">
        <v>289</v>
      </c>
      <c r="J2092" t="s">
        <v>286</v>
      </c>
      <c r="K2092" t="s">
        <v>57</v>
      </c>
    </row>
    <row r="2093" spans="1:11" x14ac:dyDescent="0.35">
      <c r="A2093" t="s">
        <v>2576</v>
      </c>
      <c r="B2093">
        <v>2025</v>
      </c>
      <c r="C2093" t="s">
        <v>1051</v>
      </c>
      <c r="D2093" t="s">
        <v>85</v>
      </c>
      <c r="E2093" t="s">
        <v>120</v>
      </c>
      <c r="F2093" t="s">
        <v>129</v>
      </c>
      <c r="G2093" t="s">
        <v>128</v>
      </c>
      <c r="H2093" t="s">
        <v>357</v>
      </c>
      <c r="I2093" t="s">
        <v>86</v>
      </c>
      <c r="J2093" t="s">
        <v>286</v>
      </c>
      <c r="K2093" t="s">
        <v>57</v>
      </c>
    </row>
    <row r="2094" spans="1:11" x14ac:dyDescent="0.35">
      <c r="A2094" t="s">
        <v>2577</v>
      </c>
      <c r="B2094">
        <v>2025</v>
      </c>
      <c r="C2094" t="s">
        <v>1051</v>
      </c>
      <c r="D2094" t="s">
        <v>76</v>
      </c>
      <c r="E2094" t="s">
        <v>119</v>
      </c>
      <c r="F2094" t="s">
        <v>125</v>
      </c>
      <c r="G2094" t="s">
        <v>128</v>
      </c>
      <c r="H2094" t="s">
        <v>357</v>
      </c>
      <c r="I2094" t="s">
        <v>86</v>
      </c>
      <c r="J2094" t="s">
        <v>288</v>
      </c>
      <c r="K2094" t="s">
        <v>57</v>
      </c>
    </row>
    <row r="2095" spans="1:11" x14ac:dyDescent="0.35">
      <c r="A2095" t="s">
        <v>2578</v>
      </c>
      <c r="B2095">
        <v>2025</v>
      </c>
      <c r="C2095" t="s">
        <v>1051</v>
      </c>
      <c r="D2095" t="s">
        <v>85</v>
      </c>
      <c r="E2095" t="s">
        <v>117</v>
      </c>
      <c r="F2095" t="s">
        <v>129</v>
      </c>
      <c r="G2095" t="s">
        <v>128</v>
      </c>
      <c r="H2095" t="s">
        <v>357</v>
      </c>
      <c r="I2095" t="s">
        <v>86</v>
      </c>
      <c r="J2095" t="s">
        <v>571</v>
      </c>
      <c r="K2095" t="s">
        <v>42</v>
      </c>
    </row>
    <row r="2096" spans="1:11" x14ac:dyDescent="0.35">
      <c r="A2096" t="s">
        <v>2579</v>
      </c>
      <c r="B2096">
        <v>2025</v>
      </c>
      <c r="C2096" t="s">
        <v>1051</v>
      </c>
      <c r="D2096" t="s">
        <v>85</v>
      </c>
      <c r="E2096" t="s">
        <v>120</v>
      </c>
      <c r="F2096" t="s">
        <v>129</v>
      </c>
      <c r="G2096" t="s">
        <v>128</v>
      </c>
      <c r="H2096" t="s">
        <v>357</v>
      </c>
      <c r="I2096" t="s">
        <v>337</v>
      </c>
      <c r="J2096" t="s">
        <v>286</v>
      </c>
      <c r="K2096" t="s">
        <v>57</v>
      </c>
    </row>
    <row r="2097" spans="1:11" x14ac:dyDescent="0.35">
      <c r="A2097" t="s">
        <v>2580</v>
      </c>
      <c r="B2097">
        <v>2025</v>
      </c>
      <c r="C2097" t="s">
        <v>1051</v>
      </c>
      <c r="D2097" t="s">
        <v>76</v>
      </c>
      <c r="E2097" t="s">
        <v>111</v>
      </c>
      <c r="F2097" t="s">
        <v>125</v>
      </c>
      <c r="G2097" t="s">
        <v>130</v>
      </c>
      <c r="H2097" t="s">
        <v>285</v>
      </c>
      <c r="I2097" t="s">
        <v>288</v>
      </c>
      <c r="J2097" t="s">
        <v>312</v>
      </c>
      <c r="K2097" t="s">
        <v>42</v>
      </c>
    </row>
    <row r="2098" spans="1:11" x14ac:dyDescent="0.35">
      <c r="A2098" t="s">
        <v>2581</v>
      </c>
      <c r="B2098">
        <v>2025</v>
      </c>
      <c r="C2098" t="s">
        <v>1051</v>
      </c>
      <c r="D2098" t="s">
        <v>76</v>
      </c>
      <c r="E2098" t="s">
        <v>119</v>
      </c>
      <c r="F2098" t="s">
        <v>125</v>
      </c>
      <c r="G2098" t="s">
        <v>128</v>
      </c>
      <c r="H2098" t="s">
        <v>357</v>
      </c>
      <c r="I2098" t="s">
        <v>86</v>
      </c>
      <c r="J2098" t="s">
        <v>288</v>
      </c>
      <c r="K2098" t="s">
        <v>57</v>
      </c>
    </row>
    <row r="2099" spans="1:11" x14ac:dyDescent="0.35">
      <c r="A2099" t="s">
        <v>2582</v>
      </c>
      <c r="B2099">
        <v>2025</v>
      </c>
      <c r="C2099" t="s">
        <v>1051</v>
      </c>
      <c r="D2099" t="s">
        <v>85</v>
      </c>
      <c r="E2099" t="s">
        <v>120</v>
      </c>
      <c r="F2099" t="s">
        <v>129</v>
      </c>
      <c r="G2099" t="s">
        <v>128</v>
      </c>
      <c r="H2099" t="s">
        <v>357</v>
      </c>
      <c r="I2099" t="s">
        <v>289</v>
      </c>
      <c r="J2099" t="s">
        <v>286</v>
      </c>
      <c r="K2099" t="s">
        <v>57</v>
      </c>
    </row>
    <row r="2100" spans="1:11" x14ac:dyDescent="0.35">
      <c r="A2100" t="s">
        <v>2583</v>
      </c>
      <c r="B2100">
        <v>2025</v>
      </c>
      <c r="C2100" t="s">
        <v>1051</v>
      </c>
      <c r="D2100" t="s">
        <v>76</v>
      </c>
      <c r="E2100" t="s">
        <v>119</v>
      </c>
      <c r="F2100" t="s">
        <v>125</v>
      </c>
      <c r="G2100" t="s">
        <v>128</v>
      </c>
      <c r="H2100" t="s">
        <v>357</v>
      </c>
      <c r="I2100" t="s">
        <v>86</v>
      </c>
      <c r="J2100" t="s">
        <v>308</v>
      </c>
      <c r="K2100" t="s">
        <v>42</v>
      </c>
    </row>
    <row r="2101" spans="1:11" x14ac:dyDescent="0.35">
      <c r="A2101" t="s">
        <v>2584</v>
      </c>
      <c r="B2101">
        <v>2025</v>
      </c>
      <c r="C2101" t="s">
        <v>1051</v>
      </c>
      <c r="D2101" t="s">
        <v>85</v>
      </c>
      <c r="E2101" t="s">
        <v>116</v>
      </c>
      <c r="F2101" t="s">
        <v>131</v>
      </c>
      <c r="G2101" t="s">
        <v>128</v>
      </c>
      <c r="H2101" t="s">
        <v>285</v>
      </c>
      <c r="I2101" t="s">
        <v>289</v>
      </c>
      <c r="J2101" t="s">
        <v>286</v>
      </c>
      <c r="K2101" t="s">
        <v>57</v>
      </c>
    </row>
    <row r="2102" spans="1:11" x14ac:dyDescent="0.35">
      <c r="A2102" t="s">
        <v>2585</v>
      </c>
      <c r="B2102">
        <v>2025</v>
      </c>
      <c r="C2102" t="s">
        <v>1051</v>
      </c>
      <c r="D2102" t="s">
        <v>76</v>
      </c>
      <c r="E2102" t="s">
        <v>115</v>
      </c>
      <c r="F2102" t="s">
        <v>125</v>
      </c>
      <c r="G2102" t="s">
        <v>128</v>
      </c>
      <c r="H2102" t="s">
        <v>285</v>
      </c>
      <c r="I2102" t="s">
        <v>77</v>
      </c>
      <c r="J2102" t="s">
        <v>447</v>
      </c>
      <c r="K2102" t="s">
        <v>57</v>
      </c>
    </row>
    <row r="2103" spans="1:11" x14ac:dyDescent="0.35">
      <c r="A2103" t="s">
        <v>2586</v>
      </c>
      <c r="B2103">
        <v>2025</v>
      </c>
      <c r="C2103" t="s">
        <v>1051</v>
      </c>
      <c r="D2103" t="s">
        <v>85</v>
      </c>
      <c r="E2103" t="s">
        <v>116</v>
      </c>
      <c r="F2103" t="s">
        <v>125</v>
      </c>
      <c r="G2103" t="s">
        <v>128</v>
      </c>
      <c r="H2103" t="s">
        <v>357</v>
      </c>
      <c r="I2103" t="s">
        <v>86</v>
      </c>
      <c r="J2103" t="s">
        <v>286</v>
      </c>
      <c r="K2103" t="s">
        <v>57</v>
      </c>
    </row>
    <row r="2104" spans="1:11" x14ac:dyDescent="0.35">
      <c r="A2104" t="s">
        <v>2587</v>
      </c>
      <c r="B2104">
        <v>2025</v>
      </c>
      <c r="C2104" t="s">
        <v>1051</v>
      </c>
      <c r="D2104" t="s">
        <v>85</v>
      </c>
      <c r="E2104" t="s">
        <v>115</v>
      </c>
      <c r="F2104" t="s">
        <v>129</v>
      </c>
      <c r="G2104" t="s">
        <v>126</v>
      </c>
      <c r="H2104" t="s">
        <v>357</v>
      </c>
      <c r="I2104" t="s">
        <v>289</v>
      </c>
      <c r="J2104" t="s">
        <v>447</v>
      </c>
      <c r="K2104" t="s">
        <v>57</v>
      </c>
    </row>
    <row r="2105" spans="1:11" x14ac:dyDescent="0.35">
      <c r="A2105" t="s">
        <v>2588</v>
      </c>
      <c r="B2105">
        <v>2025</v>
      </c>
      <c r="C2105" t="s">
        <v>1051</v>
      </c>
      <c r="D2105" t="s">
        <v>85</v>
      </c>
      <c r="E2105" t="s">
        <v>120</v>
      </c>
      <c r="F2105" t="s">
        <v>129</v>
      </c>
      <c r="G2105" t="s">
        <v>128</v>
      </c>
      <c r="H2105" t="s">
        <v>305</v>
      </c>
      <c r="I2105" t="s">
        <v>86</v>
      </c>
      <c r="J2105" t="s">
        <v>288</v>
      </c>
      <c r="K2105" t="s">
        <v>57</v>
      </c>
    </row>
    <row r="2106" spans="1:11" x14ac:dyDescent="0.35">
      <c r="A2106" t="s">
        <v>2589</v>
      </c>
      <c r="B2106">
        <v>2025</v>
      </c>
      <c r="C2106" t="s">
        <v>1051</v>
      </c>
      <c r="D2106" t="s">
        <v>76</v>
      </c>
      <c r="E2106" t="s">
        <v>119</v>
      </c>
      <c r="F2106" t="s">
        <v>131</v>
      </c>
      <c r="G2106" t="s">
        <v>128</v>
      </c>
      <c r="H2106" t="s">
        <v>357</v>
      </c>
      <c r="I2106" t="s">
        <v>86</v>
      </c>
      <c r="J2106" t="s">
        <v>2590</v>
      </c>
      <c r="K2106" t="s">
        <v>42</v>
      </c>
    </row>
    <row r="2107" spans="1:11" x14ac:dyDescent="0.35">
      <c r="A2107" t="s">
        <v>2591</v>
      </c>
      <c r="B2107">
        <v>2025</v>
      </c>
      <c r="C2107" t="s">
        <v>1051</v>
      </c>
      <c r="D2107" t="s">
        <v>85</v>
      </c>
      <c r="E2107" t="s">
        <v>377</v>
      </c>
      <c r="F2107" t="s">
        <v>129</v>
      </c>
      <c r="G2107" t="s">
        <v>126</v>
      </c>
      <c r="H2107" t="s">
        <v>305</v>
      </c>
      <c r="I2107" t="s">
        <v>77</v>
      </c>
      <c r="J2107" t="s">
        <v>409</v>
      </c>
      <c r="K2107" t="s">
        <v>57</v>
      </c>
    </row>
    <row r="2108" spans="1:11" x14ac:dyDescent="0.35">
      <c r="A2108" t="s">
        <v>2592</v>
      </c>
      <c r="B2108">
        <v>2025</v>
      </c>
      <c r="C2108" t="s">
        <v>1051</v>
      </c>
      <c r="D2108" t="s">
        <v>76</v>
      </c>
      <c r="E2108" t="s">
        <v>119</v>
      </c>
      <c r="F2108" t="s">
        <v>129</v>
      </c>
      <c r="G2108" t="s">
        <v>128</v>
      </c>
      <c r="H2108" t="s">
        <v>285</v>
      </c>
      <c r="I2108" t="s">
        <v>86</v>
      </c>
      <c r="J2108" t="s">
        <v>306</v>
      </c>
      <c r="K2108" t="s">
        <v>57</v>
      </c>
    </row>
    <row r="2109" spans="1:11" x14ac:dyDescent="0.35">
      <c r="A2109" t="s">
        <v>2593</v>
      </c>
      <c r="B2109">
        <v>2025</v>
      </c>
      <c r="C2109" t="s">
        <v>1051</v>
      </c>
      <c r="D2109" t="s">
        <v>85</v>
      </c>
      <c r="E2109" t="s">
        <v>116</v>
      </c>
      <c r="F2109" t="s">
        <v>131</v>
      </c>
      <c r="G2109" t="s">
        <v>128</v>
      </c>
      <c r="H2109" t="s">
        <v>285</v>
      </c>
      <c r="I2109" t="s">
        <v>288</v>
      </c>
      <c r="J2109" t="s">
        <v>286</v>
      </c>
      <c r="K2109" t="s">
        <v>57</v>
      </c>
    </row>
    <row r="2110" spans="1:11" x14ac:dyDescent="0.35">
      <c r="A2110" t="s">
        <v>2594</v>
      </c>
      <c r="B2110">
        <v>2025</v>
      </c>
      <c r="C2110" t="s">
        <v>1051</v>
      </c>
      <c r="D2110" t="s">
        <v>76</v>
      </c>
      <c r="E2110" t="s">
        <v>119</v>
      </c>
      <c r="F2110" t="s">
        <v>125</v>
      </c>
      <c r="G2110" t="s">
        <v>132</v>
      </c>
      <c r="H2110" t="s">
        <v>357</v>
      </c>
      <c r="I2110" t="s">
        <v>288</v>
      </c>
      <c r="J2110" t="s">
        <v>288</v>
      </c>
      <c r="K2110" t="s">
        <v>57</v>
      </c>
    </row>
    <row r="2111" spans="1:11" x14ac:dyDescent="0.35">
      <c r="A2111" t="s">
        <v>2595</v>
      </c>
      <c r="B2111">
        <v>2025</v>
      </c>
      <c r="C2111" t="s">
        <v>1051</v>
      </c>
      <c r="D2111" t="s">
        <v>76</v>
      </c>
      <c r="E2111" t="s">
        <v>115</v>
      </c>
      <c r="F2111" t="s">
        <v>133</v>
      </c>
      <c r="G2111" t="s">
        <v>132</v>
      </c>
      <c r="H2111" t="s">
        <v>285</v>
      </c>
      <c r="I2111" t="s">
        <v>1110</v>
      </c>
      <c r="J2111" t="s">
        <v>326</v>
      </c>
      <c r="K2111" t="s">
        <v>57</v>
      </c>
    </row>
    <row r="2112" spans="1:11" x14ac:dyDescent="0.35">
      <c r="A2112" t="s">
        <v>2596</v>
      </c>
      <c r="B2112">
        <v>2025</v>
      </c>
      <c r="C2112" t="s">
        <v>1051</v>
      </c>
      <c r="D2112" t="s">
        <v>85</v>
      </c>
      <c r="E2112" t="s">
        <v>117</v>
      </c>
      <c r="F2112" t="s">
        <v>133</v>
      </c>
      <c r="G2112" t="s">
        <v>128</v>
      </c>
      <c r="H2112" t="s">
        <v>305</v>
      </c>
      <c r="I2112" t="s">
        <v>289</v>
      </c>
      <c r="J2112" t="s">
        <v>286</v>
      </c>
      <c r="K2112" t="s">
        <v>57</v>
      </c>
    </row>
    <row r="2113" spans="1:11" x14ac:dyDescent="0.35">
      <c r="A2113" t="s">
        <v>2597</v>
      </c>
      <c r="B2113">
        <v>2025</v>
      </c>
      <c r="C2113" t="s">
        <v>1051</v>
      </c>
      <c r="D2113" t="s">
        <v>85</v>
      </c>
      <c r="E2113" t="s">
        <v>116</v>
      </c>
      <c r="F2113" t="s">
        <v>125</v>
      </c>
      <c r="G2113" t="s">
        <v>128</v>
      </c>
      <c r="H2113" t="s">
        <v>285</v>
      </c>
      <c r="I2113" t="s">
        <v>77</v>
      </c>
      <c r="J2113" t="s">
        <v>409</v>
      </c>
      <c r="K2113" t="s">
        <v>57</v>
      </c>
    </row>
    <row r="2114" spans="1:11" x14ac:dyDescent="0.35">
      <c r="A2114" t="s">
        <v>2598</v>
      </c>
      <c r="B2114">
        <v>2025</v>
      </c>
      <c r="C2114" t="s">
        <v>1051</v>
      </c>
      <c r="D2114" t="s">
        <v>76</v>
      </c>
      <c r="E2114" t="s">
        <v>360</v>
      </c>
      <c r="F2114" t="s">
        <v>127</v>
      </c>
      <c r="G2114" t="s">
        <v>130</v>
      </c>
      <c r="H2114" t="s">
        <v>357</v>
      </c>
      <c r="I2114" t="s">
        <v>288</v>
      </c>
      <c r="J2114" t="s">
        <v>286</v>
      </c>
      <c r="K2114" t="s">
        <v>57</v>
      </c>
    </row>
    <row r="2115" spans="1:11" x14ac:dyDescent="0.35">
      <c r="A2115" t="s">
        <v>2599</v>
      </c>
      <c r="B2115">
        <v>2025</v>
      </c>
      <c r="C2115" t="s">
        <v>1051</v>
      </c>
      <c r="D2115" t="s">
        <v>76</v>
      </c>
      <c r="E2115" t="s">
        <v>119</v>
      </c>
      <c r="F2115" t="s">
        <v>127</v>
      </c>
      <c r="G2115" t="s">
        <v>126</v>
      </c>
      <c r="H2115" t="s">
        <v>285</v>
      </c>
      <c r="I2115" t="s">
        <v>86</v>
      </c>
      <c r="J2115" t="s">
        <v>317</v>
      </c>
      <c r="K2115" t="s">
        <v>57</v>
      </c>
    </row>
    <row r="2116" spans="1:11" x14ac:dyDescent="0.35">
      <c r="A2116" t="s">
        <v>2600</v>
      </c>
      <c r="B2116">
        <v>2025</v>
      </c>
      <c r="C2116" t="s">
        <v>1051</v>
      </c>
      <c r="D2116" t="s">
        <v>85</v>
      </c>
      <c r="E2116" t="s">
        <v>116</v>
      </c>
      <c r="F2116" t="s">
        <v>129</v>
      </c>
      <c r="G2116" t="s">
        <v>130</v>
      </c>
      <c r="H2116" t="s">
        <v>357</v>
      </c>
      <c r="I2116" t="s">
        <v>289</v>
      </c>
      <c r="J2116" t="s">
        <v>286</v>
      </c>
      <c r="K2116" t="s">
        <v>57</v>
      </c>
    </row>
    <row r="2117" spans="1:11" x14ac:dyDescent="0.35">
      <c r="A2117" t="s">
        <v>2601</v>
      </c>
      <c r="B2117">
        <v>2025</v>
      </c>
      <c r="C2117" t="s">
        <v>1051</v>
      </c>
      <c r="D2117" t="s">
        <v>76</v>
      </c>
      <c r="E2117" t="s">
        <v>119</v>
      </c>
      <c r="F2117" t="s">
        <v>125</v>
      </c>
      <c r="G2117" t="s">
        <v>128</v>
      </c>
      <c r="H2117" t="s">
        <v>285</v>
      </c>
      <c r="I2117" t="s">
        <v>77</v>
      </c>
      <c r="J2117" t="s">
        <v>409</v>
      </c>
      <c r="K2117" t="s">
        <v>57</v>
      </c>
    </row>
    <row r="2118" spans="1:11" x14ac:dyDescent="0.35">
      <c r="A2118" t="s">
        <v>2602</v>
      </c>
      <c r="B2118">
        <v>2025</v>
      </c>
      <c r="C2118" t="s">
        <v>1051</v>
      </c>
      <c r="D2118" t="s">
        <v>76</v>
      </c>
      <c r="E2118" t="s">
        <v>115</v>
      </c>
      <c r="F2118" t="s">
        <v>127</v>
      </c>
      <c r="G2118" t="s">
        <v>130</v>
      </c>
      <c r="H2118" t="s">
        <v>357</v>
      </c>
      <c r="I2118" t="s">
        <v>77</v>
      </c>
      <c r="J2118" t="s">
        <v>286</v>
      </c>
      <c r="K2118" t="s">
        <v>57</v>
      </c>
    </row>
    <row r="2119" spans="1:11" x14ac:dyDescent="0.35">
      <c r="A2119" t="s">
        <v>2603</v>
      </c>
      <c r="B2119">
        <v>2025</v>
      </c>
      <c r="C2119" t="s">
        <v>1051</v>
      </c>
      <c r="D2119" t="s">
        <v>76</v>
      </c>
      <c r="E2119" t="s">
        <v>119</v>
      </c>
      <c r="F2119" t="s">
        <v>129</v>
      </c>
      <c r="G2119" t="s">
        <v>132</v>
      </c>
      <c r="H2119" t="s">
        <v>357</v>
      </c>
      <c r="I2119" t="s">
        <v>638</v>
      </c>
      <c r="J2119" t="s">
        <v>286</v>
      </c>
      <c r="K2119" t="s">
        <v>57</v>
      </c>
    </row>
    <row r="2120" spans="1:11" x14ac:dyDescent="0.35">
      <c r="A2120" t="s">
        <v>2604</v>
      </c>
      <c r="B2120">
        <v>2025</v>
      </c>
      <c r="C2120" t="s">
        <v>1051</v>
      </c>
      <c r="D2120" t="s">
        <v>76</v>
      </c>
      <c r="E2120" t="s">
        <v>115</v>
      </c>
      <c r="F2120" t="s">
        <v>127</v>
      </c>
      <c r="G2120" t="s">
        <v>132</v>
      </c>
      <c r="H2120" t="s">
        <v>357</v>
      </c>
      <c r="I2120" t="s">
        <v>86</v>
      </c>
      <c r="J2120" t="s">
        <v>286</v>
      </c>
      <c r="K2120" t="s">
        <v>57</v>
      </c>
    </row>
    <row r="2121" spans="1:11" x14ac:dyDescent="0.35">
      <c r="A2121" t="s">
        <v>2605</v>
      </c>
      <c r="B2121">
        <v>2025</v>
      </c>
      <c r="C2121" t="s">
        <v>1051</v>
      </c>
      <c r="D2121" t="s">
        <v>76</v>
      </c>
      <c r="E2121" t="s">
        <v>108</v>
      </c>
      <c r="F2121" t="s">
        <v>125</v>
      </c>
      <c r="G2121" t="s">
        <v>128</v>
      </c>
      <c r="H2121" t="s">
        <v>285</v>
      </c>
      <c r="I2121" t="s">
        <v>77</v>
      </c>
      <c r="J2121" t="s">
        <v>286</v>
      </c>
      <c r="K2121" t="s">
        <v>57</v>
      </c>
    </row>
    <row r="2122" spans="1:11" x14ac:dyDescent="0.35">
      <c r="A2122" t="s">
        <v>2606</v>
      </c>
      <c r="B2122">
        <v>2025</v>
      </c>
      <c r="C2122" t="s">
        <v>1051</v>
      </c>
      <c r="D2122" t="s">
        <v>85</v>
      </c>
      <c r="E2122" t="s">
        <v>117</v>
      </c>
      <c r="F2122" t="s">
        <v>131</v>
      </c>
      <c r="G2122" t="s">
        <v>128</v>
      </c>
      <c r="H2122" t="s">
        <v>305</v>
      </c>
      <c r="I2122" t="s">
        <v>289</v>
      </c>
      <c r="J2122" t="s">
        <v>286</v>
      </c>
      <c r="K2122" t="s">
        <v>57</v>
      </c>
    </row>
    <row r="2123" spans="1:11" x14ac:dyDescent="0.35">
      <c r="A2123" t="s">
        <v>2607</v>
      </c>
      <c r="B2123">
        <v>2025</v>
      </c>
      <c r="C2123" t="s">
        <v>1051</v>
      </c>
      <c r="D2123" t="s">
        <v>76</v>
      </c>
      <c r="E2123" t="s">
        <v>119</v>
      </c>
      <c r="F2123" t="s">
        <v>125</v>
      </c>
      <c r="G2123" t="s">
        <v>128</v>
      </c>
      <c r="H2123" t="s">
        <v>357</v>
      </c>
      <c r="I2123" t="s">
        <v>77</v>
      </c>
      <c r="J2123" t="s">
        <v>286</v>
      </c>
      <c r="K2123" t="s">
        <v>57</v>
      </c>
    </row>
    <row r="2124" spans="1:11" x14ac:dyDescent="0.35">
      <c r="A2124" t="s">
        <v>2608</v>
      </c>
      <c r="B2124">
        <v>2025</v>
      </c>
      <c r="C2124" t="s">
        <v>1051</v>
      </c>
      <c r="D2124" t="s">
        <v>85</v>
      </c>
      <c r="E2124" t="s">
        <v>377</v>
      </c>
      <c r="F2124" t="s">
        <v>125</v>
      </c>
      <c r="G2124" t="s">
        <v>126</v>
      </c>
      <c r="H2124" t="s">
        <v>285</v>
      </c>
      <c r="I2124" t="s">
        <v>288</v>
      </c>
      <c r="J2124" t="s">
        <v>286</v>
      </c>
      <c r="K2124" t="s">
        <v>57</v>
      </c>
    </row>
    <row r="2125" spans="1:11" x14ac:dyDescent="0.35">
      <c r="A2125" t="s">
        <v>2609</v>
      </c>
      <c r="B2125">
        <v>2025</v>
      </c>
      <c r="C2125" t="s">
        <v>1051</v>
      </c>
      <c r="D2125" t="s">
        <v>85</v>
      </c>
      <c r="E2125" t="s">
        <v>120</v>
      </c>
      <c r="F2125" t="s">
        <v>125</v>
      </c>
      <c r="G2125" t="s">
        <v>126</v>
      </c>
      <c r="H2125" t="s">
        <v>285</v>
      </c>
      <c r="I2125" t="s">
        <v>288</v>
      </c>
      <c r="J2125" t="s">
        <v>288</v>
      </c>
      <c r="K2125" t="s">
        <v>57</v>
      </c>
    </row>
    <row r="2126" spans="1:11" x14ac:dyDescent="0.35">
      <c r="A2126" t="s">
        <v>2610</v>
      </c>
      <c r="B2126">
        <v>2025</v>
      </c>
      <c r="C2126" t="s">
        <v>1051</v>
      </c>
      <c r="D2126" t="s">
        <v>76</v>
      </c>
      <c r="E2126" t="s">
        <v>119</v>
      </c>
      <c r="F2126" t="s">
        <v>125</v>
      </c>
      <c r="G2126" t="s">
        <v>130</v>
      </c>
      <c r="H2126" t="s">
        <v>285</v>
      </c>
      <c r="I2126" t="s">
        <v>77</v>
      </c>
      <c r="J2126" t="s">
        <v>286</v>
      </c>
      <c r="K2126" t="s">
        <v>57</v>
      </c>
    </row>
    <row r="2127" spans="1:11" x14ac:dyDescent="0.35">
      <c r="A2127" t="s">
        <v>2611</v>
      </c>
      <c r="B2127">
        <v>2025</v>
      </c>
      <c r="C2127" t="s">
        <v>1051</v>
      </c>
      <c r="D2127" t="s">
        <v>85</v>
      </c>
      <c r="E2127" t="s">
        <v>120</v>
      </c>
      <c r="F2127" t="s">
        <v>131</v>
      </c>
      <c r="G2127" t="s">
        <v>132</v>
      </c>
      <c r="H2127" t="s">
        <v>285</v>
      </c>
      <c r="I2127" t="s">
        <v>77</v>
      </c>
      <c r="J2127" t="s">
        <v>286</v>
      </c>
      <c r="K2127" t="s">
        <v>57</v>
      </c>
    </row>
    <row r="2128" spans="1:11" x14ac:dyDescent="0.35">
      <c r="A2128" t="s">
        <v>2612</v>
      </c>
      <c r="B2128">
        <v>2025</v>
      </c>
      <c r="C2128" t="s">
        <v>1051</v>
      </c>
      <c r="D2128" t="s">
        <v>76</v>
      </c>
      <c r="E2128" t="s">
        <v>115</v>
      </c>
      <c r="F2128" t="s">
        <v>125</v>
      </c>
      <c r="G2128" t="s">
        <v>126</v>
      </c>
      <c r="H2128" t="s">
        <v>357</v>
      </c>
      <c r="I2128" t="s">
        <v>86</v>
      </c>
      <c r="J2128" t="s">
        <v>286</v>
      </c>
      <c r="K2128" t="s">
        <v>57</v>
      </c>
    </row>
    <row r="2129" spans="1:11" x14ac:dyDescent="0.35">
      <c r="A2129" t="s">
        <v>2613</v>
      </c>
      <c r="B2129">
        <v>2025</v>
      </c>
      <c r="C2129" t="s">
        <v>1051</v>
      </c>
      <c r="D2129" t="s">
        <v>76</v>
      </c>
      <c r="E2129" t="s">
        <v>109</v>
      </c>
      <c r="F2129" t="s">
        <v>127</v>
      </c>
      <c r="G2129" t="s">
        <v>128</v>
      </c>
      <c r="H2129" t="s">
        <v>285</v>
      </c>
      <c r="I2129" t="s">
        <v>77</v>
      </c>
      <c r="J2129" t="s">
        <v>286</v>
      </c>
      <c r="K2129" t="s">
        <v>57</v>
      </c>
    </row>
    <row r="2130" spans="1:11" x14ac:dyDescent="0.35">
      <c r="A2130" t="s">
        <v>2614</v>
      </c>
      <c r="B2130">
        <v>2025</v>
      </c>
      <c r="C2130" t="s">
        <v>1051</v>
      </c>
      <c r="D2130" t="s">
        <v>85</v>
      </c>
      <c r="E2130" t="s">
        <v>117</v>
      </c>
      <c r="F2130" t="s">
        <v>129</v>
      </c>
      <c r="G2130" t="s">
        <v>128</v>
      </c>
      <c r="H2130" t="s">
        <v>285</v>
      </c>
      <c r="I2130" t="s">
        <v>77</v>
      </c>
      <c r="J2130" t="s">
        <v>286</v>
      </c>
      <c r="K2130" t="s">
        <v>57</v>
      </c>
    </row>
    <row r="2131" spans="1:11" x14ac:dyDescent="0.35">
      <c r="A2131" t="s">
        <v>2615</v>
      </c>
      <c r="B2131">
        <v>2025</v>
      </c>
      <c r="C2131" t="s">
        <v>1051</v>
      </c>
      <c r="D2131" t="s">
        <v>85</v>
      </c>
      <c r="E2131" t="s">
        <v>116</v>
      </c>
      <c r="F2131" t="s">
        <v>129</v>
      </c>
      <c r="G2131" t="s">
        <v>126</v>
      </c>
      <c r="H2131" t="s">
        <v>285</v>
      </c>
      <c r="I2131" t="s">
        <v>289</v>
      </c>
      <c r="J2131" t="s">
        <v>286</v>
      </c>
      <c r="K2131" t="s">
        <v>57</v>
      </c>
    </row>
    <row r="2132" spans="1:11" x14ac:dyDescent="0.35">
      <c r="A2132" t="s">
        <v>2616</v>
      </c>
      <c r="B2132">
        <v>2025</v>
      </c>
      <c r="C2132" t="s">
        <v>1051</v>
      </c>
      <c r="D2132" t="s">
        <v>85</v>
      </c>
      <c r="E2132" t="s">
        <v>377</v>
      </c>
      <c r="F2132" t="s">
        <v>127</v>
      </c>
      <c r="G2132" t="s">
        <v>126</v>
      </c>
      <c r="H2132" t="s">
        <v>285</v>
      </c>
      <c r="I2132" t="s">
        <v>77</v>
      </c>
      <c r="J2132" t="s">
        <v>317</v>
      </c>
      <c r="K2132" t="s">
        <v>57</v>
      </c>
    </row>
    <row r="2133" spans="1:11" x14ac:dyDescent="0.35">
      <c r="A2133" t="s">
        <v>2617</v>
      </c>
      <c r="B2133">
        <v>2025</v>
      </c>
      <c r="C2133" t="s">
        <v>1051</v>
      </c>
      <c r="D2133" t="s">
        <v>76</v>
      </c>
      <c r="E2133" t="s">
        <v>110</v>
      </c>
      <c r="F2133" t="s">
        <v>125</v>
      </c>
      <c r="G2133" t="s">
        <v>128</v>
      </c>
      <c r="H2133" t="s">
        <v>357</v>
      </c>
      <c r="I2133" t="s">
        <v>499</v>
      </c>
      <c r="J2133" t="s">
        <v>308</v>
      </c>
      <c r="K2133" t="s">
        <v>42</v>
      </c>
    </row>
    <row r="2134" spans="1:11" x14ac:dyDescent="0.35">
      <c r="A2134" t="s">
        <v>2618</v>
      </c>
      <c r="B2134">
        <v>2025</v>
      </c>
      <c r="C2134" t="s">
        <v>1051</v>
      </c>
      <c r="D2134" t="s">
        <v>85</v>
      </c>
      <c r="E2134" t="s">
        <v>116</v>
      </c>
      <c r="F2134" t="s">
        <v>125</v>
      </c>
      <c r="G2134" t="s">
        <v>126</v>
      </c>
      <c r="H2134" t="s">
        <v>285</v>
      </c>
      <c r="I2134" t="s">
        <v>333</v>
      </c>
      <c r="J2134" t="s">
        <v>2006</v>
      </c>
      <c r="K2134" t="s">
        <v>57</v>
      </c>
    </row>
    <row r="2135" spans="1:11" x14ac:dyDescent="0.35">
      <c r="A2135" t="s">
        <v>2619</v>
      </c>
      <c r="B2135">
        <v>2025</v>
      </c>
      <c r="C2135" t="s">
        <v>1051</v>
      </c>
      <c r="D2135" t="s">
        <v>76</v>
      </c>
      <c r="E2135" t="s">
        <v>115</v>
      </c>
      <c r="F2135" t="s">
        <v>129</v>
      </c>
      <c r="G2135" t="s">
        <v>128</v>
      </c>
      <c r="H2135" t="s">
        <v>357</v>
      </c>
      <c r="I2135" t="s">
        <v>289</v>
      </c>
      <c r="J2135" t="s">
        <v>286</v>
      </c>
      <c r="K2135" t="s">
        <v>57</v>
      </c>
    </row>
    <row r="2136" spans="1:11" x14ac:dyDescent="0.35">
      <c r="A2136" t="s">
        <v>2620</v>
      </c>
      <c r="B2136">
        <v>2025</v>
      </c>
      <c r="C2136" t="s">
        <v>1051</v>
      </c>
      <c r="D2136" t="s">
        <v>85</v>
      </c>
      <c r="E2136" t="s">
        <v>377</v>
      </c>
      <c r="F2136" t="s">
        <v>127</v>
      </c>
      <c r="G2136" t="s">
        <v>132</v>
      </c>
      <c r="H2136" t="s">
        <v>285</v>
      </c>
      <c r="I2136" t="s">
        <v>333</v>
      </c>
      <c r="J2136" t="s">
        <v>515</v>
      </c>
      <c r="K2136" t="s">
        <v>57</v>
      </c>
    </row>
    <row r="2137" spans="1:11" x14ac:dyDescent="0.35">
      <c r="A2137" t="s">
        <v>2621</v>
      </c>
      <c r="B2137">
        <v>2025</v>
      </c>
      <c r="C2137" t="s">
        <v>1051</v>
      </c>
      <c r="D2137" t="s">
        <v>76</v>
      </c>
      <c r="E2137" t="s">
        <v>110</v>
      </c>
      <c r="F2137" t="s">
        <v>125</v>
      </c>
      <c r="G2137" t="s">
        <v>128</v>
      </c>
      <c r="H2137" t="s">
        <v>357</v>
      </c>
      <c r="I2137" t="s">
        <v>86</v>
      </c>
      <c r="J2137" t="s">
        <v>286</v>
      </c>
      <c r="K2137" t="s">
        <v>57</v>
      </c>
    </row>
    <row r="2138" spans="1:11" x14ac:dyDescent="0.35">
      <c r="A2138" t="s">
        <v>2622</v>
      </c>
      <c r="B2138">
        <v>2025</v>
      </c>
      <c r="C2138" t="s">
        <v>1051</v>
      </c>
      <c r="D2138" t="s">
        <v>76</v>
      </c>
      <c r="E2138" t="s">
        <v>119</v>
      </c>
      <c r="F2138" t="s">
        <v>125</v>
      </c>
      <c r="G2138" t="s">
        <v>128</v>
      </c>
      <c r="H2138" t="s">
        <v>285</v>
      </c>
      <c r="I2138" t="s">
        <v>86</v>
      </c>
      <c r="J2138" t="s">
        <v>286</v>
      </c>
      <c r="K2138" t="s">
        <v>57</v>
      </c>
    </row>
    <row r="2139" spans="1:11" x14ac:dyDescent="0.35">
      <c r="A2139" t="s">
        <v>2623</v>
      </c>
      <c r="B2139">
        <v>2025</v>
      </c>
      <c r="C2139" t="s">
        <v>1051</v>
      </c>
      <c r="D2139" t="s">
        <v>76</v>
      </c>
      <c r="E2139" t="s">
        <v>115</v>
      </c>
      <c r="F2139" t="s">
        <v>127</v>
      </c>
      <c r="G2139" t="s">
        <v>130</v>
      </c>
      <c r="H2139" t="s">
        <v>357</v>
      </c>
      <c r="I2139" t="s">
        <v>77</v>
      </c>
      <c r="J2139" t="s">
        <v>405</v>
      </c>
      <c r="K2139" t="s">
        <v>57</v>
      </c>
    </row>
    <row r="2140" spans="1:11" x14ac:dyDescent="0.35">
      <c r="A2140" t="s">
        <v>2624</v>
      </c>
      <c r="B2140">
        <v>2025</v>
      </c>
      <c r="C2140" t="s">
        <v>1051</v>
      </c>
      <c r="D2140" t="s">
        <v>85</v>
      </c>
      <c r="E2140" t="s">
        <v>116</v>
      </c>
      <c r="F2140" t="s">
        <v>129</v>
      </c>
      <c r="G2140" t="s">
        <v>126</v>
      </c>
      <c r="H2140" t="s">
        <v>285</v>
      </c>
      <c r="I2140" t="s">
        <v>289</v>
      </c>
      <c r="J2140" t="s">
        <v>286</v>
      </c>
      <c r="K2140" t="s">
        <v>57</v>
      </c>
    </row>
    <row r="2141" spans="1:11" x14ac:dyDescent="0.35">
      <c r="A2141" t="s">
        <v>2625</v>
      </c>
      <c r="B2141">
        <v>2025</v>
      </c>
      <c r="C2141" t="s">
        <v>1051</v>
      </c>
      <c r="D2141" t="s">
        <v>76</v>
      </c>
      <c r="E2141" t="s">
        <v>113</v>
      </c>
      <c r="F2141" t="s">
        <v>127</v>
      </c>
      <c r="G2141" t="s">
        <v>126</v>
      </c>
      <c r="H2141" t="s">
        <v>357</v>
      </c>
      <c r="I2141" t="s">
        <v>86</v>
      </c>
      <c r="J2141" t="s">
        <v>317</v>
      </c>
      <c r="K2141" t="s">
        <v>57</v>
      </c>
    </row>
    <row r="2142" spans="1:11" x14ac:dyDescent="0.35">
      <c r="A2142" t="s">
        <v>2626</v>
      </c>
      <c r="B2142">
        <v>2025</v>
      </c>
      <c r="C2142" t="s">
        <v>1051</v>
      </c>
      <c r="D2142" t="s">
        <v>85</v>
      </c>
      <c r="E2142" t="s">
        <v>117</v>
      </c>
      <c r="F2142" t="s">
        <v>131</v>
      </c>
      <c r="G2142" t="s">
        <v>132</v>
      </c>
      <c r="H2142" t="s">
        <v>285</v>
      </c>
      <c r="I2142" t="s">
        <v>77</v>
      </c>
      <c r="J2142" t="s">
        <v>286</v>
      </c>
      <c r="K2142" t="s">
        <v>57</v>
      </c>
    </row>
    <row r="2143" spans="1:11" x14ac:dyDescent="0.35">
      <c r="A2143" t="s">
        <v>2627</v>
      </c>
      <c r="B2143">
        <v>2025</v>
      </c>
      <c r="C2143" t="s">
        <v>1051</v>
      </c>
      <c r="D2143" t="s">
        <v>76</v>
      </c>
      <c r="E2143" t="s">
        <v>107</v>
      </c>
      <c r="F2143" t="s">
        <v>125</v>
      </c>
      <c r="G2143" t="s">
        <v>126</v>
      </c>
      <c r="H2143" t="s">
        <v>357</v>
      </c>
      <c r="I2143" t="s">
        <v>77</v>
      </c>
      <c r="J2143" t="s">
        <v>286</v>
      </c>
      <c r="K2143" t="s">
        <v>57</v>
      </c>
    </row>
    <row r="2144" spans="1:11" x14ac:dyDescent="0.35">
      <c r="A2144" t="s">
        <v>2628</v>
      </c>
      <c r="B2144">
        <v>2025</v>
      </c>
      <c r="C2144" t="s">
        <v>1051</v>
      </c>
      <c r="D2144" t="s">
        <v>85</v>
      </c>
      <c r="E2144" t="s">
        <v>116</v>
      </c>
      <c r="F2144" t="s">
        <v>125</v>
      </c>
      <c r="G2144" t="s">
        <v>128</v>
      </c>
      <c r="H2144" t="s">
        <v>285</v>
      </c>
      <c r="I2144" t="s">
        <v>86</v>
      </c>
      <c r="J2144" t="s">
        <v>361</v>
      </c>
      <c r="K2144" t="s">
        <v>57</v>
      </c>
    </row>
    <row r="2145" spans="1:11" x14ac:dyDescent="0.35">
      <c r="A2145" t="s">
        <v>2629</v>
      </c>
      <c r="B2145">
        <v>2025</v>
      </c>
      <c r="C2145" t="s">
        <v>1051</v>
      </c>
      <c r="D2145" t="s">
        <v>85</v>
      </c>
      <c r="E2145" t="s">
        <v>116</v>
      </c>
      <c r="F2145" t="s">
        <v>129</v>
      </c>
      <c r="G2145" t="s">
        <v>128</v>
      </c>
      <c r="H2145" t="s">
        <v>285</v>
      </c>
      <c r="I2145" t="s">
        <v>289</v>
      </c>
      <c r="J2145" t="s">
        <v>405</v>
      </c>
      <c r="K2145" t="s">
        <v>57</v>
      </c>
    </row>
    <row r="2146" spans="1:11" x14ac:dyDescent="0.35">
      <c r="A2146" t="s">
        <v>2630</v>
      </c>
      <c r="B2146">
        <v>2025</v>
      </c>
      <c r="C2146" t="s">
        <v>1051</v>
      </c>
      <c r="D2146" t="s">
        <v>85</v>
      </c>
      <c r="E2146" t="s">
        <v>116</v>
      </c>
      <c r="F2146" t="s">
        <v>125</v>
      </c>
      <c r="G2146" t="s">
        <v>128</v>
      </c>
      <c r="H2146" t="s">
        <v>285</v>
      </c>
      <c r="I2146" t="s">
        <v>86</v>
      </c>
      <c r="J2146" t="s">
        <v>286</v>
      </c>
      <c r="K2146" t="s">
        <v>57</v>
      </c>
    </row>
    <row r="2147" spans="1:11" x14ac:dyDescent="0.35">
      <c r="A2147" t="s">
        <v>2631</v>
      </c>
      <c r="B2147">
        <v>2025</v>
      </c>
      <c r="C2147" t="s">
        <v>1051</v>
      </c>
      <c r="D2147" t="s">
        <v>85</v>
      </c>
      <c r="E2147" t="s">
        <v>377</v>
      </c>
      <c r="F2147" t="s">
        <v>131</v>
      </c>
      <c r="G2147" t="s">
        <v>130</v>
      </c>
      <c r="H2147" t="s">
        <v>357</v>
      </c>
      <c r="I2147" t="s">
        <v>288</v>
      </c>
      <c r="J2147" t="s">
        <v>288</v>
      </c>
      <c r="K2147" t="s">
        <v>57</v>
      </c>
    </row>
    <row r="2148" spans="1:11" x14ac:dyDescent="0.35">
      <c r="A2148" t="s">
        <v>2632</v>
      </c>
      <c r="B2148">
        <v>2025</v>
      </c>
      <c r="C2148" t="s">
        <v>1051</v>
      </c>
      <c r="D2148" t="s">
        <v>76</v>
      </c>
      <c r="E2148" t="s">
        <v>115</v>
      </c>
      <c r="F2148" t="s">
        <v>129</v>
      </c>
      <c r="G2148" t="s">
        <v>128</v>
      </c>
      <c r="H2148" t="s">
        <v>285</v>
      </c>
      <c r="I2148" t="s">
        <v>289</v>
      </c>
      <c r="J2148" t="s">
        <v>286</v>
      </c>
      <c r="K2148" t="s">
        <v>57</v>
      </c>
    </row>
    <row r="2149" spans="1:11" x14ac:dyDescent="0.35">
      <c r="A2149" t="s">
        <v>2633</v>
      </c>
      <c r="B2149">
        <v>2025</v>
      </c>
      <c r="C2149" t="s">
        <v>1051</v>
      </c>
      <c r="D2149" t="s">
        <v>85</v>
      </c>
      <c r="E2149" t="s">
        <v>117</v>
      </c>
      <c r="F2149" t="s">
        <v>129</v>
      </c>
      <c r="G2149" t="s">
        <v>128</v>
      </c>
      <c r="H2149" t="s">
        <v>305</v>
      </c>
      <c r="I2149" t="s">
        <v>86</v>
      </c>
      <c r="J2149" t="s">
        <v>286</v>
      </c>
      <c r="K2149" t="s">
        <v>57</v>
      </c>
    </row>
    <row r="2150" spans="1:11" x14ac:dyDescent="0.35">
      <c r="A2150" t="s">
        <v>2634</v>
      </c>
      <c r="B2150">
        <v>2025</v>
      </c>
      <c r="C2150" t="s">
        <v>1051</v>
      </c>
      <c r="D2150" t="s">
        <v>76</v>
      </c>
      <c r="E2150" t="s">
        <v>115</v>
      </c>
      <c r="F2150" t="s">
        <v>129</v>
      </c>
      <c r="G2150" t="s">
        <v>128</v>
      </c>
      <c r="H2150" t="s">
        <v>285</v>
      </c>
      <c r="I2150" t="s">
        <v>77</v>
      </c>
      <c r="J2150" t="s">
        <v>317</v>
      </c>
      <c r="K2150" t="s">
        <v>57</v>
      </c>
    </row>
    <row r="2151" spans="1:11" x14ac:dyDescent="0.35">
      <c r="A2151" t="s">
        <v>2635</v>
      </c>
      <c r="B2151">
        <v>2025</v>
      </c>
      <c r="C2151" t="s">
        <v>1051</v>
      </c>
      <c r="D2151" t="s">
        <v>85</v>
      </c>
      <c r="E2151" t="s">
        <v>344</v>
      </c>
      <c r="F2151" t="s">
        <v>127</v>
      </c>
      <c r="G2151" t="s">
        <v>130</v>
      </c>
      <c r="H2151" t="s">
        <v>305</v>
      </c>
      <c r="I2151" t="s">
        <v>1077</v>
      </c>
      <c r="J2151" t="s">
        <v>326</v>
      </c>
      <c r="K2151" t="s">
        <v>57</v>
      </c>
    </row>
    <row r="2152" spans="1:11" x14ac:dyDescent="0.35">
      <c r="A2152" t="s">
        <v>2636</v>
      </c>
      <c r="B2152">
        <v>2025</v>
      </c>
      <c r="C2152" t="s">
        <v>1051</v>
      </c>
      <c r="D2152" t="s">
        <v>85</v>
      </c>
      <c r="E2152" t="s">
        <v>116</v>
      </c>
      <c r="F2152" t="s">
        <v>129</v>
      </c>
      <c r="G2152" t="s">
        <v>128</v>
      </c>
      <c r="H2152" t="s">
        <v>285</v>
      </c>
      <c r="I2152" t="s">
        <v>289</v>
      </c>
      <c r="J2152" t="s">
        <v>286</v>
      </c>
      <c r="K2152" t="s">
        <v>57</v>
      </c>
    </row>
    <row r="2153" spans="1:11" x14ac:dyDescent="0.35">
      <c r="A2153" t="s">
        <v>2637</v>
      </c>
      <c r="B2153">
        <v>2025</v>
      </c>
      <c r="C2153" t="s">
        <v>1051</v>
      </c>
      <c r="D2153" t="s">
        <v>76</v>
      </c>
      <c r="E2153" t="s">
        <v>360</v>
      </c>
      <c r="F2153" t="s">
        <v>131</v>
      </c>
      <c r="G2153" t="s">
        <v>130</v>
      </c>
      <c r="H2153" t="s">
        <v>357</v>
      </c>
      <c r="I2153" t="s">
        <v>77</v>
      </c>
      <c r="J2153" t="s">
        <v>286</v>
      </c>
      <c r="K2153" t="s">
        <v>57</v>
      </c>
    </row>
    <row r="2154" spans="1:11" x14ac:dyDescent="0.35">
      <c r="A2154" t="s">
        <v>2638</v>
      </c>
      <c r="B2154">
        <v>2025</v>
      </c>
      <c r="C2154" t="s">
        <v>1051</v>
      </c>
      <c r="D2154" t="s">
        <v>85</v>
      </c>
      <c r="E2154" t="s">
        <v>377</v>
      </c>
      <c r="F2154" t="s">
        <v>127</v>
      </c>
      <c r="G2154" t="s">
        <v>128</v>
      </c>
      <c r="H2154" t="s">
        <v>305</v>
      </c>
      <c r="I2154" t="s">
        <v>426</v>
      </c>
      <c r="J2154" t="s">
        <v>361</v>
      </c>
      <c r="K2154" t="s">
        <v>57</v>
      </c>
    </row>
    <row r="2155" spans="1:11" x14ac:dyDescent="0.35">
      <c r="A2155" t="s">
        <v>2639</v>
      </c>
      <c r="B2155">
        <v>2025</v>
      </c>
      <c r="C2155" t="s">
        <v>1051</v>
      </c>
      <c r="D2155" t="s">
        <v>85</v>
      </c>
      <c r="E2155" t="s">
        <v>120</v>
      </c>
      <c r="F2155" t="s">
        <v>127</v>
      </c>
      <c r="G2155" t="s">
        <v>128</v>
      </c>
      <c r="H2155" t="s">
        <v>297</v>
      </c>
      <c r="I2155" t="s">
        <v>86</v>
      </c>
      <c r="J2155" t="s">
        <v>288</v>
      </c>
      <c r="K2155" t="s">
        <v>57</v>
      </c>
    </row>
    <row r="2156" spans="1:11" x14ac:dyDescent="0.35">
      <c r="A2156" t="s">
        <v>2640</v>
      </c>
      <c r="B2156">
        <v>2025</v>
      </c>
      <c r="C2156" t="s">
        <v>1051</v>
      </c>
      <c r="D2156" t="s">
        <v>76</v>
      </c>
      <c r="E2156" t="s">
        <v>115</v>
      </c>
      <c r="F2156" t="s">
        <v>125</v>
      </c>
      <c r="G2156" t="s">
        <v>132</v>
      </c>
      <c r="H2156" t="s">
        <v>285</v>
      </c>
      <c r="I2156" t="s">
        <v>86</v>
      </c>
      <c r="J2156" t="s">
        <v>286</v>
      </c>
      <c r="K2156" t="s">
        <v>57</v>
      </c>
    </row>
    <row r="2157" spans="1:11" x14ac:dyDescent="0.35">
      <c r="A2157" t="s">
        <v>2641</v>
      </c>
      <c r="B2157">
        <v>2025</v>
      </c>
      <c r="C2157" t="s">
        <v>1051</v>
      </c>
      <c r="D2157" t="s">
        <v>85</v>
      </c>
      <c r="E2157" t="s">
        <v>116</v>
      </c>
      <c r="F2157" t="s">
        <v>131</v>
      </c>
      <c r="G2157" t="s">
        <v>128</v>
      </c>
      <c r="H2157" t="s">
        <v>285</v>
      </c>
      <c r="I2157" t="s">
        <v>77</v>
      </c>
      <c r="J2157" t="s">
        <v>317</v>
      </c>
      <c r="K2157" t="s">
        <v>57</v>
      </c>
    </row>
    <row r="2158" spans="1:11" x14ac:dyDescent="0.35">
      <c r="A2158" t="s">
        <v>2642</v>
      </c>
      <c r="B2158">
        <v>2025</v>
      </c>
      <c r="C2158" t="s">
        <v>1051</v>
      </c>
      <c r="D2158" t="s">
        <v>85</v>
      </c>
      <c r="E2158" t="s">
        <v>116</v>
      </c>
      <c r="F2158" t="s">
        <v>288</v>
      </c>
      <c r="G2158" t="s">
        <v>128</v>
      </c>
      <c r="H2158" t="s">
        <v>285</v>
      </c>
      <c r="I2158" t="s">
        <v>288</v>
      </c>
      <c r="J2158" t="s">
        <v>286</v>
      </c>
      <c r="K2158" t="s">
        <v>57</v>
      </c>
    </row>
    <row r="2159" spans="1:11" x14ac:dyDescent="0.35">
      <c r="A2159" t="s">
        <v>2643</v>
      </c>
      <c r="B2159">
        <v>2025</v>
      </c>
      <c r="C2159" t="s">
        <v>1051</v>
      </c>
      <c r="D2159" t="s">
        <v>76</v>
      </c>
      <c r="E2159" t="s">
        <v>119</v>
      </c>
      <c r="F2159" t="s">
        <v>125</v>
      </c>
      <c r="G2159" t="s">
        <v>132</v>
      </c>
      <c r="H2159" t="s">
        <v>357</v>
      </c>
      <c r="I2159" t="s">
        <v>86</v>
      </c>
      <c r="J2159" t="s">
        <v>312</v>
      </c>
      <c r="K2159" t="s">
        <v>42</v>
      </c>
    </row>
    <row r="2160" spans="1:11" x14ac:dyDescent="0.35">
      <c r="A2160" t="s">
        <v>2644</v>
      </c>
      <c r="B2160">
        <v>2025</v>
      </c>
      <c r="C2160" t="s">
        <v>1051</v>
      </c>
      <c r="D2160" t="s">
        <v>76</v>
      </c>
      <c r="E2160" t="s">
        <v>115</v>
      </c>
      <c r="F2160" t="s">
        <v>127</v>
      </c>
      <c r="G2160" t="s">
        <v>128</v>
      </c>
      <c r="H2160" t="s">
        <v>357</v>
      </c>
      <c r="I2160" t="s">
        <v>86</v>
      </c>
      <c r="J2160" t="s">
        <v>288</v>
      </c>
      <c r="K2160" t="s">
        <v>57</v>
      </c>
    </row>
    <row r="2161" spans="1:11" x14ac:dyDescent="0.35">
      <c r="A2161" t="s">
        <v>2645</v>
      </c>
      <c r="B2161">
        <v>2025</v>
      </c>
      <c r="C2161" t="s">
        <v>1051</v>
      </c>
      <c r="D2161" t="s">
        <v>76</v>
      </c>
      <c r="E2161" t="s">
        <v>107</v>
      </c>
      <c r="F2161" t="s">
        <v>129</v>
      </c>
      <c r="G2161" t="s">
        <v>128</v>
      </c>
      <c r="H2161" t="s">
        <v>285</v>
      </c>
      <c r="I2161" t="s">
        <v>289</v>
      </c>
      <c r="J2161" t="s">
        <v>286</v>
      </c>
      <c r="K2161" t="s">
        <v>57</v>
      </c>
    </row>
    <row r="2162" spans="1:11" x14ac:dyDescent="0.35">
      <c r="A2162" t="s">
        <v>2646</v>
      </c>
      <c r="B2162">
        <v>2025</v>
      </c>
      <c r="C2162" t="s">
        <v>1051</v>
      </c>
      <c r="D2162" t="s">
        <v>76</v>
      </c>
      <c r="E2162" t="s">
        <v>119</v>
      </c>
      <c r="F2162" t="s">
        <v>125</v>
      </c>
      <c r="G2162" t="s">
        <v>128</v>
      </c>
      <c r="H2162" t="s">
        <v>285</v>
      </c>
      <c r="I2162" t="s">
        <v>77</v>
      </c>
      <c r="J2162" t="s">
        <v>286</v>
      </c>
      <c r="K2162" t="s">
        <v>57</v>
      </c>
    </row>
    <row r="2163" spans="1:11" x14ac:dyDescent="0.35">
      <c r="A2163" t="s">
        <v>2647</v>
      </c>
      <c r="B2163">
        <v>2025</v>
      </c>
      <c r="C2163" t="s">
        <v>1051</v>
      </c>
      <c r="D2163" t="s">
        <v>85</v>
      </c>
      <c r="E2163" t="s">
        <v>120</v>
      </c>
      <c r="F2163" t="s">
        <v>131</v>
      </c>
      <c r="G2163" t="s">
        <v>128</v>
      </c>
      <c r="H2163" t="s">
        <v>305</v>
      </c>
      <c r="I2163" t="s">
        <v>77</v>
      </c>
      <c r="J2163" t="s">
        <v>288</v>
      </c>
      <c r="K2163" t="s">
        <v>57</v>
      </c>
    </row>
    <row r="2164" spans="1:11" x14ac:dyDescent="0.35">
      <c r="A2164" t="s">
        <v>2648</v>
      </c>
      <c r="B2164">
        <v>2025</v>
      </c>
      <c r="C2164" t="s">
        <v>1051</v>
      </c>
      <c r="D2164" t="s">
        <v>85</v>
      </c>
      <c r="E2164" t="s">
        <v>117</v>
      </c>
      <c r="F2164" t="s">
        <v>127</v>
      </c>
      <c r="G2164" t="s">
        <v>128</v>
      </c>
      <c r="H2164" t="s">
        <v>305</v>
      </c>
      <c r="I2164" t="s">
        <v>86</v>
      </c>
      <c r="J2164" t="s">
        <v>347</v>
      </c>
      <c r="K2164" t="s">
        <v>57</v>
      </c>
    </row>
    <row r="2165" spans="1:11" x14ac:dyDescent="0.35">
      <c r="A2165" t="s">
        <v>2649</v>
      </c>
      <c r="B2165">
        <v>2025</v>
      </c>
      <c r="C2165" t="s">
        <v>1051</v>
      </c>
      <c r="D2165" t="s">
        <v>76</v>
      </c>
      <c r="E2165" t="s">
        <v>119</v>
      </c>
      <c r="F2165" t="s">
        <v>288</v>
      </c>
      <c r="G2165" t="s">
        <v>126</v>
      </c>
      <c r="H2165" t="s">
        <v>357</v>
      </c>
      <c r="I2165" t="s">
        <v>288</v>
      </c>
      <c r="J2165" t="s">
        <v>288</v>
      </c>
      <c r="K2165" t="s">
        <v>57</v>
      </c>
    </row>
    <row r="2166" spans="1:11" x14ac:dyDescent="0.35">
      <c r="A2166" t="s">
        <v>2650</v>
      </c>
      <c r="B2166">
        <v>2025</v>
      </c>
      <c r="C2166" t="s">
        <v>1051</v>
      </c>
      <c r="D2166" t="s">
        <v>85</v>
      </c>
      <c r="E2166" t="s">
        <v>117</v>
      </c>
      <c r="F2166" t="s">
        <v>134</v>
      </c>
      <c r="G2166" t="s">
        <v>132</v>
      </c>
      <c r="H2166" t="s">
        <v>285</v>
      </c>
      <c r="I2166" t="s">
        <v>289</v>
      </c>
      <c r="J2166" t="s">
        <v>347</v>
      </c>
      <c r="K2166" t="s">
        <v>57</v>
      </c>
    </row>
    <row r="2167" spans="1:11" x14ac:dyDescent="0.35">
      <c r="A2167" t="s">
        <v>2651</v>
      </c>
      <c r="B2167">
        <v>2025</v>
      </c>
      <c r="C2167" t="s">
        <v>1051</v>
      </c>
      <c r="D2167" t="s">
        <v>76</v>
      </c>
      <c r="E2167" t="s">
        <v>110</v>
      </c>
      <c r="F2167" t="s">
        <v>129</v>
      </c>
      <c r="G2167" t="s">
        <v>128</v>
      </c>
      <c r="H2167" t="s">
        <v>285</v>
      </c>
      <c r="I2167" t="s">
        <v>632</v>
      </c>
      <c r="J2167" t="s">
        <v>286</v>
      </c>
      <c r="K2167" t="s">
        <v>57</v>
      </c>
    </row>
    <row r="2168" spans="1:11" x14ac:dyDescent="0.35">
      <c r="A2168" t="s">
        <v>2652</v>
      </c>
      <c r="B2168">
        <v>2025</v>
      </c>
      <c r="C2168" t="s">
        <v>1051</v>
      </c>
      <c r="D2168" t="s">
        <v>76</v>
      </c>
      <c r="E2168" t="s">
        <v>113</v>
      </c>
      <c r="F2168" t="s">
        <v>125</v>
      </c>
      <c r="G2168" t="s">
        <v>132</v>
      </c>
      <c r="H2168" t="s">
        <v>285</v>
      </c>
      <c r="I2168" t="s">
        <v>288</v>
      </c>
      <c r="J2168" t="s">
        <v>317</v>
      </c>
      <c r="K2168" t="s">
        <v>57</v>
      </c>
    </row>
    <row r="2169" spans="1:11" x14ac:dyDescent="0.35">
      <c r="A2169" t="s">
        <v>2653</v>
      </c>
      <c r="B2169">
        <v>2025</v>
      </c>
      <c r="C2169" t="s">
        <v>1051</v>
      </c>
      <c r="D2169" t="s">
        <v>85</v>
      </c>
      <c r="E2169" t="s">
        <v>116</v>
      </c>
      <c r="F2169" t="s">
        <v>131</v>
      </c>
      <c r="G2169" t="s">
        <v>126</v>
      </c>
      <c r="H2169" t="s">
        <v>285</v>
      </c>
      <c r="I2169" t="s">
        <v>2654</v>
      </c>
      <c r="J2169" t="s">
        <v>286</v>
      </c>
      <c r="K2169" t="s">
        <v>57</v>
      </c>
    </row>
    <row r="2170" spans="1:11" x14ac:dyDescent="0.35">
      <c r="A2170" t="s">
        <v>2655</v>
      </c>
      <c r="B2170">
        <v>2025</v>
      </c>
      <c r="C2170" t="s">
        <v>1051</v>
      </c>
      <c r="D2170" t="s">
        <v>85</v>
      </c>
      <c r="E2170" t="s">
        <v>116</v>
      </c>
      <c r="F2170" t="s">
        <v>129</v>
      </c>
      <c r="G2170" t="s">
        <v>128</v>
      </c>
      <c r="H2170" t="s">
        <v>285</v>
      </c>
      <c r="I2170" t="s">
        <v>86</v>
      </c>
      <c r="J2170" t="s">
        <v>286</v>
      </c>
      <c r="K2170" t="s">
        <v>57</v>
      </c>
    </row>
    <row r="2171" spans="1:11" x14ac:dyDescent="0.35">
      <c r="A2171" t="s">
        <v>2656</v>
      </c>
      <c r="B2171">
        <v>2025</v>
      </c>
      <c r="C2171" t="s">
        <v>1051</v>
      </c>
      <c r="D2171" t="s">
        <v>85</v>
      </c>
      <c r="E2171" t="s">
        <v>116</v>
      </c>
      <c r="F2171" t="s">
        <v>129</v>
      </c>
      <c r="G2171" t="s">
        <v>128</v>
      </c>
      <c r="H2171" t="s">
        <v>285</v>
      </c>
      <c r="I2171" t="s">
        <v>288</v>
      </c>
      <c r="J2171" t="s">
        <v>286</v>
      </c>
      <c r="K2171" t="s">
        <v>57</v>
      </c>
    </row>
    <row r="2172" spans="1:11" x14ac:dyDescent="0.35">
      <c r="A2172" t="s">
        <v>2657</v>
      </c>
      <c r="B2172">
        <v>2025</v>
      </c>
      <c r="C2172" t="s">
        <v>1051</v>
      </c>
      <c r="D2172" t="s">
        <v>85</v>
      </c>
      <c r="E2172" t="s">
        <v>116</v>
      </c>
      <c r="F2172" t="s">
        <v>127</v>
      </c>
      <c r="G2172" t="s">
        <v>130</v>
      </c>
      <c r="H2172" t="s">
        <v>285</v>
      </c>
      <c r="I2172" t="s">
        <v>86</v>
      </c>
      <c r="J2172" t="s">
        <v>317</v>
      </c>
      <c r="K2172" t="s">
        <v>57</v>
      </c>
    </row>
    <row r="2173" spans="1:11" x14ac:dyDescent="0.35">
      <c r="A2173" t="s">
        <v>2658</v>
      </c>
      <c r="B2173">
        <v>2025</v>
      </c>
      <c r="C2173" t="s">
        <v>1051</v>
      </c>
      <c r="D2173" t="s">
        <v>85</v>
      </c>
      <c r="E2173" t="s">
        <v>115</v>
      </c>
      <c r="F2173" t="s">
        <v>134</v>
      </c>
      <c r="G2173" t="s">
        <v>128</v>
      </c>
      <c r="H2173" t="s">
        <v>297</v>
      </c>
      <c r="I2173" t="s">
        <v>288</v>
      </c>
      <c r="J2173" t="s">
        <v>288</v>
      </c>
      <c r="K2173" t="s">
        <v>57</v>
      </c>
    </row>
    <row r="2174" spans="1:11" x14ac:dyDescent="0.35">
      <c r="A2174" t="s">
        <v>2659</v>
      </c>
      <c r="B2174">
        <v>2025</v>
      </c>
      <c r="C2174" t="s">
        <v>1051</v>
      </c>
      <c r="D2174" t="s">
        <v>76</v>
      </c>
      <c r="E2174" t="s">
        <v>119</v>
      </c>
      <c r="F2174" t="s">
        <v>129</v>
      </c>
      <c r="G2174" t="s">
        <v>128</v>
      </c>
      <c r="H2174" t="s">
        <v>357</v>
      </c>
      <c r="I2174" t="s">
        <v>288</v>
      </c>
      <c r="J2174" t="s">
        <v>286</v>
      </c>
      <c r="K2174" t="s">
        <v>57</v>
      </c>
    </row>
    <row r="2175" spans="1:11" x14ac:dyDescent="0.35">
      <c r="A2175" t="s">
        <v>2660</v>
      </c>
      <c r="B2175">
        <v>2025</v>
      </c>
      <c r="C2175" t="s">
        <v>1051</v>
      </c>
      <c r="D2175" t="s">
        <v>76</v>
      </c>
      <c r="E2175" t="s">
        <v>107</v>
      </c>
      <c r="F2175" t="s">
        <v>125</v>
      </c>
      <c r="G2175" t="s">
        <v>128</v>
      </c>
      <c r="H2175" t="s">
        <v>285</v>
      </c>
      <c r="I2175" t="s">
        <v>288</v>
      </c>
      <c r="J2175" t="s">
        <v>308</v>
      </c>
      <c r="K2175" t="s">
        <v>42</v>
      </c>
    </row>
    <row r="2176" spans="1:11" x14ac:dyDescent="0.35">
      <c r="A2176" t="s">
        <v>2661</v>
      </c>
      <c r="B2176">
        <v>2025</v>
      </c>
      <c r="C2176" t="s">
        <v>1051</v>
      </c>
      <c r="D2176" t="s">
        <v>76</v>
      </c>
      <c r="E2176" t="s">
        <v>113</v>
      </c>
      <c r="F2176" t="s">
        <v>125</v>
      </c>
      <c r="G2176" t="s">
        <v>132</v>
      </c>
      <c r="H2176" t="s">
        <v>357</v>
      </c>
      <c r="I2176" t="s">
        <v>86</v>
      </c>
      <c r="J2176" t="s">
        <v>308</v>
      </c>
      <c r="K2176" t="s">
        <v>42</v>
      </c>
    </row>
    <row r="2177" spans="1:11" x14ac:dyDescent="0.35">
      <c r="A2177" t="s">
        <v>2662</v>
      </c>
      <c r="B2177">
        <v>2025</v>
      </c>
      <c r="C2177" t="s">
        <v>1051</v>
      </c>
      <c r="D2177" t="s">
        <v>76</v>
      </c>
      <c r="E2177" t="s">
        <v>119</v>
      </c>
      <c r="F2177" t="s">
        <v>125</v>
      </c>
      <c r="G2177" t="s">
        <v>126</v>
      </c>
      <c r="H2177" t="s">
        <v>357</v>
      </c>
      <c r="I2177" t="s">
        <v>86</v>
      </c>
      <c r="J2177" t="s">
        <v>737</v>
      </c>
      <c r="K2177" t="s">
        <v>57</v>
      </c>
    </row>
    <row r="2178" spans="1:11" x14ac:dyDescent="0.35">
      <c r="A2178" t="s">
        <v>2663</v>
      </c>
      <c r="B2178">
        <v>2025</v>
      </c>
      <c r="C2178" t="s">
        <v>1051</v>
      </c>
      <c r="D2178" t="s">
        <v>76</v>
      </c>
      <c r="E2178" t="s">
        <v>113</v>
      </c>
      <c r="F2178" t="s">
        <v>127</v>
      </c>
      <c r="G2178" t="s">
        <v>132</v>
      </c>
      <c r="H2178" t="s">
        <v>357</v>
      </c>
      <c r="I2178" t="s">
        <v>632</v>
      </c>
      <c r="J2178" t="s">
        <v>308</v>
      </c>
      <c r="K2178" t="s">
        <v>42</v>
      </c>
    </row>
    <row r="2179" spans="1:11" x14ac:dyDescent="0.35">
      <c r="A2179" t="s">
        <v>2664</v>
      </c>
      <c r="B2179">
        <v>2025</v>
      </c>
      <c r="C2179" t="s">
        <v>1051</v>
      </c>
      <c r="D2179" t="s">
        <v>76</v>
      </c>
      <c r="E2179" t="s">
        <v>118</v>
      </c>
      <c r="F2179" t="s">
        <v>127</v>
      </c>
      <c r="G2179" t="s">
        <v>130</v>
      </c>
      <c r="H2179" t="s">
        <v>285</v>
      </c>
      <c r="I2179" t="s">
        <v>77</v>
      </c>
      <c r="J2179" t="s">
        <v>286</v>
      </c>
      <c r="K2179" t="s">
        <v>57</v>
      </c>
    </row>
    <row r="2180" spans="1:11" x14ac:dyDescent="0.35">
      <c r="A2180" t="s">
        <v>276</v>
      </c>
      <c r="B2180">
        <v>2025</v>
      </c>
      <c r="C2180" t="s">
        <v>1051</v>
      </c>
      <c r="D2180" t="s">
        <v>76</v>
      </c>
      <c r="E2180" t="s">
        <v>109</v>
      </c>
      <c r="F2180" t="s">
        <v>129</v>
      </c>
      <c r="G2180" t="s">
        <v>128</v>
      </c>
      <c r="H2180" t="s">
        <v>285</v>
      </c>
      <c r="I2180" t="s">
        <v>77</v>
      </c>
      <c r="J2180" t="s">
        <v>286</v>
      </c>
      <c r="K2180" t="s">
        <v>57</v>
      </c>
    </row>
    <row r="2181" spans="1:11" x14ac:dyDescent="0.35">
      <c r="A2181" t="s">
        <v>2665</v>
      </c>
      <c r="B2181">
        <v>2025</v>
      </c>
      <c r="C2181" t="s">
        <v>1051</v>
      </c>
      <c r="D2181" t="s">
        <v>85</v>
      </c>
      <c r="E2181" t="s">
        <v>120</v>
      </c>
      <c r="F2181" t="s">
        <v>133</v>
      </c>
      <c r="G2181" t="s">
        <v>130</v>
      </c>
      <c r="H2181" t="s">
        <v>285</v>
      </c>
      <c r="I2181" t="s">
        <v>337</v>
      </c>
      <c r="J2181" t="s">
        <v>326</v>
      </c>
      <c r="K2181" t="s">
        <v>57</v>
      </c>
    </row>
    <row r="2182" spans="1:11" x14ac:dyDescent="0.35">
      <c r="A2182" t="s">
        <v>2666</v>
      </c>
      <c r="B2182">
        <v>2025</v>
      </c>
      <c r="C2182" t="s">
        <v>1051</v>
      </c>
      <c r="D2182" t="s">
        <v>85</v>
      </c>
      <c r="E2182" t="s">
        <v>116</v>
      </c>
      <c r="F2182" t="s">
        <v>129</v>
      </c>
      <c r="G2182" t="s">
        <v>130</v>
      </c>
      <c r="H2182" t="s">
        <v>357</v>
      </c>
      <c r="I2182" t="s">
        <v>288</v>
      </c>
      <c r="J2182" t="s">
        <v>288</v>
      </c>
      <c r="K2182" t="s">
        <v>57</v>
      </c>
    </row>
    <row r="2183" spans="1:11" x14ac:dyDescent="0.35">
      <c r="A2183" t="s">
        <v>2667</v>
      </c>
      <c r="B2183">
        <v>2025</v>
      </c>
      <c r="C2183" t="s">
        <v>1051</v>
      </c>
      <c r="D2183" t="s">
        <v>76</v>
      </c>
      <c r="E2183" t="s">
        <v>107</v>
      </c>
      <c r="F2183" t="s">
        <v>125</v>
      </c>
      <c r="G2183" t="s">
        <v>128</v>
      </c>
      <c r="H2183" t="s">
        <v>357</v>
      </c>
      <c r="I2183" t="s">
        <v>86</v>
      </c>
      <c r="J2183" t="s">
        <v>288</v>
      </c>
      <c r="K2183" t="s">
        <v>57</v>
      </c>
    </row>
    <row r="2184" spans="1:11" x14ac:dyDescent="0.35">
      <c r="A2184" t="s">
        <v>2668</v>
      </c>
      <c r="B2184">
        <v>2025</v>
      </c>
      <c r="C2184" t="s">
        <v>1051</v>
      </c>
      <c r="D2184" t="s">
        <v>85</v>
      </c>
      <c r="E2184" t="s">
        <v>116</v>
      </c>
      <c r="F2184" t="s">
        <v>127</v>
      </c>
      <c r="G2184" t="s">
        <v>132</v>
      </c>
      <c r="H2184" t="s">
        <v>285</v>
      </c>
      <c r="I2184" t="s">
        <v>289</v>
      </c>
      <c r="J2184" t="s">
        <v>317</v>
      </c>
      <c r="K2184" t="s">
        <v>57</v>
      </c>
    </row>
    <row r="2185" spans="1:11" x14ac:dyDescent="0.35">
      <c r="A2185" t="s">
        <v>2669</v>
      </c>
      <c r="B2185">
        <v>2025</v>
      </c>
      <c r="C2185" t="s">
        <v>1051</v>
      </c>
      <c r="D2185" t="s">
        <v>76</v>
      </c>
      <c r="E2185" t="s">
        <v>107</v>
      </c>
      <c r="F2185" t="s">
        <v>125</v>
      </c>
      <c r="G2185" t="s">
        <v>128</v>
      </c>
      <c r="H2185" t="s">
        <v>285</v>
      </c>
      <c r="I2185" t="s">
        <v>77</v>
      </c>
      <c r="J2185" t="s">
        <v>286</v>
      </c>
      <c r="K2185" t="s">
        <v>57</v>
      </c>
    </row>
    <row r="2186" spans="1:11" x14ac:dyDescent="0.35">
      <c r="A2186" t="s">
        <v>2670</v>
      </c>
      <c r="B2186">
        <v>2025</v>
      </c>
      <c r="C2186" t="s">
        <v>1051</v>
      </c>
      <c r="D2186" t="s">
        <v>76</v>
      </c>
      <c r="E2186" t="s">
        <v>107</v>
      </c>
      <c r="F2186" t="s">
        <v>125</v>
      </c>
      <c r="G2186" t="s">
        <v>130</v>
      </c>
      <c r="H2186" t="s">
        <v>357</v>
      </c>
      <c r="I2186" t="s">
        <v>86</v>
      </c>
      <c r="J2186" t="s">
        <v>308</v>
      </c>
      <c r="K2186" t="s">
        <v>42</v>
      </c>
    </row>
    <row r="2187" spans="1:11" x14ac:dyDescent="0.35">
      <c r="A2187" t="s">
        <v>2671</v>
      </c>
      <c r="B2187">
        <v>2025</v>
      </c>
      <c r="C2187" t="s">
        <v>1051</v>
      </c>
      <c r="D2187" t="s">
        <v>76</v>
      </c>
      <c r="E2187" t="s">
        <v>110</v>
      </c>
      <c r="F2187" t="s">
        <v>129</v>
      </c>
      <c r="G2187" t="s">
        <v>130</v>
      </c>
      <c r="H2187" t="s">
        <v>285</v>
      </c>
      <c r="I2187" t="s">
        <v>86</v>
      </c>
      <c r="J2187" t="s">
        <v>2672</v>
      </c>
      <c r="K2187" t="s">
        <v>42</v>
      </c>
    </row>
    <row r="2188" spans="1:11" x14ac:dyDescent="0.35">
      <c r="A2188" t="s">
        <v>2673</v>
      </c>
      <c r="B2188">
        <v>2025</v>
      </c>
      <c r="C2188" t="s">
        <v>1051</v>
      </c>
      <c r="D2188" t="s">
        <v>85</v>
      </c>
      <c r="E2188" t="s">
        <v>344</v>
      </c>
      <c r="F2188" t="s">
        <v>127</v>
      </c>
      <c r="G2188" t="s">
        <v>128</v>
      </c>
      <c r="H2188" t="s">
        <v>305</v>
      </c>
      <c r="I2188" t="s">
        <v>77</v>
      </c>
      <c r="J2188" t="s">
        <v>286</v>
      </c>
      <c r="K2188" t="s">
        <v>57</v>
      </c>
    </row>
    <row r="2189" spans="1:11" x14ac:dyDescent="0.35">
      <c r="A2189" t="s">
        <v>2674</v>
      </c>
      <c r="B2189">
        <v>2025</v>
      </c>
      <c r="C2189" t="s">
        <v>1051</v>
      </c>
      <c r="D2189" t="s">
        <v>85</v>
      </c>
      <c r="E2189" t="s">
        <v>120</v>
      </c>
      <c r="F2189" t="s">
        <v>127</v>
      </c>
      <c r="G2189" t="s">
        <v>128</v>
      </c>
      <c r="H2189" t="s">
        <v>357</v>
      </c>
      <c r="I2189" t="s">
        <v>86</v>
      </c>
      <c r="J2189" t="s">
        <v>409</v>
      </c>
      <c r="K2189" t="s">
        <v>57</v>
      </c>
    </row>
    <row r="2190" spans="1:11" x14ac:dyDescent="0.35">
      <c r="A2190" t="s">
        <v>2675</v>
      </c>
      <c r="B2190">
        <v>2025</v>
      </c>
      <c r="C2190" t="s">
        <v>1051</v>
      </c>
      <c r="D2190" t="s">
        <v>76</v>
      </c>
      <c r="E2190" t="s">
        <v>115</v>
      </c>
      <c r="F2190" t="s">
        <v>131</v>
      </c>
      <c r="G2190" t="s">
        <v>128</v>
      </c>
      <c r="H2190" t="s">
        <v>357</v>
      </c>
      <c r="I2190" t="s">
        <v>756</v>
      </c>
      <c r="J2190" t="s">
        <v>286</v>
      </c>
      <c r="K2190" t="s">
        <v>57</v>
      </c>
    </row>
    <row r="2191" spans="1:11" x14ac:dyDescent="0.35">
      <c r="A2191" t="s">
        <v>2676</v>
      </c>
      <c r="B2191">
        <v>2025</v>
      </c>
      <c r="C2191" t="s">
        <v>1051</v>
      </c>
      <c r="D2191" t="s">
        <v>85</v>
      </c>
      <c r="E2191" t="s">
        <v>117</v>
      </c>
      <c r="F2191" t="s">
        <v>127</v>
      </c>
      <c r="G2191" t="s">
        <v>130</v>
      </c>
      <c r="H2191" t="s">
        <v>357</v>
      </c>
      <c r="I2191" t="s">
        <v>86</v>
      </c>
      <c r="J2191" t="s">
        <v>317</v>
      </c>
      <c r="K2191" t="s">
        <v>57</v>
      </c>
    </row>
    <row r="2192" spans="1:11" x14ac:dyDescent="0.35">
      <c r="A2192" t="s">
        <v>2677</v>
      </c>
      <c r="B2192">
        <v>2025</v>
      </c>
      <c r="C2192" t="s">
        <v>1051</v>
      </c>
      <c r="D2192" t="s">
        <v>85</v>
      </c>
      <c r="E2192" t="s">
        <v>117</v>
      </c>
      <c r="F2192" t="s">
        <v>127</v>
      </c>
      <c r="G2192" t="s">
        <v>130</v>
      </c>
      <c r="H2192" t="s">
        <v>357</v>
      </c>
      <c r="I2192" t="s">
        <v>86</v>
      </c>
      <c r="J2192" t="s">
        <v>317</v>
      </c>
      <c r="K2192" t="s">
        <v>57</v>
      </c>
    </row>
    <row r="2193" spans="1:11" x14ac:dyDescent="0.35">
      <c r="A2193" t="s">
        <v>2678</v>
      </c>
      <c r="B2193">
        <v>2025</v>
      </c>
      <c r="C2193" t="s">
        <v>1051</v>
      </c>
      <c r="D2193" t="s">
        <v>85</v>
      </c>
      <c r="E2193" t="s">
        <v>116</v>
      </c>
      <c r="F2193" t="s">
        <v>127</v>
      </c>
      <c r="G2193" t="s">
        <v>128</v>
      </c>
      <c r="H2193" t="s">
        <v>285</v>
      </c>
      <c r="I2193" t="s">
        <v>288</v>
      </c>
      <c r="J2193" t="s">
        <v>288</v>
      </c>
      <c r="K2193" t="s">
        <v>57</v>
      </c>
    </row>
    <row r="2194" spans="1:11" x14ac:dyDescent="0.35">
      <c r="A2194" t="s">
        <v>2679</v>
      </c>
      <c r="B2194">
        <v>2025</v>
      </c>
      <c r="C2194" t="s">
        <v>1051</v>
      </c>
      <c r="D2194" t="s">
        <v>85</v>
      </c>
      <c r="E2194" t="s">
        <v>116</v>
      </c>
      <c r="F2194" t="s">
        <v>131</v>
      </c>
      <c r="G2194" t="s">
        <v>132</v>
      </c>
      <c r="H2194" t="s">
        <v>285</v>
      </c>
      <c r="I2194" t="s">
        <v>289</v>
      </c>
      <c r="J2194" t="s">
        <v>405</v>
      </c>
      <c r="K2194" t="s">
        <v>57</v>
      </c>
    </row>
    <row r="2195" spans="1:11" x14ac:dyDescent="0.35">
      <c r="A2195" t="s">
        <v>2680</v>
      </c>
      <c r="B2195">
        <v>2025</v>
      </c>
      <c r="C2195" t="s">
        <v>1051</v>
      </c>
      <c r="D2195" t="s">
        <v>76</v>
      </c>
      <c r="E2195" t="s">
        <v>118</v>
      </c>
      <c r="F2195" t="s">
        <v>125</v>
      </c>
      <c r="G2195" t="s">
        <v>128</v>
      </c>
      <c r="H2195" t="s">
        <v>357</v>
      </c>
      <c r="I2195" t="s">
        <v>535</v>
      </c>
      <c r="J2195" t="s">
        <v>286</v>
      </c>
      <c r="K2195" t="s">
        <v>57</v>
      </c>
    </row>
    <row r="2196" spans="1:11" x14ac:dyDescent="0.35">
      <c r="A2196" t="s">
        <v>2681</v>
      </c>
      <c r="B2196">
        <v>2025</v>
      </c>
      <c r="C2196" t="s">
        <v>1051</v>
      </c>
      <c r="D2196" t="s">
        <v>76</v>
      </c>
      <c r="E2196" t="s">
        <v>107</v>
      </c>
      <c r="F2196" t="s">
        <v>125</v>
      </c>
      <c r="G2196" t="s">
        <v>126</v>
      </c>
      <c r="H2196" t="s">
        <v>357</v>
      </c>
      <c r="I2196" t="s">
        <v>77</v>
      </c>
      <c r="J2196" t="s">
        <v>286</v>
      </c>
      <c r="K2196" t="s">
        <v>57</v>
      </c>
    </row>
    <row r="2197" spans="1:11" x14ac:dyDescent="0.35">
      <c r="A2197" t="s">
        <v>2682</v>
      </c>
      <c r="B2197">
        <v>2025</v>
      </c>
      <c r="C2197" t="s">
        <v>1051</v>
      </c>
      <c r="D2197" t="s">
        <v>85</v>
      </c>
      <c r="E2197" t="s">
        <v>116</v>
      </c>
      <c r="F2197" t="s">
        <v>131</v>
      </c>
      <c r="G2197" t="s">
        <v>128</v>
      </c>
      <c r="H2197" t="s">
        <v>305</v>
      </c>
      <c r="I2197" t="s">
        <v>289</v>
      </c>
      <c r="J2197" t="s">
        <v>2683</v>
      </c>
      <c r="K2197" t="s">
        <v>42</v>
      </c>
    </row>
    <row r="2198" spans="1:11" x14ac:dyDescent="0.35">
      <c r="A2198" t="s">
        <v>2684</v>
      </c>
      <c r="B2198">
        <v>2025</v>
      </c>
      <c r="C2198" t="s">
        <v>1051</v>
      </c>
      <c r="D2198" t="s">
        <v>76</v>
      </c>
      <c r="E2198" t="s">
        <v>119</v>
      </c>
      <c r="F2198" t="s">
        <v>125</v>
      </c>
      <c r="G2198" t="s">
        <v>132</v>
      </c>
      <c r="H2198" t="s">
        <v>357</v>
      </c>
      <c r="I2198" t="s">
        <v>1536</v>
      </c>
      <c r="J2198" t="s">
        <v>308</v>
      </c>
      <c r="K2198" t="s">
        <v>42</v>
      </c>
    </row>
    <row r="2199" spans="1:11" x14ac:dyDescent="0.35">
      <c r="A2199" t="s">
        <v>2685</v>
      </c>
      <c r="B2199">
        <v>2025</v>
      </c>
      <c r="C2199" t="s">
        <v>1051</v>
      </c>
      <c r="D2199" t="s">
        <v>85</v>
      </c>
      <c r="E2199" t="s">
        <v>116</v>
      </c>
      <c r="F2199" t="s">
        <v>129</v>
      </c>
      <c r="G2199" t="s">
        <v>128</v>
      </c>
      <c r="H2199" t="s">
        <v>285</v>
      </c>
      <c r="I2199" t="s">
        <v>77</v>
      </c>
      <c r="J2199" t="s">
        <v>286</v>
      </c>
      <c r="K2199" t="s">
        <v>57</v>
      </c>
    </row>
    <row r="2200" spans="1:11" x14ac:dyDescent="0.35">
      <c r="A2200" t="s">
        <v>2686</v>
      </c>
      <c r="B2200">
        <v>2025</v>
      </c>
      <c r="C2200" t="s">
        <v>1051</v>
      </c>
      <c r="D2200" t="s">
        <v>85</v>
      </c>
      <c r="E2200" t="s">
        <v>116</v>
      </c>
      <c r="F2200" t="s">
        <v>131</v>
      </c>
      <c r="G2200" t="s">
        <v>128</v>
      </c>
      <c r="H2200" t="s">
        <v>285</v>
      </c>
      <c r="I2200" t="s">
        <v>77</v>
      </c>
      <c r="J2200" t="s">
        <v>286</v>
      </c>
      <c r="K2200" t="s">
        <v>57</v>
      </c>
    </row>
    <row r="2201" spans="1:11" x14ac:dyDescent="0.35">
      <c r="A2201" t="s">
        <v>2687</v>
      </c>
      <c r="B2201">
        <v>2025</v>
      </c>
      <c r="C2201" t="s">
        <v>1051</v>
      </c>
      <c r="D2201" t="s">
        <v>76</v>
      </c>
      <c r="E2201" t="s">
        <v>119</v>
      </c>
      <c r="F2201" t="s">
        <v>131</v>
      </c>
      <c r="G2201" t="s">
        <v>128</v>
      </c>
      <c r="H2201" t="s">
        <v>285</v>
      </c>
      <c r="I2201" t="s">
        <v>288</v>
      </c>
      <c r="J2201" t="s">
        <v>347</v>
      </c>
      <c r="K2201" t="s">
        <v>57</v>
      </c>
    </row>
    <row r="2202" spans="1:11" x14ac:dyDescent="0.35">
      <c r="A2202" t="s">
        <v>2688</v>
      </c>
      <c r="B2202">
        <v>2025</v>
      </c>
      <c r="C2202" t="s">
        <v>1051</v>
      </c>
      <c r="D2202" t="s">
        <v>85</v>
      </c>
      <c r="E2202" t="s">
        <v>117</v>
      </c>
      <c r="F2202" t="s">
        <v>129</v>
      </c>
      <c r="G2202" t="s">
        <v>132</v>
      </c>
      <c r="H2202" t="s">
        <v>305</v>
      </c>
      <c r="I2202" t="s">
        <v>86</v>
      </c>
      <c r="J2202" t="s">
        <v>347</v>
      </c>
      <c r="K2202" t="s">
        <v>57</v>
      </c>
    </row>
    <row r="2203" spans="1:11" x14ac:dyDescent="0.35">
      <c r="A2203" t="s">
        <v>2689</v>
      </c>
      <c r="B2203">
        <v>2025</v>
      </c>
      <c r="C2203" t="s">
        <v>1051</v>
      </c>
      <c r="D2203" t="s">
        <v>85</v>
      </c>
      <c r="E2203" t="s">
        <v>116</v>
      </c>
      <c r="F2203" t="s">
        <v>125</v>
      </c>
      <c r="G2203" t="s">
        <v>128</v>
      </c>
      <c r="H2203" t="s">
        <v>285</v>
      </c>
      <c r="I2203" t="s">
        <v>86</v>
      </c>
      <c r="J2203" t="s">
        <v>293</v>
      </c>
      <c r="K2203" t="s">
        <v>42</v>
      </c>
    </row>
    <row r="2204" spans="1:11" x14ac:dyDescent="0.35">
      <c r="A2204" t="s">
        <v>2690</v>
      </c>
      <c r="B2204">
        <v>2025</v>
      </c>
      <c r="C2204" t="s">
        <v>1051</v>
      </c>
      <c r="D2204" t="s">
        <v>76</v>
      </c>
      <c r="E2204" t="s">
        <v>109</v>
      </c>
      <c r="F2204" t="s">
        <v>127</v>
      </c>
      <c r="G2204" t="s">
        <v>126</v>
      </c>
      <c r="H2204" t="s">
        <v>285</v>
      </c>
      <c r="I2204" t="s">
        <v>77</v>
      </c>
      <c r="J2204" t="s">
        <v>286</v>
      </c>
      <c r="K2204" t="s">
        <v>57</v>
      </c>
    </row>
    <row r="2205" spans="1:11" x14ac:dyDescent="0.35">
      <c r="A2205" t="s">
        <v>2691</v>
      </c>
      <c r="B2205">
        <v>2025</v>
      </c>
      <c r="C2205" t="s">
        <v>1051</v>
      </c>
      <c r="D2205" t="s">
        <v>76</v>
      </c>
      <c r="E2205" t="s">
        <v>115</v>
      </c>
      <c r="F2205" t="s">
        <v>127</v>
      </c>
      <c r="G2205" t="s">
        <v>128</v>
      </c>
      <c r="H2205" t="s">
        <v>357</v>
      </c>
      <c r="I2205" t="s">
        <v>288</v>
      </c>
      <c r="J2205" t="s">
        <v>286</v>
      </c>
      <c r="K2205" t="s">
        <v>57</v>
      </c>
    </row>
    <row r="2206" spans="1:11" x14ac:dyDescent="0.35">
      <c r="A2206" t="s">
        <v>2692</v>
      </c>
      <c r="B2206">
        <v>2025</v>
      </c>
      <c r="C2206" t="s">
        <v>1051</v>
      </c>
      <c r="D2206" t="s">
        <v>76</v>
      </c>
      <c r="E2206" t="s">
        <v>107</v>
      </c>
      <c r="F2206" t="s">
        <v>125</v>
      </c>
      <c r="G2206" t="s">
        <v>126</v>
      </c>
      <c r="H2206" t="s">
        <v>285</v>
      </c>
      <c r="I2206" t="s">
        <v>86</v>
      </c>
      <c r="J2206" t="s">
        <v>286</v>
      </c>
      <c r="K2206" t="s">
        <v>57</v>
      </c>
    </row>
    <row r="2207" spans="1:11" x14ac:dyDescent="0.35">
      <c r="A2207" t="s">
        <v>2693</v>
      </c>
      <c r="B2207">
        <v>2025</v>
      </c>
      <c r="C2207" t="s">
        <v>1051</v>
      </c>
      <c r="D2207" t="s">
        <v>85</v>
      </c>
      <c r="E2207" t="s">
        <v>120</v>
      </c>
      <c r="F2207" t="s">
        <v>133</v>
      </c>
      <c r="G2207" t="s">
        <v>126</v>
      </c>
      <c r="H2207" t="s">
        <v>285</v>
      </c>
      <c r="I2207" t="s">
        <v>351</v>
      </c>
      <c r="J2207" t="s">
        <v>326</v>
      </c>
      <c r="K2207" t="s">
        <v>57</v>
      </c>
    </row>
    <row r="2208" spans="1:11" x14ac:dyDescent="0.35">
      <c r="A2208" t="s">
        <v>2694</v>
      </c>
      <c r="B2208">
        <v>2025</v>
      </c>
      <c r="C2208" t="s">
        <v>1051</v>
      </c>
      <c r="D2208" t="s">
        <v>85</v>
      </c>
      <c r="E2208" t="s">
        <v>117</v>
      </c>
      <c r="F2208" t="s">
        <v>129</v>
      </c>
      <c r="G2208" t="s">
        <v>128</v>
      </c>
      <c r="H2208" t="s">
        <v>305</v>
      </c>
      <c r="I2208" t="s">
        <v>86</v>
      </c>
      <c r="J2208" t="s">
        <v>2695</v>
      </c>
      <c r="K2208" t="s">
        <v>57</v>
      </c>
    </row>
    <row r="2209" spans="1:11" x14ac:dyDescent="0.35">
      <c r="A2209" t="s">
        <v>2696</v>
      </c>
      <c r="B2209">
        <v>2025</v>
      </c>
      <c r="C2209" t="s">
        <v>1051</v>
      </c>
      <c r="D2209" t="s">
        <v>85</v>
      </c>
      <c r="E2209" t="s">
        <v>120</v>
      </c>
      <c r="F2209" t="s">
        <v>131</v>
      </c>
      <c r="G2209" t="s">
        <v>132</v>
      </c>
      <c r="H2209" t="s">
        <v>357</v>
      </c>
      <c r="I2209" t="s">
        <v>77</v>
      </c>
      <c r="J2209" t="s">
        <v>317</v>
      </c>
      <c r="K2209" t="s">
        <v>57</v>
      </c>
    </row>
    <row r="2210" spans="1:11" x14ac:dyDescent="0.35">
      <c r="A2210" t="s">
        <v>2697</v>
      </c>
      <c r="B2210">
        <v>2025</v>
      </c>
      <c r="C2210" t="s">
        <v>1051</v>
      </c>
      <c r="D2210" t="s">
        <v>85</v>
      </c>
      <c r="E2210" t="s">
        <v>116</v>
      </c>
      <c r="F2210" t="s">
        <v>127</v>
      </c>
      <c r="G2210" t="s">
        <v>132</v>
      </c>
      <c r="H2210" t="s">
        <v>285</v>
      </c>
      <c r="I2210" t="s">
        <v>289</v>
      </c>
      <c r="J2210" t="s">
        <v>286</v>
      </c>
      <c r="K2210" t="s">
        <v>57</v>
      </c>
    </row>
    <row r="2211" spans="1:11" x14ac:dyDescent="0.35">
      <c r="A2211" t="s">
        <v>2698</v>
      </c>
      <c r="B2211">
        <v>2025</v>
      </c>
      <c r="C2211" t="s">
        <v>1051</v>
      </c>
      <c r="D2211" t="s">
        <v>76</v>
      </c>
      <c r="E2211" t="s">
        <v>107</v>
      </c>
      <c r="F2211" t="s">
        <v>125</v>
      </c>
      <c r="G2211" t="s">
        <v>126</v>
      </c>
      <c r="H2211" t="s">
        <v>357</v>
      </c>
      <c r="I2211" t="s">
        <v>289</v>
      </c>
      <c r="J2211" t="s">
        <v>775</v>
      </c>
      <c r="K2211" t="s">
        <v>42</v>
      </c>
    </row>
    <row r="2212" spans="1:11" x14ac:dyDescent="0.35">
      <c r="A2212" t="s">
        <v>2699</v>
      </c>
      <c r="B2212">
        <v>2025</v>
      </c>
      <c r="C2212" t="s">
        <v>1051</v>
      </c>
      <c r="D2212" t="s">
        <v>85</v>
      </c>
      <c r="E2212" t="s">
        <v>116</v>
      </c>
      <c r="F2212" t="s">
        <v>131</v>
      </c>
      <c r="G2212" t="s">
        <v>132</v>
      </c>
      <c r="H2212" t="s">
        <v>285</v>
      </c>
      <c r="I2212" t="s">
        <v>288</v>
      </c>
      <c r="J2212" t="s">
        <v>286</v>
      </c>
      <c r="K2212" t="s">
        <v>57</v>
      </c>
    </row>
    <row r="2213" spans="1:11" x14ac:dyDescent="0.35">
      <c r="A2213" t="s">
        <v>2700</v>
      </c>
      <c r="B2213">
        <v>2025</v>
      </c>
      <c r="C2213" t="s">
        <v>1051</v>
      </c>
      <c r="D2213" t="s">
        <v>76</v>
      </c>
      <c r="E2213" t="s">
        <v>111</v>
      </c>
      <c r="F2213" t="s">
        <v>125</v>
      </c>
      <c r="G2213" t="s">
        <v>130</v>
      </c>
      <c r="H2213" t="s">
        <v>285</v>
      </c>
      <c r="I2213" t="s">
        <v>86</v>
      </c>
      <c r="J2213" t="s">
        <v>288</v>
      </c>
      <c r="K2213" t="s">
        <v>57</v>
      </c>
    </row>
    <row r="2214" spans="1:11" x14ac:dyDescent="0.35">
      <c r="A2214" t="s">
        <v>2701</v>
      </c>
      <c r="B2214">
        <v>2025</v>
      </c>
      <c r="C2214" t="s">
        <v>1051</v>
      </c>
      <c r="D2214" t="s">
        <v>76</v>
      </c>
      <c r="E2214" t="s">
        <v>107</v>
      </c>
      <c r="F2214" t="s">
        <v>125</v>
      </c>
      <c r="G2214" t="s">
        <v>128</v>
      </c>
      <c r="H2214" t="s">
        <v>285</v>
      </c>
      <c r="I2214" t="s">
        <v>86</v>
      </c>
      <c r="J2214" t="s">
        <v>317</v>
      </c>
      <c r="K2214" t="s">
        <v>57</v>
      </c>
    </row>
    <row r="2215" spans="1:11" x14ac:dyDescent="0.35">
      <c r="A2215" t="s">
        <v>2702</v>
      </c>
      <c r="B2215">
        <v>2025</v>
      </c>
      <c r="C2215" t="s">
        <v>1051</v>
      </c>
      <c r="D2215" t="s">
        <v>76</v>
      </c>
      <c r="E2215" t="s">
        <v>107</v>
      </c>
      <c r="F2215" t="s">
        <v>125</v>
      </c>
      <c r="G2215" t="s">
        <v>130</v>
      </c>
      <c r="H2215" t="s">
        <v>285</v>
      </c>
      <c r="I2215" t="s">
        <v>86</v>
      </c>
      <c r="J2215" t="s">
        <v>2703</v>
      </c>
      <c r="K2215" t="s">
        <v>42</v>
      </c>
    </row>
    <row r="2216" spans="1:11" x14ac:dyDescent="0.35">
      <c r="A2216" t="s">
        <v>2704</v>
      </c>
      <c r="B2216">
        <v>2025</v>
      </c>
      <c r="C2216" t="s">
        <v>1051</v>
      </c>
      <c r="D2216" t="s">
        <v>85</v>
      </c>
      <c r="E2216" t="s">
        <v>377</v>
      </c>
      <c r="F2216" t="s">
        <v>131</v>
      </c>
      <c r="G2216" t="s">
        <v>130</v>
      </c>
      <c r="H2216" t="s">
        <v>305</v>
      </c>
      <c r="I2216" t="s">
        <v>77</v>
      </c>
      <c r="J2216" t="s">
        <v>286</v>
      </c>
      <c r="K2216" t="s">
        <v>57</v>
      </c>
    </row>
    <row r="2217" spans="1:11" x14ac:dyDescent="0.35">
      <c r="A2217" t="s">
        <v>2705</v>
      </c>
      <c r="B2217">
        <v>2025</v>
      </c>
      <c r="C2217" t="s">
        <v>1051</v>
      </c>
      <c r="D2217" t="s">
        <v>85</v>
      </c>
      <c r="E2217" t="s">
        <v>116</v>
      </c>
      <c r="F2217" t="s">
        <v>129</v>
      </c>
      <c r="G2217" t="s">
        <v>126</v>
      </c>
      <c r="H2217" t="s">
        <v>285</v>
      </c>
      <c r="I2217" t="s">
        <v>289</v>
      </c>
      <c r="J2217" t="s">
        <v>326</v>
      </c>
      <c r="K2217" t="s">
        <v>57</v>
      </c>
    </row>
    <row r="2218" spans="1:11" x14ac:dyDescent="0.35">
      <c r="A2218" t="s">
        <v>2706</v>
      </c>
      <c r="B2218">
        <v>2025</v>
      </c>
      <c r="C2218" t="s">
        <v>1051</v>
      </c>
      <c r="D2218" t="s">
        <v>76</v>
      </c>
      <c r="E2218" t="s">
        <v>110</v>
      </c>
      <c r="F2218" t="s">
        <v>131</v>
      </c>
      <c r="G2218" t="s">
        <v>128</v>
      </c>
      <c r="H2218" t="s">
        <v>285</v>
      </c>
      <c r="I2218" t="s">
        <v>86</v>
      </c>
      <c r="J2218" t="s">
        <v>286</v>
      </c>
      <c r="K2218" t="s">
        <v>57</v>
      </c>
    </row>
    <row r="2219" spans="1:11" x14ac:dyDescent="0.35">
      <c r="A2219" t="s">
        <v>2707</v>
      </c>
      <c r="B2219">
        <v>2025</v>
      </c>
      <c r="C2219" t="s">
        <v>1051</v>
      </c>
      <c r="D2219" t="s">
        <v>76</v>
      </c>
      <c r="E2219" t="s">
        <v>115</v>
      </c>
      <c r="F2219" t="s">
        <v>125</v>
      </c>
      <c r="G2219" t="s">
        <v>128</v>
      </c>
      <c r="H2219" t="s">
        <v>357</v>
      </c>
      <c r="I2219" t="s">
        <v>86</v>
      </c>
      <c r="J2219" t="s">
        <v>286</v>
      </c>
      <c r="K2219" t="s">
        <v>57</v>
      </c>
    </row>
    <row r="2220" spans="1:11" x14ac:dyDescent="0.35">
      <c r="A2220" t="s">
        <v>2708</v>
      </c>
      <c r="B2220">
        <v>2025</v>
      </c>
      <c r="C2220" t="s">
        <v>1051</v>
      </c>
      <c r="D2220" t="s">
        <v>85</v>
      </c>
      <c r="E2220" t="s">
        <v>117</v>
      </c>
      <c r="F2220" t="s">
        <v>133</v>
      </c>
      <c r="G2220" t="s">
        <v>128</v>
      </c>
      <c r="H2220" t="s">
        <v>285</v>
      </c>
      <c r="I2220" t="s">
        <v>289</v>
      </c>
      <c r="J2220" t="s">
        <v>320</v>
      </c>
      <c r="K2220" t="s">
        <v>42</v>
      </c>
    </row>
    <row r="2221" spans="1:11" x14ac:dyDescent="0.35">
      <c r="A2221" t="s">
        <v>2709</v>
      </c>
      <c r="B2221">
        <v>2025</v>
      </c>
      <c r="C2221" t="s">
        <v>1051</v>
      </c>
      <c r="D2221" t="s">
        <v>85</v>
      </c>
      <c r="E2221" t="s">
        <v>120</v>
      </c>
      <c r="F2221" t="s">
        <v>127</v>
      </c>
      <c r="G2221" t="s">
        <v>130</v>
      </c>
      <c r="H2221" t="s">
        <v>357</v>
      </c>
      <c r="I2221" t="s">
        <v>288</v>
      </c>
      <c r="J2221" t="s">
        <v>288</v>
      </c>
      <c r="K2221" t="s">
        <v>57</v>
      </c>
    </row>
    <row r="2222" spans="1:11" x14ac:dyDescent="0.35">
      <c r="A2222" t="s">
        <v>2710</v>
      </c>
      <c r="B2222">
        <v>2025</v>
      </c>
      <c r="C2222" t="s">
        <v>1051</v>
      </c>
      <c r="D2222" t="s">
        <v>85</v>
      </c>
      <c r="E2222" t="s">
        <v>116</v>
      </c>
      <c r="F2222" t="s">
        <v>131</v>
      </c>
      <c r="G2222" t="s">
        <v>126</v>
      </c>
      <c r="H2222" t="s">
        <v>285</v>
      </c>
      <c r="I2222" t="s">
        <v>289</v>
      </c>
      <c r="J2222" t="s">
        <v>286</v>
      </c>
      <c r="K2222" t="s">
        <v>57</v>
      </c>
    </row>
    <row r="2223" spans="1:11" x14ac:dyDescent="0.35">
      <c r="A2223" t="s">
        <v>2711</v>
      </c>
      <c r="B2223">
        <v>2025</v>
      </c>
      <c r="C2223" t="s">
        <v>1051</v>
      </c>
      <c r="D2223" t="s">
        <v>76</v>
      </c>
      <c r="E2223" t="s">
        <v>118</v>
      </c>
      <c r="F2223" t="s">
        <v>131</v>
      </c>
      <c r="G2223" t="s">
        <v>128</v>
      </c>
      <c r="H2223" t="s">
        <v>357</v>
      </c>
      <c r="I2223" t="s">
        <v>86</v>
      </c>
      <c r="J2223" t="s">
        <v>317</v>
      </c>
      <c r="K2223" t="s">
        <v>57</v>
      </c>
    </row>
    <row r="2224" spans="1:11" x14ac:dyDescent="0.35">
      <c r="A2224" t="s">
        <v>2712</v>
      </c>
      <c r="B2224">
        <v>2025</v>
      </c>
      <c r="C2224" t="s">
        <v>1051</v>
      </c>
      <c r="D2224" t="s">
        <v>85</v>
      </c>
      <c r="E2224" t="s">
        <v>116</v>
      </c>
      <c r="F2224" t="s">
        <v>129</v>
      </c>
      <c r="G2224" t="s">
        <v>128</v>
      </c>
      <c r="H2224" t="s">
        <v>285</v>
      </c>
      <c r="I2224" t="s">
        <v>337</v>
      </c>
      <c r="J2224" t="s">
        <v>854</v>
      </c>
      <c r="K2224" t="s">
        <v>57</v>
      </c>
    </row>
    <row r="2225" spans="1:11" x14ac:dyDescent="0.35">
      <c r="A2225" t="s">
        <v>2713</v>
      </c>
      <c r="B2225">
        <v>2025</v>
      </c>
      <c r="C2225" t="s">
        <v>1051</v>
      </c>
      <c r="D2225" t="s">
        <v>85</v>
      </c>
      <c r="E2225" t="s">
        <v>116</v>
      </c>
      <c r="F2225" t="s">
        <v>129</v>
      </c>
      <c r="G2225" t="s">
        <v>128</v>
      </c>
      <c r="H2225" t="s">
        <v>285</v>
      </c>
      <c r="I2225" t="s">
        <v>77</v>
      </c>
      <c r="J2225" t="s">
        <v>286</v>
      </c>
      <c r="K2225" t="s">
        <v>57</v>
      </c>
    </row>
    <row r="2226" spans="1:11" x14ac:dyDescent="0.35">
      <c r="A2226" t="s">
        <v>2714</v>
      </c>
      <c r="B2226">
        <v>2025</v>
      </c>
      <c r="C2226" t="s">
        <v>1051</v>
      </c>
      <c r="D2226" t="s">
        <v>85</v>
      </c>
      <c r="E2226" t="s">
        <v>120</v>
      </c>
      <c r="F2226" t="s">
        <v>131</v>
      </c>
      <c r="G2226" t="s">
        <v>126</v>
      </c>
      <c r="H2226" t="s">
        <v>285</v>
      </c>
      <c r="I2226" t="s">
        <v>433</v>
      </c>
      <c r="J2226" t="s">
        <v>447</v>
      </c>
      <c r="K2226" t="s">
        <v>57</v>
      </c>
    </row>
    <row r="2227" spans="1:11" x14ac:dyDescent="0.35">
      <c r="A2227" t="s">
        <v>2715</v>
      </c>
      <c r="B2227">
        <v>2025</v>
      </c>
      <c r="C2227" t="s">
        <v>1051</v>
      </c>
      <c r="D2227" t="s">
        <v>76</v>
      </c>
      <c r="E2227" t="s">
        <v>118</v>
      </c>
      <c r="F2227" t="s">
        <v>133</v>
      </c>
      <c r="G2227" t="s">
        <v>128</v>
      </c>
      <c r="H2227" t="s">
        <v>285</v>
      </c>
      <c r="I2227" t="s">
        <v>333</v>
      </c>
      <c r="J2227" t="s">
        <v>286</v>
      </c>
      <c r="K2227" t="s">
        <v>57</v>
      </c>
    </row>
    <row r="2228" spans="1:11" x14ac:dyDescent="0.35">
      <c r="A2228" t="s">
        <v>2716</v>
      </c>
      <c r="B2228">
        <v>2025</v>
      </c>
      <c r="C2228" t="s">
        <v>1051</v>
      </c>
      <c r="D2228" t="s">
        <v>85</v>
      </c>
      <c r="E2228" t="s">
        <v>116</v>
      </c>
      <c r="F2228" t="s">
        <v>129</v>
      </c>
      <c r="G2228" t="s">
        <v>128</v>
      </c>
      <c r="H2228" t="s">
        <v>285</v>
      </c>
      <c r="I2228" t="s">
        <v>288</v>
      </c>
      <c r="J2228" t="s">
        <v>288</v>
      </c>
      <c r="K2228" t="s">
        <v>57</v>
      </c>
    </row>
    <row r="2229" spans="1:11" x14ac:dyDescent="0.35">
      <c r="A2229" t="s">
        <v>2717</v>
      </c>
      <c r="B2229">
        <v>2025</v>
      </c>
      <c r="C2229" t="s">
        <v>1051</v>
      </c>
      <c r="D2229" t="s">
        <v>85</v>
      </c>
      <c r="E2229" t="s">
        <v>116</v>
      </c>
      <c r="F2229" t="s">
        <v>131</v>
      </c>
      <c r="G2229" t="s">
        <v>128</v>
      </c>
      <c r="H2229" t="s">
        <v>357</v>
      </c>
      <c r="I2229" t="s">
        <v>289</v>
      </c>
      <c r="J2229" t="s">
        <v>317</v>
      </c>
      <c r="K2229" t="s">
        <v>57</v>
      </c>
    </row>
    <row r="2230" spans="1:11" x14ac:dyDescent="0.35">
      <c r="A2230" t="s">
        <v>2718</v>
      </c>
      <c r="B2230">
        <v>2025</v>
      </c>
      <c r="C2230" t="s">
        <v>1051</v>
      </c>
      <c r="D2230" t="s">
        <v>85</v>
      </c>
      <c r="E2230" t="s">
        <v>116</v>
      </c>
      <c r="F2230" t="s">
        <v>127</v>
      </c>
      <c r="G2230" t="s">
        <v>126</v>
      </c>
      <c r="H2230" t="s">
        <v>285</v>
      </c>
      <c r="I2230" t="s">
        <v>86</v>
      </c>
      <c r="J2230" t="s">
        <v>347</v>
      </c>
      <c r="K2230" t="s">
        <v>57</v>
      </c>
    </row>
    <row r="2231" spans="1:11" x14ac:dyDescent="0.35">
      <c r="A2231" t="s">
        <v>2719</v>
      </c>
      <c r="B2231">
        <v>2025</v>
      </c>
      <c r="C2231" t="s">
        <v>1051</v>
      </c>
      <c r="D2231" t="s">
        <v>76</v>
      </c>
      <c r="E2231" t="s">
        <v>107</v>
      </c>
      <c r="F2231" t="s">
        <v>125</v>
      </c>
      <c r="G2231" t="s">
        <v>128</v>
      </c>
      <c r="H2231" t="s">
        <v>285</v>
      </c>
      <c r="I2231" t="s">
        <v>86</v>
      </c>
      <c r="J2231" t="s">
        <v>308</v>
      </c>
      <c r="K2231" t="s">
        <v>42</v>
      </c>
    </row>
    <row r="2232" spans="1:11" x14ac:dyDescent="0.35">
      <c r="A2232" t="s">
        <v>2720</v>
      </c>
      <c r="B2232">
        <v>2025</v>
      </c>
      <c r="C2232" t="s">
        <v>1051</v>
      </c>
      <c r="D2232" t="s">
        <v>76</v>
      </c>
      <c r="E2232" t="s">
        <v>113</v>
      </c>
      <c r="F2232" t="s">
        <v>125</v>
      </c>
      <c r="G2232" t="s">
        <v>132</v>
      </c>
      <c r="H2232" t="s">
        <v>285</v>
      </c>
      <c r="I2232" t="s">
        <v>77</v>
      </c>
      <c r="J2232" t="s">
        <v>405</v>
      </c>
      <c r="K2232" t="s">
        <v>57</v>
      </c>
    </row>
    <row r="2233" spans="1:11" x14ac:dyDescent="0.35">
      <c r="A2233" t="s">
        <v>2721</v>
      </c>
      <c r="B2233">
        <v>2025</v>
      </c>
      <c r="C2233" t="s">
        <v>1051</v>
      </c>
      <c r="D2233" t="s">
        <v>76</v>
      </c>
      <c r="E2233" t="s">
        <v>107</v>
      </c>
      <c r="F2233" t="s">
        <v>125</v>
      </c>
      <c r="G2233" t="s">
        <v>130</v>
      </c>
      <c r="H2233" t="s">
        <v>285</v>
      </c>
      <c r="I2233" t="s">
        <v>86</v>
      </c>
      <c r="J2233" t="s">
        <v>308</v>
      </c>
      <c r="K2233" t="s">
        <v>42</v>
      </c>
    </row>
    <row r="2234" spans="1:11" x14ac:dyDescent="0.35">
      <c r="A2234" t="s">
        <v>2722</v>
      </c>
      <c r="B2234">
        <v>2025</v>
      </c>
      <c r="C2234" t="s">
        <v>1051</v>
      </c>
      <c r="D2234" t="s">
        <v>76</v>
      </c>
      <c r="E2234" t="s">
        <v>107</v>
      </c>
      <c r="F2234" t="s">
        <v>125</v>
      </c>
      <c r="G2234" t="s">
        <v>128</v>
      </c>
      <c r="H2234" t="s">
        <v>285</v>
      </c>
      <c r="I2234" t="s">
        <v>86</v>
      </c>
      <c r="J2234" t="s">
        <v>308</v>
      </c>
      <c r="K2234" t="s">
        <v>42</v>
      </c>
    </row>
    <row r="2235" spans="1:11" x14ac:dyDescent="0.35">
      <c r="A2235" t="s">
        <v>2723</v>
      </c>
      <c r="B2235">
        <v>2025</v>
      </c>
      <c r="C2235" t="s">
        <v>1051</v>
      </c>
      <c r="D2235" t="s">
        <v>85</v>
      </c>
      <c r="E2235" t="s">
        <v>116</v>
      </c>
      <c r="F2235" t="s">
        <v>125</v>
      </c>
      <c r="G2235" t="s">
        <v>126</v>
      </c>
      <c r="H2235" t="s">
        <v>285</v>
      </c>
      <c r="I2235" t="s">
        <v>77</v>
      </c>
      <c r="J2235" t="s">
        <v>286</v>
      </c>
      <c r="K2235" t="s">
        <v>57</v>
      </c>
    </row>
    <row r="2236" spans="1:11" x14ac:dyDescent="0.35">
      <c r="A2236" t="s">
        <v>2724</v>
      </c>
      <c r="B2236">
        <v>2025</v>
      </c>
      <c r="C2236" t="s">
        <v>1051</v>
      </c>
      <c r="D2236" t="s">
        <v>85</v>
      </c>
      <c r="E2236" t="s">
        <v>116</v>
      </c>
      <c r="F2236" t="s">
        <v>129</v>
      </c>
      <c r="G2236" t="s">
        <v>128</v>
      </c>
      <c r="H2236" t="s">
        <v>285</v>
      </c>
      <c r="I2236" t="s">
        <v>77</v>
      </c>
      <c r="J2236" t="s">
        <v>286</v>
      </c>
      <c r="K2236" t="s">
        <v>57</v>
      </c>
    </row>
    <row r="2237" spans="1:11" x14ac:dyDescent="0.35">
      <c r="A2237" t="s">
        <v>2725</v>
      </c>
      <c r="B2237">
        <v>2025</v>
      </c>
      <c r="C2237" t="s">
        <v>1051</v>
      </c>
      <c r="D2237" t="s">
        <v>76</v>
      </c>
      <c r="E2237" t="s">
        <v>115</v>
      </c>
      <c r="F2237" t="s">
        <v>131</v>
      </c>
      <c r="G2237" t="s">
        <v>130</v>
      </c>
      <c r="H2237" t="s">
        <v>357</v>
      </c>
      <c r="I2237" t="s">
        <v>2305</v>
      </c>
      <c r="J2237" t="s">
        <v>2726</v>
      </c>
      <c r="K2237" t="s">
        <v>42</v>
      </c>
    </row>
    <row r="2238" spans="1:11" x14ac:dyDescent="0.35">
      <c r="A2238" t="s">
        <v>2727</v>
      </c>
      <c r="B2238">
        <v>2025</v>
      </c>
      <c r="C2238" t="s">
        <v>1051</v>
      </c>
      <c r="D2238" t="s">
        <v>85</v>
      </c>
      <c r="E2238" t="s">
        <v>116</v>
      </c>
      <c r="F2238" t="s">
        <v>129</v>
      </c>
      <c r="G2238" t="s">
        <v>130</v>
      </c>
      <c r="H2238" t="s">
        <v>357</v>
      </c>
      <c r="I2238" t="s">
        <v>86</v>
      </c>
      <c r="J2238" t="s">
        <v>288</v>
      </c>
      <c r="K2238" t="s">
        <v>57</v>
      </c>
    </row>
    <row r="2239" spans="1:11" x14ac:dyDescent="0.35">
      <c r="A2239" t="s">
        <v>2728</v>
      </c>
      <c r="B2239">
        <v>2025</v>
      </c>
      <c r="C2239" t="s">
        <v>1051</v>
      </c>
      <c r="D2239" t="s">
        <v>85</v>
      </c>
      <c r="E2239" t="s">
        <v>116</v>
      </c>
      <c r="F2239" t="s">
        <v>129</v>
      </c>
      <c r="G2239" t="s">
        <v>126</v>
      </c>
      <c r="H2239" t="s">
        <v>285</v>
      </c>
      <c r="I2239" t="s">
        <v>289</v>
      </c>
      <c r="J2239" t="s">
        <v>286</v>
      </c>
      <c r="K2239" t="s">
        <v>57</v>
      </c>
    </row>
    <row r="2240" spans="1:11" x14ac:dyDescent="0.35">
      <c r="A2240" t="s">
        <v>2729</v>
      </c>
      <c r="B2240">
        <v>2025</v>
      </c>
      <c r="C2240" t="s">
        <v>1051</v>
      </c>
      <c r="D2240" t="s">
        <v>85</v>
      </c>
      <c r="E2240" t="s">
        <v>116</v>
      </c>
      <c r="F2240" t="s">
        <v>131</v>
      </c>
      <c r="G2240" t="s">
        <v>126</v>
      </c>
      <c r="H2240" t="s">
        <v>285</v>
      </c>
      <c r="I2240" t="s">
        <v>288</v>
      </c>
      <c r="J2240" t="s">
        <v>288</v>
      </c>
      <c r="K2240" t="s">
        <v>57</v>
      </c>
    </row>
    <row r="2241" spans="1:11" x14ac:dyDescent="0.35">
      <c r="A2241" t="s">
        <v>2730</v>
      </c>
      <c r="B2241">
        <v>2025</v>
      </c>
      <c r="C2241" t="s">
        <v>1051</v>
      </c>
      <c r="D2241" t="s">
        <v>85</v>
      </c>
      <c r="E2241" t="s">
        <v>120</v>
      </c>
      <c r="F2241" t="s">
        <v>131</v>
      </c>
      <c r="G2241" t="s">
        <v>128</v>
      </c>
      <c r="H2241" t="s">
        <v>285</v>
      </c>
      <c r="I2241" t="s">
        <v>77</v>
      </c>
      <c r="J2241" t="s">
        <v>317</v>
      </c>
      <c r="K2241" t="s">
        <v>57</v>
      </c>
    </row>
    <row r="2242" spans="1:11" x14ac:dyDescent="0.35">
      <c r="A2242" t="s">
        <v>2731</v>
      </c>
      <c r="B2242">
        <v>2025</v>
      </c>
      <c r="C2242" t="s">
        <v>1051</v>
      </c>
      <c r="D2242" t="s">
        <v>76</v>
      </c>
      <c r="E2242" t="s">
        <v>118</v>
      </c>
      <c r="F2242" t="s">
        <v>133</v>
      </c>
      <c r="G2242" t="s">
        <v>130</v>
      </c>
      <c r="H2242" t="s">
        <v>285</v>
      </c>
      <c r="I2242" t="s">
        <v>333</v>
      </c>
      <c r="J2242" t="s">
        <v>326</v>
      </c>
      <c r="K2242" t="s">
        <v>57</v>
      </c>
    </row>
    <row r="2243" spans="1:11" x14ac:dyDescent="0.35">
      <c r="A2243" t="s">
        <v>2732</v>
      </c>
      <c r="B2243">
        <v>2025</v>
      </c>
      <c r="C2243" t="s">
        <v>1051</v>
      </c>
      <c r="D2243" t="s">
        <v>85</v>
      </c>
      <c r="E2243" t="s">
        <v>117</v>
      </c>
      <c r="F2243" t="s">
        <v>125</v>
      </c>
      <c r="G2243" t="s">
        <v>126</v>
      </c>
      <c r="H2243" t="s">
        <v>357</v>
      </c>
      <c r="I2243" t="s">
        <v>86</v>
      </c>
      <c r="J2243" t="s">
        <v>317</v>
      </c>
      <c r="K2243" t="s">
        <v>57</v>
      </c>
    </row>
    <row r="2244" spans="1:11" x14ac:dyDescent="0.35">
      <c r="A2244" t="s">
        <v>2733</v>
      </c>
      <c r="B2244">
        <v>2025</v>
      </c>
      <c r="C2244" t="s">
        <v>1051</v>
      </c>
      <c r="D2244" t="s">
        <v>85</v>
      </c>
      <c r="E2244" t="s">
        <v>117</v>
      </c>
      <c r="F2244" t="s">
        <v>127</v>
      </c>
      <c r="G2244" t="s">
        <v>128</v>
      </c>
      <c r="H2244" t="s">
        <v>305</v>
      </c>
      <c r="I2244" t="s">
        <v>86</v>
      </c>
      <c r="J2244" t="s">
        <v>317</v>
      </c>
      <c r="K2244" t="s">
        <v>57</v>
      </c>
    </row>
    <row r="2245" spans="1:11" x14ac:dyDescent="0.35">
      <c r="A2245" t="s">
        <v>2734</v>
      </c>
      <c r="B2245">
        <v>2025</v>
      </c>
      <c r="C2245" t="s">
        <v>1051</v>
      </c>
      <c r="D2245" t="s">
        <v>76</v>
      </c>
      <c r="E2245" t="s">
        <v>115</v>
      </c>
      <c r="F2245" t="s">
        <v>127</v>
      </c>
      <c r="G2245" t="s">
        <v>128</v>
      </c>
      <c r="H2245" t="s">
        <v>285</v>
      </c>
      <c r="I2245" t="s">
        <v>77</v>
      </c>
      <c r="J2245" t="s">
        <v>288</v>
      </c>
      <c r="K2245" t="s">
        <v>57</v>
      </c>
    </row>
    <row r="2246" spans="1:11" x14ac:dyDescent="0.35">
      <c r="A2246" t="s">
        <v>2735</v>
      </c>
      <c r="B2246">
        <v>2025</v>
      </c>
      <c r="C2246" t="s">
        <v>1051</v>
      </c>
      <c r="D2246" t="s">
        <v>85</v>
      </c>
      <c r="E2246" t="s">
        <v>116</v>
      </c>
      <c r="F2246" t="s">
        <v>131</v>
      </c>
      <c r="G2246" t="s">
        <v>126</v>
      </c>
      <c r="H2246" t="s">
        <v>285</v>
      </c>
      <c r="I2246" t="s">
        <v>289</v>
      </c>
      <c r="J2246" t="s">
        <v>286</v>
      </c>
      <c r="K2246" t="s">
        <v>57</v>
      </c>
    </row>
    <row r="2247" spans="1:11" x14ac:dyDescent="0.35">
      <c r="A2247" t="s">
        <v>2736</v>
      </c>
      <c r="B2247">
        <v>2025</v>
      </c>
      <c r="C2247" t="s">
        <v>1051</v>
      </c>
      <c r="D2247" t="s">
        <v>76</v>
      </c>
      <c r="E2247" t="s">
        <v>115</v>
      </c>
      <c r="F2247" t="s">
        <v>125</v>
      </c>
      <c r="G2247" t="s">
        <v>126</v>
      </c>
      <c r="H2247" t="s">
        <v>285</v>
      </c>
      <c r="I2247" t="s">
        <v>288</v>
      </c>
      <c r="J2247" t="s">
        <v>288</v>
      </c>
      <c r="K2247" t="s">
        <v>57</v>
      </c>
    </row>
    <row r="2248" spans="1:11" x14ac:dyDescent="0.35">
      <c r="A2248" t="s">
        <v>2737</v>
      </c>
      <c r="B2248">
        <v>2025</v>
      </c>
      <c r="C2248" t="s">
        <v>1051</v>
      </c>
      <c r="D2248" t="s">
        <v>76</v>
      </c>
      <c r="E2248" t="s">
        <v>119</v>
      </c>
      <c r="F2248" t="s">
        <v>125</v>
      </c>
      <c r="G2248" t="s">
        <v>130</v>
      </c>
      <c r="H2248" t="s">
        <v>285</v>
      </c>
      <c r="I2248" t="s">
        <v>77</v>
      </c>
      <c r="J2248" t="s">
        <v>1190</v>
      </c>
      <c r="K2248" t="s">
        <v>57</v>
      </c>
    </row>
    <row r="2249" spans="1:11" x14ac:dyDescent="0.35">
      <c r="A2249" t="s">
        <v>2738</v>
      </c>
      <c r="B2249">
        <v>2025</v>
      </c>
      <c r="C2249" t="s">
        <v>1051</v>
      </c>
      <c r="D2249" t="s">
        <v>85</v>
      </c>
      <c r="E2249" t="s">
        <v>120</v>
      </c>
      <c r="F2249" t="s">
        <v>127</v>
      </c>
      <c r="G2249" t="s">
        <v>130</v>
      </c>
      <c r="H2249" t="s">
        <v>305</v>
      </c>
      <c r="I2249" t="s">
        <v>333</v>
      </c>
      <c r="J2249" t="s">
        <v>288</v>
      </c>
      <c r="K2249" t="s">
        <v>57</v>
      </c>
    </row>
    <row r="2250" spans="1:11" x14ac:dyDescent="0.35">
      <c r="A2250" t="s">
        <v>2739</v>
      </c>
      <c r="B2250">
        <v>2025</v>
      </c>
      <c r="C2250" t="s">
        <v>1051</v>
      </c>
      <c r="D2250" t="s">
        <v>85</v>
      </c>
      <c r="E2250" t="s">
        <v>116</v>
      </c>
      <c r="F2250" t="s">
        <v>127</v>
      </c>
      <c r="G2250" t="s">
        <v>128</v>
      </c>
      <c r="H2250" t="s">
        <v>305</v>
      </c>
      <c r="I2250" t="s">
        <v>77</v>
      </c>
      <c r="J2250" t="s">
        <v>288</v>
      </c>
      <c r="K2250" t="s">
        <v>57</v>
      </c>
    </row>
    <row r="2251" spans="1:11" x14ac:dyDescent="0.35">
      <c r="A2251" t="s">
        <v>2740</v>
      </c>
      <c r="B2251">
        <v>2025</v>
      </c>
      <c r="C2251" t="s">
        <v>1051</v>
      </c>
      <c r="D2251" t="s">
        <v>76</v>
      </c>
      <c r="E2251" t="s">
        <v>109</v>
      </c>
      <c r="F2251" t="s">
        <v>129</v>
      </c>
      <c r="G2251" t="s">
        <v>128</v>
      </c>
      <c r="H2251" t="s">
        <v>285</v>
      </c>
      <c r="I2251" t="s">
        <v>86</v>
      </c>
      <c r="J2251" t="s">
        <v>288</v>
      </c>
      <c r="K2251" t="s">
        <v>57</v>
      </c>
    </row>
    <row r="2252" spans="1:11" x14ac:dyDescent="0.35">
      <c r="A2252" t="s">
        <v>2741</v>
      </c>
      <c r="B2252">
        <v>2025</v>
      </c>
      <c r="C2252" t="s">
        <v>1051</v>
      </c>
      <c r="D2252" t="s">
        <v>76</v>
      </c>
      <c r="E2252" t="s">
        <v>119</v>
      </c>
      <c r="F2252" t="s">
        <v>133</v>
      </c>
      <c r="G2252" t="s">
        <v>126</v>
      </c>
      <c r="H2252" t="s">
        <v>285</v>
      </c>
      <c r="I2252" t="s">
        <v>289</v>
      </c>
      <c r="J2252" t="s">
        <v>286</v>
      </c>
      <c r="K2252" t="s">
        <v>57</v>
      </c>
    </row>
    <row r="2253" spans="1:11" x14ac:dyDescent="0.35">
      <c r="A2253" t="s">
        <v>2742</v>
      </c>
      <c r="B2253">
        <v>2025</v>
      </c>
      <c r="C2253" t="s">
        <v>1051</v>
      </c>
      <c r="D2253" t="s">
        <v>76</v>
      </c>
      <c r="E2253" t="s">
        <v>119</v>
      </c>
      <c r="F2253" t="s">
        <v>125</v>
      </c>
      <c r="G2253" t="s">
        <v>128</v>
      </c>
      <c r="H2253" t="s">
        <v>285</v>
      </c>
      <c r="I2253" t="s">
        <v>77</v>
      </c>
      <c r="J2253" t="s">
        <v>286</v>
      </c>
      <c r="K2253" t="s">
        <v>57</v>
      </c>
    </row>
    <row r="2254" spans="1:11" x14ac:dyDescent="0.35">
      <c r="A2254" t="s">
        <v>2743</v>
      </c>
      <c r="B2254">
        <v>2025</v>
      </c>
      <c r="C2254" t="s">
        <v>1051</v>
      </c>
      <c r="D2254" t="s">
        <v>76</v>
      </c>
      <c r="E2254" t="s">
        <v>107</v>
      </c>
      <c r="F2254" t="s">
        <v>125</v>
      </c>
      <c r="G2254" t="s">
        <v>132</v>
      </c>
      <c r="H2254" t="s">
        <v>285</v>
      </c>
      <c r="I2254" t="s">
        <v>86</v>
      </c>
      <c r="J2254" t="s">
        <v>286</v>
      </c>
      <c r="K2254" t="s">
        <v>57</v>
      </c>
    </row>
    <row r="2255" spans="1:11" x14ac:dyDescent="0.35">
      <c r="A2255" t="s">
        <v>2744</v>
      </c>
      <c r="B2255">
        <v>2025</v>
      </c>
      <c r="C2255" t="s">
        <v>1051</v>
      </c>
      <c r="D2255" t="s">
        <v>76</v>
      </c>
      <c r="E2255" t="s">
        <v>107</v>
      </c>
      <c r="F2255" t="s">
        <v>131</v>
      </c>
      <c r="G2255" t="s">
        <v>128</v>
      </c>
      <c r="H2255" t="s">
        <v>285</v>
      </c>
      <c r="I2255" t="s">
        <v>288</v>
      </c>
      <c r="J2255" t="s">
        <v>286</v>
      </c>
      <c r="K2255" t="s">
        <v>57</v>
      </c>
    </row>
    <row r="2256" spans="1:11" x14ac:dyDescent="0.35">
      <c r="A2256" t="s">
        <v>2745</v>
      </c>
      <c r="B2256">
        <v>2025</v>
      </c>
      <c r="C2256" t="s">
        <v>1051</v>
      </c>
      <c r="D2256" t="s">
        <v>76</v>
      </c>
      <c r="E2256" t="s">
        <v>109</v>
      </c>
      <c r="F2256" t="s">
        <v>129</v>
      </c>
      <c r="G2256" t="s">
        <v>128</v>
      </c>
      <c r="H2256" t="s">
        <v>285</v>
      </c>
      <c r="I2256" t="s">
        <v>288</v>
      </c>
      <c r="J2256" t="s">
        <v>288</v>
      </c>
      <c r="K2256" t="s">
        <v>57</v>
      </c>
    </row>
    <row r="2257" spans="1:11" x14ac:dyDescent="0.35">
      <c r="A2257" t="s">
        <v>2746</v>
      </c>
      <c r="B2257">
        <v>2025</v>
      </c>
      <c r="C2257" t="s">
        <v>1051</v>
      </c>
      <c r="D2257" t="s">
        <v>76</v>
      </c>
      <c r="E2257" t="s">
        <v>113</v>
      </c>
      <c r="F2257" t="s">
        <v>127</v>
      </c>
      <c r="G2257" t="s">
        <v>130</v>
      </c>
      <c r="H2257" t="s">
        <v>285</v>
      </c>
      <c r="I2257" t="s">
        <v>288</v>
      </c>
      <c r="J2257" t="s">
        <v>308</v>
      </c>
      <c r="K2257" t="s">
        <v>42</v>
      </c>
    </row>
    <row r="2258" spans="1:11" x14ac:dyDescent="0.35">
      <c r="A2258" t="s">
        <v>2747</v>
      </c>
      <c r="B2258">
        <v>2025</v>
      </c>
      <c r="C2258" t="s">
        <v>1051</v>
      </c>
      <c r="D2258" t="s">
        <v>76</v>
      </c>
      <c r="E2258" t="s">
        <v>108</v>
      </c>
      <c r="F2258" t="s">
        <v>125</v>
      </c>
      <c r="G2258" t="s">
        <v>128</v>
      </c>
      <c r="H2258" t="s">
        <v>285</v>
      </c>
      <c r="I2258" t="s">
        <v>86</v>
      </c>
      <c r="J2258" t="s">
        <v>308</v>
      </c>
      <c r="K2258" t="s">
        <v>42</v>
      </c>
    </row>
    <row r="2259" spans="1:11" x14ac:dyDescent="0.35">
      <c r="A2259" t="s">
        <v>2748</v>
      </c>
      <c r="B2259">
        <v>2025</v>
      </c>
      <c r="C2259" t="s">
        <v>1051</v>
      </c>
      <c r="D2259" t="s">
        <v>85</v>
      </c>
      <c r="E2259" t="s">
        <v>117</v>
      </c>
      <c r="F2259" t="s">
        <v>129</v>
      </c>
      <c r="G2259" t="s">
        <v>126</v>
      </c>
      <c r="H2259" t="s">
        <v>357</v>
      </c>
      <c r="I2259" t="s">
        <v>86</v>
      </c>
      <c r="J2259" t="s">
        <v>288</v>
      </c>
      <c r="K2259" t="s">
        <v>57</v>
      </c>
    </row>
    <row r="2260" spans="1:11" x14ac:dyDescent="0.35">
      <c r="A2260" t="s">
        <v>2749</v>
      </c>
      <c r="B2260">
        <v>2025</v>
      </c>
      <c r="C2260" t="s">
        <v>1051</v>
      </c>
      <c r="D2260" t="s">
        <v>85</v>
      </c>
      <c r="E2260" t="s">
        <v>116</v>
      </c>
      <c r="F2260" t="s">
        <v>129</v>
      </c>
      <c r="G2260" t="s">
        <v>126</v>
      </c>
      <c r="H2260" t="s">
        <v>285</v>
      </c>
      <c r="I2260" t="s">
        <v>289</v>
      </c>
      <c r="J2260" t="s">
        <v>288</v>
      </c>
      <c r="K2260" t="s">
        <v>57</v>
      </c>
    </row>
    <row r="2261" spans="1:11" x14ac:dyDescent="0.35">
      <c r="A2261" t="s">
        <v>2750</v>
      </c>
      <c r="B2261">
        <v>2025</v>
      </c>
      <c r="C2261" t="s">
        <v>1051</v>
      </c>
      <c r="D2261" t="s">
        <v>85</v>
      </c>
      <c r="E2261" t="s">
        <v>116</v>
      </c>
      <c r="F2261" t="s">
        <v>129</v>
      </c>
      <c r="G2261" t="s">
        <v>130</v>
      </c>
      <c r="H2261" t="s">
        <v>285</v>
      </c>
      <c r="I2261" t="s">
        <v>289</v>
      </c>
      <c r="J2261" t="s">
        <v>286</v>
      </c>
      <c r="K2261" t="s">
        <v>57</v>
      </c>
    </row>
    <row r="2262" spans="1:11" x14ac:dyDescent="0.35">
      <c r="A2262" t="s">
        <v>2751</v>
      </c>
      <c r="B2262">
        <v>2025</v>
      </c>
      <c r="C2262" t="s">
        <v>1051</v>
      </c>
      <c r="D2262" t="s">
        <v>85</v>
      </c>
      <c r="E2262" t="s">
        <v>115</v>
      </c>
      <c r="F2262" t="s">
        <v>288</v>
      </c>
      <c r="G2262" t="s">
        <v>130</v>
      </c>
      <c r="H2262" t="s">
        <v>357</v>
      </c>
      <c r="I2262" t="s">
        <v>86</v>
      </c>
      <c r="J2262" t="s">
        <v>288</v>
      </c>
      <c r="K2262" t="s">
        <v>57</v>
      </c>
    </row>
    <row r="2263" spans="1:11" x14ac:dyDescent="0.35">
      <c r="A2263" t="s">
        <v>2752</v>
      </c>
      <c r="B2263">
        <v>2025</v>
      </c>
      <c r="C2263" t="s">
        <v>1051</v>
      </c>
      <c r="D2263" t="s">
        <v>85</v>
      </c>
      <c r="E2263" t="s">
        <v>117</v>
      </c>
      <c r="F2263" t="s">
        <v>129</v>
      </c>
      <c r="G2263" t="s">
        <v>130</v>
      </c>
      <c r="H2263" t="s">
        <v>305</v>
      </c>
      <c r="I2263" t="s">
        <v>77</v>
      </c>
      <c r="J2263" t="s">
        <v>515</v>
      </c>
      <c r="K2263" t="s">
        <v>57</v>
      </c>
    </row>
    <row r="2264" spans="1:11" x14ac:dyDescent="0.35">
      <c r="A2264" t="s">
        <v>2753</v>
      </c>
      <c r="B2264">
        <v>2025</v>
      </c>
      <c r="C2264" t="s">
        <v>1051</v>
      </c>
      <c r="D2264" t="s">
        <v>85</v>
      </c>
      <c r="E2264" t="s">
        <v>117</v>
      </c>
      <c r="F2264" t="s">
        <v>129</v>
      </c>
      <c r="G2264" t="s">
        <v>128</v>
      </c>
      <c r="H2264" t="s">
        <v>357</v>
      </c>
      <c r="I2264" t="s">
        <v>86</v>
      </c>
      <c r="J2264" t="s">
        <v>317</v>
      </c>
      <c r="K2264" t="s">
        <v>57</v>
      </c>
    </row>
    <row r="2265" spans="1:11" x14ac:dyDescent="0.35">
      <c r="A2265" t="s">
        <v>2754</v>
      </c>
      <c r="B2265">
        <v>2025</v>
      </c>
      <c r="C2265" t="s">
        <v>1051</v>
      </c>
      <c r="D2265" t="s">
        <v>85</v>
      </c>
      <c r="E2265" t="s">
        <v>116</v>
      </c>
      <c r="F2265" t="s">
        <v>127</v>
      </c>
      <c r="G2265" t="s">
        <v>132</v>
      </c>
      <c r="H2265" t="s">
        <v>285</v>
      </c>
      <c r="I2265" t="s">
        <v>289</v>
      </c>
      <c r="J2265" t="s">
        <v>403</v>
      </c>
      <c r="K2265" t="s">
        <v>57</v>
      </c>
    </row>
    <row r="2266" spans="1:11" x14ac:dyDescent="0.35">
      <c r="A2266" t="s">
        <v>2755</v>
      </c>
      <c r="B2266">
        <v>2025</v>
      </c>
      <c r="C2266" t="s">
        <v>1051</v>
      </c>
      <c r="D2266" t="s">
        <v>76</v>
      </c>
      <c r="E2266" t="s">
        <v>115</v>
      </c>
      <c r="F2266" t="s">
        <v>129</v>
      </c>
      <c r="G2266" t="s">
        <v>128</v>
      </c>
      <c r="H2266" t="s">
        <v>285</v>
      </c>
      <c r="I2266" t="s">
        <v>1614</v>
      </c>
      <c r="J2266" t="s">
        <v>286</v>
      </c>
      <c r="K2266" t="s">
        <v>57</v>
      </c>
    </row>
    <row r="2267" spans="1:11" x14ac:dyDescent="0.35">
      <c r="A2267" t="s">
        <v>2756</v>
      </c>
      <c r="B2267">
        <v>2025</v>
      </c>
      <c r="C2267" t="s">
        <v>1051</v>
      </c>
      <c r="D2267" t="s">
        <v>76</v>
      </c>
      <c r="E2267" t="s">
        <v>119</v>
      </c>
      <c r="F2267" t="s">
        <v>125</v>
      </c>
      <c r="G2267" t="s">
        <v>128</v>
      </c>
      <c r="H2267" t="s">
        <v>285</v>
      </c>
      <c r="I2267" t="s">
        <v>288</v>
      </c>
      <c r="J2267" t="s">
        <v>288</v>
      </c>
      <c r="K2267" t="s">
        <v>57</v>
      </c>
    </row>
    <row r="2268" spans="1:11" x14ac:dyDescent="0.35">
      <c r="A2268" t="s">
        <v>2757</v>
      </c>
      <c r="B2268">
        <v>2025</v>
      </c>
      <c r="C2268" t="s">
        <v>1051</v>
      </c>
      <c r="D2268" t="s">
        <v>76</v>
      </c>
      <c r="E2268" t="s">
        <v>107</v>
      </c>
      <c r="F2268" t="s">
        <v>125</v>
      </c>
      <c r="G2268" t="s">
        <v>132</v>
      </c>
      <c r="H2268" t="s">
        <v>285</v>
      </c>
      <c r="I2268" t="s">
        <v>86</v>
      </c>
      <c r="J2268" t="s">
        <v>286</v>
      </c>
      <c r="K2268" t="s">
        <v>57</v>
      </c>
    </row>
    <row r="2269" spans="1:11" x14ac:dyDescent="0.35">
      <c r="A2269" t="s">
        <v>2758</v>
      </c>
      <c r="B2269">
        <v>2025</v>
      </c>
      <c r="C2269" t="s">
        <v>1051</v>
      </c>
      <c r="D2269" t="s">
        <v>76</v>
      </c>
      <c r="E2269" t="s">
        <v>119</v>
      </c>
      <c r="F2269" t="s">
        <v>131</v>
      </c>
      <c r="G2269" t="s">
        <v>128</v>
      </c>
      <c r="H2269" t="s">
        <v>285</v>
      </c>
      <c r="I2269" t="s">
        <v>289</v>
      </c>
      <c r="J2269" t="s">
        <v>286</v>
      </c>
      <c r="K2269" t="s">
        <v>57</v>
      </c>
    </row>
    <row r="2270" spans="1:11" x14ac:dyDescent="0.35">
      <c r="A2270" t="s">
        <v>2759</v>
      </c>
      <c r="B2270">
        <v>2025</v>
      </c>
      <c r="C2270" t="s">
        <v>1051</v>
      </c>
      <c r="D2270" t="s">
        <v>76</v>
      </c>
      <c r="E2270" t="s">
        <v>109</v>
      </c>
      <c r="F2270" t="s">
        <v>127</v>
      </c>
      <c r="G2270" t="s">
        <v>128</v>
      </c>
      <c r="H2270" t="s">
        <v>285</v>
      </c>
      <c r="I2270" t="s">
        <v>289</v>
      </c>
      <c r="J2270" t="s">
        <v>286</v>
      </c>
      <c r="K2270" t="s">
        <v>57</v>
      </c>
    </row>
    <row r="2271" spans="1:11" x14ac:dyDescent="0.35">
      <c r="A2271" t="s">
        <v>2760</v>
      </c>
      <c r="B2271">
        <v>2025</v>
      </c>
      <c r="C2271" t="s">
        <v>1051</v>
      </c>
      <c r="D2271" t="s">
        <v>85</v>
      </c>
      <c r="E2271" t="s">
        <v>120</v>
      </c>
      <c r="F2271" t="s">
        <v>134</v>
      </c>
      <c r="G2271" t="s">
        <v>126</v>
      </c>
      <c r="H2271" t="s">
        <v>285</v>
      </c>
      <c r="I2271" t="s">
        <v>289</v>
      </c>
      <c r="J2271" t="s">
        <v>566</v>
      </c>
      <c r="K2271" t="s">
        <v>42</v>
      </c>
    </row>
    <row r="2272" spans="1:11" x14ac:dyDescent="0.35">
      <c r="A2272" t="s">
        <v>2761</v>
      </c>
      <c r="B2272">
        <v>2025</v>
      </c>
      <c r="C2272" t="s">
        <v>1051</v>
      </c>
      <c r="D2272" t="s">
        <v>76</v>
      </c>
      <c r="E2272" t="s">
        <v>107</v>
      </c>
      <c r="F2272" t="s">
        <v>125</v>
      </c>
      <c r="G2272" t="s">
        <v>126</v>
      </c>
      <c r="H2272" t="s">
        <v>285</v>
      </c>
      <c r="I2272" t="s">
        <v>289</v>
      </c>
      <c r="J2272" t="s">
        <v>447</v>
      </c>
      <c r="K2272" t="s">
        <v>57</v>
      </c>
    </row>
    <row r="2273" spans="1:11" x14ac:dyDescent="0.35">
      <c r="A2273" t="s">
        <v>2762</v>
      </c>
      <c r="B2273">
        <v>2025</v>
      </c>
      <c r="C2273" t="s">
        <v>1051</v>
      </c>
      <c r="D2273" t="s">
        <v>76</v>
      </c>
      <c r="E2273" t="s">
        <v>111</v>
      </c>
      <c r="F2273" t="s">
        <v>125</v>
      </c>
      <c r="G2273" t="s">
        <v>132</v>
      </c>
      <c r="H2273" t="s">
        <v>285</v>
      </c>
      <c r="I2273" t="s">
        <v>288</v>
      </c>
      <c r="J2273" t="s">
        <v>286</v>
      </c>
      <c r="K2273" t="s">
        <v>57</v>
      </c>
    </row>
    <row r="2274" spans="1:11" x14ac:dyDescent="0.35">
      <c r="A2274" t="s">
        <v>2763</v>
      </c>
      <c r="B2274">
        <v>2025</v>
      </c>
      <c r="C2274" t="s">
        <v>1051</v>
      </c>
      <c r="D2274" t="s">
        <v>85</v>
      </c>
      <c r="E2274" t="s">
        <v>117</v>
      </c>
      <c r="F2274" t="s">
        <v>288</v>
      </c>
      <c r="G2274" t="s">
        <v>132</v>
      </c>
      <c r="H2274" t="s">
        <v>357</v>
      </c>
      <c r="I2274" t="s">
        <v>288</v>
      </c>
      <c r="J2274" t="s">
        <v>288</v>
      </c>
      <c r="K2274" t="s">
        <v>57</v>
      </c>
    </row>
    <row r="2275" spans="1:11" x14ac:dyDescent="0.35">
      <c r="A2275" t="s">
        <v>2764</v>
      </c>
      <c r="B2275">
        <v>2025</v>
      </c>
      <c r="C2275" t="s">
        <v>1051</v>
      </c>
      <c r="D2275" t="s">
        <v>85</v>
      </c>
      <c r="E2275" t="s">
        <v>116</v>
      </c>
      <c r="F2275" t="s">
        <v>131</v>
      </c>
      <c r="G2275" t="s">
        <v>130</v>
      </c>
      <c r="H2275" t="s">
        <v>285</v>
      </c>
      <c r="I2275" t="s">
        <v>407</v>
      </c>
      <c r="J2275" t="s">
        <v>286</v>
      </c>
      <c r="K2275" t="s">
        <v>57</v>
      </c>
    </row>
    <row r="2276" spans="1:11" x14ac:dyDescent="0.35">
      <c r="A2276" t="s">
        <v>2765</v>
      </c>
      <c r="B2276">
        <v>2025</v>
      </c>
      <c r="C2276" t="s">
        <v>1051</v>
      </c>
      <c r="D2276" t="s">
        <v>85</v>
      </c>
      <c r="E2276" t="s">
        <v>117</v>
      </c>
      <c r="F2276" t="s">
        <v>127</v>
      </c>
      <c r="G2276" t="s">
        <v>132</v>
      </c>
      <c r="H2276" t="s">
        <v>305</v>
      </c>
      <c r="I2276" t="s">
        <v>86</v>
      </c>
      <c r="J2276" t="s">
        <v>347</v>
      </c>
      <c r="K2276" t="s">
        <v>57</v>
      </c>
    </row>
    <row r="2277" spans="1:11" x14ac:dyDescent="0.35">
      <c r="A2277" t="s">
        <v>2766</v>
      </c>
      <c r="B2277">
        <v>2025</v>
      </c>
      <c r="C2277" t="s">
        <v>1051</v>
      </c>
      <c r="D2277" t="s">
        <v>85</v>
      </c>
      <c r="E2277" t="s">
        <v>116</v>
      </c>
      <c r="F2277" t="s">
        <v>125</v>
      </c>
      <c r="G2277" t="s">
        <v>130</v>
      </c>
      <c r="H2277" t="s">
        <v>305</v>
      </c>
      <c r="I2277" t="s">
        <v>289</v>
      </c>
      <c r="J2277" t="s">
        <v>286</v>
      </c>
      <c r="K2277" t="s">
        <v>57</v>
      </c>
    </row>
    <row r="2278" spans="1:11" x14ac:dyDescent="0.35">
      <c r="A2278" t="s">
        <v>2767</v>
      </c>
      <c r="B2278">
        <v>2025</v>
      </c>
      <c r="C2278" t="s">
        <v>1051</v>
      </c>
      <c r="D2278" t="s">
        <v>85</v>
      </c>
      <c r="E2278" t="s">
        <v>116</v>
      </c>
      <c r="F2278" t="s">
        <v>129</v>
      </c>
      <c r="G2278" t="s">
        <v>128</v>
      </c>
      <c r="H2278" t="s">
        <v>285</v>
      </c>
      <c r="I2278" t="s">
        <v>86</v>
      </c>
      <c r="J2278" t="s">
        <v>361</v>
      </c>
      <c r="K2278" t="s">
        <v>57</v>
      </c>
    </row>
    <row r="2279" spans="1:11" x14ac:dyDescent="0.35">
      <c r="A2279" t="s">
        <v>2768</v>
      </c>
      <c r="B2279">
        <v>2025</v>
      </c>
      <c r="C2279" t="s">
        <v>1051</v>
      </c>
      <c r="D2279" t="s">
        <v>85</v>
      </c>
      <c r="E2279" t="s">
        <v>117</v>
      </c>
      <c r="F2279" t="s">
        <v>288</v>
      </c>
      <c r="G2279" t="s">
        <v>130</v>
      </c>
      <c r="H2279" t="s">
        <v>305</v>
      </c>
      <c r="I2279" t="s">
        <v>288</v>
      </c>
      <c r="J2279" t="s">
        <v>288</v>
      </c>
      <c r="K2279" t="s">
        <v>57</v>
      </c>
    </row>
    <row r="2280" spans="1:11" x14ac:dyDescent="0.35">
      <c r="A2280" t="s">
        <v>2769</v>
      </c>
      <c r="B2280">
        <v>2025</v>
      </c>
      <c r="C2280" t="s">
        <v>1051</v>
      </c>
      <c r="D2280" t="s">
        <v>85</v>
      </c>
      <c r="E2280" t="s">
        <v>116</v>
      </c>
      <c r="F2280" t="s">
        <v>129</v>
      </c>
      <c r="G2280" t="s">
        <v>126</v>
      </c>
      <c r="H2280" t="s">
        <v>285</v>
      </c>
      <c r="I2280" t="s">
        <v>289</v>
      </c>
      <c r="J2280" t="s">
        <v>286</v>
      </c>
      <c r="K2280" t="s">
        <v>57</v>
      </c>
    </row>
    <row r="2281" spans="1:11" x14ac:dyDescent="0.35">
      <c r="A2281" t="s">
        <v>2770</v>
      </c>
      <c r="B2281">
        <v>2025</v>
      </c>
      <c r="C2281" t="s">
        <v>1051</v>
      </c>
      <c r="D2281" t="s">
        <v>85</v>
      </c>
      <c r="E2281" t="s">
        <v>120</v>
      </c>
      <c r="F2281" t="s">
        <v>131</v>
      </c>
      <c r="G2281" t="s">
        <v>126</v>
      </c>
      <c r="H2281" t="s">
        <v>305</v>
      </c>
      <c r="I2281" t="s">
        <v>288</v>
      </c>
      <c r="J2281" t="s">
        <v>286</v>
      </c>
      <c r="K2281" t="s">
        <v>57</v>
      </c>
    </row>
    <row r="2282" spans="1:11" x14ac:dyDescent="0.35">
      <c r="A2282" t="s">
        <v>2771</v>
      </c>
      <c r="B2282">
        <v>2025</v>
      </c>
      <c r="C2282" t="s">
        <v>1051</v>
      </c>
      <c r="D2282" t="s">
        <v>85</v>
      </c>
      <c r="E2282" t="s">
        <v>117</v>
      </c>
      <c r="F2282" t="s">
        <v>131</v>
      </c>
      <c r="G2282" t="s">
        <v>132</v>
      </c>
      <c r="H2282" t="s">
        <v>305</v>
      </c>
      <c r="I2282" t="s">
        <v>426</v>
      </c>
      <c r="J2282" t="s">
        <v>286</v>
      </c>
      <c r="K2282" t="s">
        <v>57</v>
      </c>
    </row>
    <row r="2283" spans="1:11" x14ac:dyDescent="0.35">
      <c r="A2283" t="s">
        <v>2772</v>
      </c>
      <c r="B2283">
        <v>2025</v>
      </c>
      <c r="C2283" t="s">
        <v>1051</v>
      </c>
      <c r="D2283" t="s">
        <v>76</v>
      </c>
      <c r="E2283" t="s">
        <v>109</v>
      </c>
      <c r="F2283" t="s">
        <v>127</v>
      </c>
      <c r="G2283" t="s">
        <v>130</v>
      </c>
      <c r="H2283" t="s">
        <v>285</v>
      </c>
      <c r="I2283" t="s">
        <v>433</v>
      </c>
      <c r="J2283" t="s">
        <v>286</v>
      </c>
      <c r="K2283" t="s">
        <v>57</v>
      </c>
    </row>
    <row r="2284" spans="1:11" x14ac:dyDescent="0.35">
      <c r="A2284" t="s">
        <v>2773</v>
      </c>
      <c r="B2284">
        <v>2025</v>
      </c>
      <c r="C2284" t="s">
        <v>1051</v>
      </c>
      <c r="D2284" t="s">
        <v>76</v>
      </c>
      <c r="E2284" t="s">
        <v>111</v>
      </c>
      <c r="F2284" t="s">
        <v>125</v>
      </c>
      <c r="G2284" t="s">
        <v>132</v>
      </c>
      <c r="H2284" t="s">
        <v>285</v>
      </c>
      <c r="I2284" t="s">
        <v>77</v>
      </c>
      <c r="J2284" t="s">
        <v>288</v>
      </c>
      <c r="K2284" t="s">
        <v>57</v>
      </c>
    </row>
    <row r="2285" spans="1:11" x14ac:dyDescent="0.35">
      <c r="A2285" t="s">
        <v>2774</v>
      </c>
      <c r="B2285">
        <v>2025</v>
      </c>
      <c r="C2285" t="s">
        <v>1051</v>
      </c>
      <c r="D2285" t="s">
        <v>76</v>
      </c>
      <c r="E2285" t="s">
        <v>115</v>
      </c>
      <c r="F2285" t="s">
        <v>131</v>
      </c>
      <c r="G2285" t="s">
        <v>130</v>
      </c>
      <c r="H2285" t="s">
        <v>285</v>
      </c>
      <c r="I2285" t="s">
        <v>2775</v>
      </c>
      <c r="J2285" t="s">
        <v>2776</v>
      </c>
      <c r="K2285" t="s">
        <v>42</v>
      </c>
    </row>
    <row r="2286" spans="1:11" x14ac:dyDescent="0.35">
      <c r="A2286" t="s">
        <v>2777</v>
      </c>
      <c r="B2286">
        <v>2025</v>
      </c>
      <c r="C2286" t="s">
        <v>1051</v>
      </c>
      <c r="D2286" t="s">
        <v>85</v>
      </c>
      <c r="E2286" t="s">
        <v>117</v>
      </c>
      <c r="F2286" t="s">
        <v>288</v>
      </c>
      <c r="G2286" t="s">
        <v>128</v>
      </c>
      <c r="H2286" t="s">
        <v>357</v>
      </c>
      <c r="I2286" t="s">
        <v>288</v>
      </c>
      <c r="J2286" t="s">
        <v>288</v>
      </c>
      <c r="K2286" t="s">
        <v>57</v>
      </c>
    </row>
    <row r="2287" spans="1:11" x14ac:dyDescent="0.35">
      <c r="A2287" t="s">
        <v>2778</v>
      </c>
      <c r="B2287">
        <v>2025</v>
      </c>
      <c r="C2287" t="s">
        <v>1051</v>
      </c>
      <c r="D2287" t="s">
        <v>76</v>
      </c>
      <c r="E2287" t="s">
        <v>115</v>
      </c>
      <c r="F2287" t="s">
        <v>129</v>
      </c>
      <c r="G2287" t="s">
        <v>132</v>
      </c>
      <c r="H2287" t="s">
        <v>285</v>
      </c>
      <c r="I2287" t="s">
        <v>77</v>
      </c>
      <c r="J2287" t="s">
        <v>2779</v>
      </c>
      <c r="K2287" t="s">
        <v>42</v>
      </c>
    </row>
    <row r="2288" spans="1:11" x14ac:dyDescent="0.35">
      <c r="A2288" t="s">
        <v>2780</v>
      </c>
      <c r="B2288">
        <v>2025</v>
      </c>
      <c r="C2288" t="s">
        <v>1051</v>
      </c>
      <c r="D2288" t="s">
        <v>76</v>
      </c>
      <c r="E2288" t="s">
        <v>115</v>
      </c>
      <c r="F2288" t="s">
        <v>131</v>
      </c>
      <c r="G2288" t="s">
        <v>128</v>
      </c>
      <c r="H2288" t="s">
        <v>357</v>
      </c>
      <c r="I2288" t="s">
        <v>1943</v>
      </c>
      <c r="J2288" t="s">
        <v>308</v>
      </c>
      <c r="K2288" t="s">
        <v>42</v>
      </c>
    </row>
    <row r="2289" spans="1:11" x14ac:dyDescent="0.35">
      <c r="A2289" t="s">
        <v>2781</v>
      </c>
      <c r="B2289">
        <v>2025</v>
      </c>
      <c r="C2289" t="s">
        <v>1051</v>
      </c>
      <c r="D2289" t="s">
        <v>76</v>
      </c>
      <c r="E2289" t="s">
        <v>115</v>
      </c>
      <c r="F2289" t="s">
        <v>127</v>
      </c>
      <c r="G2289" t="s">
        <v>130</v>
      </c>
      <c r="H2289" t="s">
        <v>285</v>
      </c>
      <c r="I2289" t="s">
        <v>288</v>
      </c>
      <c r="J2289" t="s">
        <v>312</v>
      </c>
      <c r="K2289" t="s">
        <v>42</v>
      </c>
    </row>
    <row r="2290" spans="1:11" x14ac:dyDescent="0.35">
      <c r="A2290" t="s">
        <v>2782</v>
      </c>
      <c r="B2290">
        <v>2025</v>
      </c>
      <c r="C2290" t="s">
        <v>1051</v>
      </c>
      <c r="D2290" t="s">
        <v>76</v>
      </c>
      <c r="E2290" t="s">
        <v>115</v>
      </c>
      <c r="F2290" t="s">
        <v>133</v>
      </c>
      <c r="G2290" t="s">
        <v>128</v>
      </c>
      <c r="H2290" t="s">
        <v>357</v>
      </c>
      <c r="I2290" t="s">
        <v>86</v>
      </c>
      <c r="J2290" t="s">
        <v>286</v>
      </c>
      <c r="K2290" t="s">
        <v>57</v>
      </c>
    </row>
    <row r="2291" spans="1:11" x14ac:dyDescent="0.35">
      <c r="A2291" t="s">
        <v>2783</v>
      </c>
      <c r="B2291">
        <v>2025</v>
      </c>
      <c r="C2291" t="s">
        <v>1051</v>
      </c>
      <c r="D2291" t="s">
        <v>76</v>
      </c>
      <c r="E2291" t="s">
        <v>110</v>
      </c>
      <c r="F2291" t="s">
        <v>125</v>
      </c>
      <c r="G2291" t="s">
        <v>128</v>
      </c>
      <c r="H2291" t="s">
        <v>285</v>
      </c>
      <c r="I2291" t="s">
        <v>288</v>
      </c>
      <c r="J2291" t="s">
        <v>288</v>
      </c>
      <c r="K2291" t="s">
        <v>57</v>
      </c>
    </row>
    <row r="2292" spans="1:11" x14ac:dyDescent="0.35">
      <c r="A2292" t="s">
        <v>2784</v>
      </c>
      <c r="B2292">
        <v>2025</v>
      </c>
      <c r="C2292" t="s">
        <v>1051</v>
      </c>
      <c r="D2292" t="s">
        <v>76</v>
      </c>
      <c r="E2292" t="s">
        <v>115</v>
      </c>
      <c r="F2292" t="s">
        <v>131</v>
      </c>
      <c r="G2292" t="s">
        <v>128</v>
      </c>
      <c r="H2292" t="s">
        <v>357</v>
      </c>
      <c r="I2292" t="s">
        <v>288</v>
      </c>
      <c r="J2292" t="s">
        <v>288</v>
      </c>
      <c r="K2292" t="s">
        <v>57</v>
      </c>
    </row>
    <row r="2293" spans="1:11" x14ac:dyDescent="0.35">
      <c r="A2293" t="s">
        <v>2785</v>
      </c>
      <c r="B2293">
        <v>2025</v>
      </c>
      <c r="C2293" t="s">
        <v>1051</v>
      </c>
      <c r="D2293" t="s">
        <v>85</v>
      </c>
      <c r="E2293" t="s">
        <v>116</v>
      </c>
      <c r="F2293" t="s">
        <v>129</v>
      </c>
      <c r="G2293" t="s">
        <v>128</v>
      </c>
      <c r="H2293" t="s">
        <v>285</v>
      </c>
      <c r="I2293" t="s">
        <v>289</v>
      </c>
      <c r="J2293" t="s">
        <v>317</v>
      </c>
      <c r="K2293" t="s">
        <v>57</v>
      </c>
    </row>
    <row r="2294" spans="1:11" x14ac:dyDescent="0.35">
      <c r="A2294" t="s">
        <v>2786</v>
      </c>
      <c r="B2294">
        <v>2025</v>
      </c>
      <c r="C2294" t="s">
        <v>1051</v>
      </c>
      <c r="D2294" t="s">
        <v>76</v>
      </c>
      <c r="E2294" t="s">
        <v>107</v>
      </c>
      <c r="F2294" t="s">
        <v>125</v>
      </c>
      <c r="G2294" t="s">
        <v>126</v>
      </c>
      <c r="H2294" t="s">
        <v>285</v>
      </c>
      <c r="I2294" t="s">
        <v>86</v>
      </c>
      <c r="J2294" t="s">
        <v>286</v>
      </c>
      <c r="K2294" t="s">
        <v>57</v>
      </c>
    </row>
    <row r="2295" spans="1:11" x14ac:dyDescent="0.35">
      <c r="A2295" t="s">
        <v>2787</v>
      </c>
      <c r="B2295">
        <v>2025</v>
      </c>
      <c r="C2295" t="s">
        <v>1051</v>
      </c>
      <c r="D2295" t="s">
        <v>85</v>
      </c>
      <c r="E2295" t="s">
        <v>117</v>
      </c>
      <c r="F2295" t="s">
        <v>127</v>
      </c>
      <c r="G2295" t="s">
        <v>130</v>
      </c>
      <c r="H2295" t="s">
        <v>305</v>
      </c>
      <c r="I2295" t="s">
        <v>333</v>
      </c>
      <c r="J2295" t="s">
        <v>405</v>
      </c>
      <c r="K2295" t="s">
        <v>57</v>
      </c>
    </row>
    <row r="2296" spans="1:11" x14ac:dyDescent="0.35">
      <c r="A2296" t="s">
        <v>2788</v>
      </c>
      <c r="B2296">
        <v>2025</v>
      </c>
      <c r="C2296" t="s">
        <v>1051</v>
      </c>
      <c r="D2296" t="s">
        <v>85</v>
      </c>
      <c r="E2296" t="s">
        <v>116</v>
      </c>
      <c r="F2296" t="s">
        <v>129</v>
      </c>
      <c r="G2296" t="s">
        <v>126</v>
      </c>
      <c r="H2296" t="s">
        <v>285</v>
      </c>
      <c r="I2296" t="s">
        <v>288</v>
      </c>
      <c r="J2296" t="s">
        <v>317</v>
      </c>
      <c r="K2296" t="s">
        <v>57</v>
      </c>
    </row>
    <row r="2297" spans="1:11" x14ac:dyDescent="0.35">
      <c r="A2297" t="s">
        <v>2789</v>
      </c>
      <c r="B2297">
        <v>2025</v>
      </c>
      <c r="C2297" t="s">
        <v>1051</v>
      </c>
      <c r="D2297" t="s">
        <v>76</v>
      </c>
      <c r="E2297" t="s">
        <v>107</v>
      </c>
      <c r="F2297" t="s">
        <v>125</v>
      </c>
      <c r="G2297" t="s">
        <v>128</v>
      </c>
      <c r="H2297" t="s">
        <v>285</v>
      </c>
      <c r="I2297" t="s">
        <v>86</v>
      </c>
      <c r="J2297" t="s">
        <v>286</v>
      </c>
      <c r="K2297" t="s">
        <v>57</v>
      </c>
    </row>
    <row r="2298" spans="1:11" x14ac:dyDescent="0.35">
      <c r="A2298" t="s">
        <v>2790</v>
      </c>
      <c r="B2298">
        <v>2025</v>
      </c>
      <c r="C2298" t="s">
        <v>1051</v>
      </c>
      <c r="D2298" t="s">
        <v>85</v>
      </c>
      <c r="E2298" t="s">
        <v>117</v>
      </c>
      <c r="F2298" t="s">
        <v>129</v>
      </c>
      <c r="G2298" t="s">
        <v>132</v>
      </c>
      <c r="H2298" t="s">
        <v>305</v>
      </c>
      <c r="I2298" t="s">
        <v>86</v>
      </c>
      <c r="J2298" t="s">
        <v>2672</v>
      </c>
      <c r="K2298" t="s">
        <v>42</v>
      </c>
    </row>
    <row r="2299" spans="1:11" x14ac:dyDescent="0.35">
      <c r="A2299" t="s">
        <v>2791</v>
      </c>
      <c r="B2299">
        <v>2025</v>
      </c>
      <c r="C2299" t="s">
        <v>1051</v>
      </c>
      <c r="D2299" t="s">
        <v>76</v>
      </c>
      <c r="E2299" t="s">
        <v>119</v>
      </c>
      <c r="F2299" t="s">
        <v>125</v>
      </c>
      <c r="G2299" t="s">
        <v>126</v>
      </c>
      <c r="H2299" t="s">
        <v>305</v>
      </c>
      <c r="I2299" t="s">
        <v>288</v>
      </c>
      <c r="J2299" t="s">
        <v>286</v>
      </c>
      <c r="K2299" t="s">
        <v>57</v>
      </c>
    </row>
    <row r="2300" spans="1:11" x14ac:dyDescent="0.35">
      <c r="A2300" t="s">
        <v>2792</v>
      </c>
      <c r="B2300">
        <v>2025</v>
      </c>
      <c r="C2300" t="s">
        <v>1051</v>
      </c>
      <c r="D2300" t="s">
        <v>76</v>
      </c>
      <c r="E2300" t="s">
        <v>119</v>
      </c>
      <c r="F2300" t="s">
        <v>125</v>
      </c>
      <c r="G2300" t="s">
        <v>128</v>
      </c>
      <c r="H2300" t="s">
        <v>285</v>
      </c>
      <c r="I2300" t="s">
        <v>289</v>
      </c>
      <c r="J2300" t="s">
        <v>286</v>
      </c>
      <c r="K2300" t="s">
        <v>57</v>
      </c>
    </row>
    <row r="2301" spans="1:11" x14ac:dyDescent="0.35">
      <c r="A2301" t="s">
        <v>2793</v>
      </c>
      <c r="B2301">
        <v>2025</v>
      </c>
      <c r="C2301" t="s">
        <v>1051</v>
      </c>
      <c r="D2301" t="s">
        <v>85</v>
      </c>
      <c r="E2301" t="s">
        <v>116</v>
      </c>
      <c r="F2301" t="s">
        <v>129</v>
      </c>
      <c r="G2301" t="s">
        <v>128</v>
      </c>
      <c r="H2301" t="s">
        <v>285</v>
      </c>
      <c r="I2301" t="s">
        <v>289</v>
      </c>
      <c r="J2301" t="s">
        <v>295</v>
      </c>
      <c r="K2301" t="s">
        <v>57</v>
      </c>
    </row>
    <row r="2302" spans="1:11" x14ac:dyDescent="0.35">
      <c r="A2302" t="s">
        <v>2794</v>
      </c>
      <c r="B2302">
        <v>2025</v>
      </c>
      <c r="C2302" t="s">
        <v>1051</v>
      </c>
      <c r="D2302" t="s">
        <v>76</v>
      </c>
      <c r="E2302" t="s">
        <v>109</v>
      </c>
      <c r="F2302" t="s">
        <v>129</v>
      </c>
      <c r="G2302" t="s">
        <v>126</v>
      </c>
      <c r="H2302" t="s">
        <v>285</v>
      </c>
      <c r="I2302" t="s">
        <v>407</v>
      </c>
      <c r="J2302" t="s">
        <v>286</v>
      </c>
      <c r="K2302" t="s">
        <v>57</v>
      </c>
    </row>
    <row r="2303" spans="1:11" x14ac:dyDescent="0.35">
      <c r="A2303" t="s">
        <v>2795</v>
      </c>
      <c r="B2303">
        <v>2025</v>
      </c>
      <c r="C2303" t="s">
        <v>1051</v>
      </c>
      <c r="D2303" t="s">
        <v>85</v>
      </c>
      <c r="E2303" t="s">
        <v>120</v>
      </c>
      <c r="F2303" t="s">
        <v>127</v>
      </c>
      <c r="G2303" t="s">
        <v>132</v>
      </c>
      <c r="H2303" t="s">
        <v>305</v>
      </c>
      <c r="I2303" t="s">
        <v>86</v>
      </c>
      <c r="J2303" t="s">
        <v>403</v>
      </c>
      <c r="K2303" t="s">
        <v>57</v>
      </c>
    </row>
    <row r="2304" spans="1:11" x14ac:dyDescent="0.35">
      <c r="A2304" t="s">
        <v>2796</v>
      </c>
      <c r="B2304">
        <v>2025</v>
      </c>
      <c r="C2304" t="s">
        <v>1051</v>
      </c>
      <c r="D2304" t="s">
        <v>85</v>
      </c>
      <c r="E2304" t="s">
        <v>117</v>
      </c>
      <c r="F2304" t="s">
        <v>129</v>
      </c>
      <c r="G2304" t="s">
        <v>130</v>
      </c>
      <c r="H2304" t="s">
        <v>305</v>
      </c>
      <c r="I2304" t="s">
        <v>289</v>
      </c>
      <c r="J2304" t="s">
        <v>317</v>
      </c>
      <c r="K2304" t="s">
        <v>57</v>
      </c>
    </row>
    <row r="2305" spans="1:11" x14ac:dyDescent="0.35">
      <c r="A2305" t="s">
        <v>2797</v>
      </c>
      <c r="B2305">
        <v>2025</v>
      </c>
      <c r="C2305" t="s">
        <v>1051</v>
      </c>
      <c r="D2305" t="s">
        <v>76</v>
      </c>
      <c r="E2305" t="s">
        <v>118</v>
      </c>
      <c r="F2305" t="s">
        <v>288</v>
      </c>
      <c r="G2305" t="s">
        <v>128</v>
      </c>
      <c r="H2305" t="s">
        <v>285</v>
      </c>
      <c r="I2305" t="s">
        <v>288</v>
      </c>
      <c r="J2305" t="s">
        <v>288</v>
      </c>
      <c r="K2305" t="s">
        <v>57</v>
      </c>
    </row>
    <row r="2306" spans="1:11" x14ac:dyDescent="0.35">
      <c r="A2306" t="s">
        <v>2798</v>
      </c>
      <c r="B2306">
        <v>2025</v>
      </c>
      <c r="C2306" t="s">
        <v>1051</v>
      </c>
      <c r="D2306" t="s">
        <v>85</v>
      </c>
      <c r="E2306" t="s">
        <v>117</v>
      </c>
      <c r="F2306" t="s">
        <v>129</v>
      </c>
      <c r="G2306" t="s">
        <v>126</v>
      </c>
      <c r="H2306" t="s">
        <v>305</v>
      </c>
      <c r="I2306" t="s">
        <v>289</v>
      </c>
      <c r="J2306" t="s">
        <v>464</v>
      </c>
      <c r="K2306" t="s">
        <v>42</v>
      </c>
    </row>
    <row r="2307" spans="1:11" x14ac:dyDescent="0.35">
      <c r="A2307" t="s">
        <v>2799</v>
      </c>
      <c r="B2307">
        <v>2025</v>
      </c>
      <c r="C2307" t="s">
        <v>1051</v>
      </c>
      <c r="D2307" t="s">
        <v>85</v>
      </c>
      <c r="E2307" t="s">
        <v>117</v>
      </c>
      <c r="F2307" t="s">
        <v>288</v>
      </c>
      <c r="G2307" t="s">
        <v>130</v>
      </c>
      <c r="H2307" t="s">
        <v>305</v>
      </c>
      <c r="I2307" t="s">
        <v>86</v>
      </c>
      <c r="J2307" t="s">
        <v>286</v>
      </c>
      <c r="K2307" t="s">
        <v>57</v>
      </c>
    </row>
    <row r="2308" spans="1:11" x14ac:dyDescent="0.35">
      <c r="A2308" t="s">
        <v>2800</v>
      </c>
      <c r="B2308">
        <v>2025</v>
      </c>
      <c r="C2308" t="s">
        <v>1051</v>
      </c>
      <c r="D2308" t="s">
        <v>76</v>
      </c>
      <c r="E2308" t="s">
        <v>115</v>
      </c>
      <c r="F2308" t="s">
        <v>129</v>
      </c>
      <c r="G2308" t="s">
        <v>130</v>
      </c>
      <c r="H2308" t="s">
        <v>357</v>
      </c>
      <c r="I2308" t="s">
        <v>289</v>
      </c>
      <c r="J2308" t="s">
        <v>286</v>
      </c>
      <c r="K2308" t="s">
        <v>57</v>
      </c>
    </row>
    <row r="2309" spans="1:11" x14ac:dyDescent="0.35">
      <c r="A2309" t="s">
        <v>2801</v>
      </c>
      <c r="B2309">
        <v>2025</v>
      </c>
      <c r="C2309" t="s">
        <v>1051</v>
      </c>
      <c r="D2309" t="s">
        <v>85</v>
      </c>
      <c r="E2309" t="s">
        <v>120</v>
      </c>
      <c r="F2309" t="s">
        <v>129</v>
      </c>
      <c r="G2309" t="s">
        <v>132</v>
      </c>
      <c r="H2309" t="s">
        <v>285</v>
      </c>
      <c r="I2309" t="s">
        <v>77</v>
      </c>
      <c r="J2309" t="s">
        <v>317</v>
      </c>
      <c r="K2309" t="s">
        <v>57</v>
      </c>
    </row>
    <row r="2310" spans="1:11" x14ac:dyDescent="0.35">
      <c r="A2310" t="s">
        <v>2802</v>
      </c>
      <c r="B2310">
        <v>2025</v>
      </c>
      <c r="C2310" t="s">
        <v>1051</v>
      </c>
      <c r="D2310" t="s">
        <v>76</v>
      </c>
      <c r="E2310" t="s">
        <v>115</v>
      </c>
      <c r="F2310" t="s">
        <v>125</v>
      </c>
      <c r="G2310" t="s">
        <v>128</v>
      </c>
      <c r="H2310" t="s">
        <v>285</v>
      </c>
      <c r="I2310" t="s">
        <v>86</v>
      </c>
      <c r="J2310" t="s">
        <v>288</v>
      </c>
      <c r="K2310" t="s">
        <v>57</v>
      </c>
    </row>
    <row r="2311" spans="1:11" x14ac:dyDescent="0.35">
      <c r="A2311" t="s">
        <v>2803</v>
      </c>
      <c r="B2311">
        <v>2025</v>
      </c>
      <c r="C2311" t="s">
        <v>1051</v>
      </c>
      <c r="D2311" t="s">
        <v>85</v>
      </c>
      <c r="E2311" t="s">
        <v>115</v>
      </c>
      <c r="F2311" t="s">
        <v>129</v>
      </c>
      <c r="G2311" t="s">
        <v>130</v>
      </c>
      <c r="H2311" t="s">
        <v>285</v>
      </c>
      <c r="I2311" t="s">
        <v>288</v>
      </c>
      <c r="J2311" t="s">
        <v>288</v>
      </c>
      <c r="K2311" t="s">
        <v>57</v>
      </c>
    </row>
    <row r="2312" spans="1:11" x14ac:dyDescent="0.35">
      <c r="A2312" t="s">
        <v>2804</v>
      </c>
      <c r="B2312">
        <v>2025</v>
      </c>
      <c r="C2312" t="s">
        <v>1051</v>
      </c>
      <c r="D2312" t="s">
        <v>85</v>
      </c>
      <c r="E2312" t="s">
        <v>116</v>
      </c>
      <c r="F2312" t="s">
        <v>129</v>
      </c>
      <c r="G2312" t="s">
        <v>128</v>
      </c>
      <c r="H2312" t="s">
        <v>285</v>
      </c>
      <c r="I2312" t="s">
        <v>289</v>
      </c>
      <c r="J2312" t="s">
        <v>286</v>
      </c>
      <c r="K2312" t="s">
        <v>57</v>
      </c>
    </row>
    <row r="2313" spans="1:11" x14ac:dyDescent="0.35">
      <c r="A2313" t="s">
        <v>2805</v>
      </c>
      <c r="B2313">
        <v>2025</v>
      </c>
      <c r="C2313" t="s">
        <v>1051</v>
      </c>
      <c r="D2313" t="s">
        <v>85</v>
      </c>
      <c r="E2313" t="s">
        <v>116</v>
      </c>
      <c r="F2313" t="s">
        <v>129</v>
      </c>
      <c r="G2313" t="s">
        <v>126</v>
      </c>
      <c r="H2313" t="s">
        <v>285</v>
      </c>
      <c r="I2313" t="s">
        <v>77</v>
      </c>
      <c r="J2313" t="s">
        <v>286</v>
      </c>
      <c r="K2313" t="s">
        <v>57</v>
      </c>
    </row>
    <row r="2314" spans="1:11" x14ac:dyDescent="0.35">
      <c r="A2314" t="s">
        <v>2806</v>
      </c>
      <c r="B2314">
        <v>2025</v>
      </c>
      <c r="C2314" t="s">
        <v>1051</v>
      </c>
      <c r="D2314" t="s">
        <v>85</v>
      </c>
      <c r="E2314" t="s">
        <v>117</v>
      </c>
      <c r="F2314" t="s">
        <v>134</v>
      </c>
      <c r="G2314" t="s">
        <v>128</v>
      </c>
      <c r="H2314" t="s">
        <v>285</v>
      </c>
      <c r="I2314" t="s">
        <v>288</v>
      </c>
      <c r="J2314" t="s">
        <v>286</v>
      </c>
      <c r="K2314" t="s">
        <v>57</v>
      </c>
    </row>
    <row r="2315" spans="1:11" x14ac:dyDescent="0.35">
      <c r="A2315" t="s">
        <v>2807</v>
      </c>
      <c r="B2315">
        <v>2025</v>
      </c>
      <c r="C2315" t="s">
        <v>1051</v>
      </c>
      <c r="D2315" t="s">
        <v>85</v>
      </c>
      <c r="E2315" t="s">
        <v>377</v>
      </c>
      <c r="F2315" t="s">
        <v>134</v>
      </c>
      <c r="G2315" t="s">
        <v>128</v>
      </c>
      <c r="H2315" t="s">
        <v>285</v>
      </c>
      <c r="I2315" t="s">
        <v>433</v>
      </c>
      <c r="J2315" t="s">
        <v>286</v>
      </c>
      <c r="K2315" t="s">
        <v>57</v>
      </c>
    </row>
    <row r="2316" spans="1:11" x14ac:dyDescent="0.35">
      <c r="A2316" t="s">
        <v>2808</v>
      </c>
      <c r="B2316">
        <v>2025</v>
      </c>
      <c r="C2316" t="s">
        <v>1051</v>
      </c>
      <c r="D2316" t="s">
        <v>76</v>
      </c>
      <c r="E2316" t="s">
        <v>119</v>
      </c>
      <c r="F2316" t="s">
        <v>127</v>
      </c>
      <c r="G2316" t="s">
        <v>128</v>
      </c>
      <c r="H2316" t="s">
        <v>285</v>
      </c>
      <c r="I2316" t="s">
        <v>77</v>
      </c>
      <c r="J2316" t="s">
        <v>286</v>
      </c>
      <c r="K2316" t="s">
        <v>57</v>
      </c>
    </row>
    <row r="2317" spans="1:11" x14ac:dyDescent="0.35">
      <c r="A2317" t="s">
        <v>2809</v>
      </c>
      <c r="B2317">
        <v>2025</v>
      </c>
      <c r="C2317" t="s">
        <v>1051</v>
      </c>
      <c r="D2317" t="s">
        <v>76</v>
      </c>
      <c r="E2317" t="s">
        <v>119</v>
      </c>
      <c r="F2317" t="s">
        <v>125</v>
      </c>
      <c r="G2317" t="s">
        <v>130</v>
      </c>
      <c r="H2317" t="s">
        <v>285</v>
      </c>
      <c r="I2317" t="s">
        <v>86</v>
      </c>
      <c r="J2317" t="s">
        <v>409</v>
      </c>
      <c r="K2317" t="s">
        <v>57</v>
      </c>
    </row>
    <row r="2318" spans="1:11" x14ac:dyDescent="0.35">
      <c r="A2318" t="s">
        <v>2810</v>
      </c>
      <c r="B2318">
        <v>2025</v>
      </c>
      <c r="C2318" t="s">
        <v>1051</v>
      </c>
      <c r="D2318" t="s">
        <v>76</v>
      </c>
      <c r="E2318" t="s">
        <v>360</v>
      </c>
      <c r="F2318" t="s">
        <v>288</v>
      </c>
      <c r="G2318" t="s">
        <v>128</v>
      </c>
      <c r="H2318" t="s">
        <v>285</v>
      </c>
      <c r="I2318" t="s">
        <v>77</v>
      </c>
      <c r="J2318" t="s">
        <v>286</v>
      </c>
      <c r="K2318" t="s">
        <v>57</v>
      </c>
    </row>
    <row r="2319" spans="1:11" x14ac:dyDescent="0.35">
      <c r="A2319" t="s">
        <v>2811</v>
      </c>
      <c r="B2319">
        <v>2025</v>
      </c>
      <c r="C2319" t="s">
        <v>1051</v>
      </c>
      <c r="D2319" t="s">
        <v>76</v>
      </c>
      <c r="E2319" t="s">
        <v>107</v>
      </c>
      <c r="F2319" t="s">
        <v>125</v>
      </c>
      <c r="G2319" t="s">
        <v>132</v>
      </c>
      <c r="H2319" t="s">
        <v>285</v>
      </c>
      <c r="I2319" t="s">
        <v>77</v>
      </c>
      <c r="J2319" t="s">
        <v>286</v>
      </c>
      <c r="K2319" t="s">
        <v>57</v>
      </c>
    </row>
    <row r="2320" spans="1:11" x14ac:dyDescent="0.35">
      <c r="A2320" t="s">
        <v>2812</v>
      </c>
      <c r="B2320">
        <v>2025</v>
      </c>
      <c r="C2320" t="s">
        <v>1051</v>
      </c>
      <c r="D2320" t="s">
        <v>85</v>
      </c>
      <c r="E2320" t="s">
        <v>116</v>
      </c>
      <c r="F2320" t="s">
        <v>288</v>
      </c>
      <c r="G2320" t="s">
        <v>128</v>
      </c>
      <c r="H2320" t="s">
        <v>285</v>
      </c>
      <c r="I2320" t="s">
        <v>288</v>
      </c>
      <c r="J2320" t="s">
        <v>288</v>
      </c>
      <c r="K2320" t="s">
        <v>57</v>
      </c>
    </row>
    <row r="2321" spans="1:11" x14ac:dyDescent="0.35">
      <c r="A2321" t="s">
        <v>2813</v>
      </c>
      <c r="B2321">
        <v>2025</v>
      </c>
      <c r="C2321" t="s">
        <v>1051</v>
      </c>
      <c r="D2321" t="s">
        <v>76</v>
      </c>
      <c r="E2321" t="s">
        <v>107</v>
      </c>
      <c r="F2321" t="s">
        <v>125</v>
      </c>
      <c r="G2321" t="s">
        <v>130</v>
      </c>
      <c r="H2321" t="s">
        <v>285</v>
      </c>
      <c r="I2321" t="s">
        <v>77</v>
      </c>
      <c r="J2321" t="s">
        <v>286</v>
      </c>
      <c r="K2321" t="s">
        <v>57</v>
      </c>
    </row>
    <row r="2322" spans="1:11" x14ac:dyDescent="0.35">
      <c r="A2322" t="s">
        <v>2814</v>
      </c>
      <c r="B2322">
        <v>2025</v>
      </c>
      <c r="C2322" t="s">
        <v>1051</v>
      </c>
      <c r="D2322" t="s">
        <v>76</v>
      </c>
      <c r="E2322" t="s">
        <v>107</v>
      </c>
      <c r="F2322" t="s">
        <v>125</v>
      </c>
      <c r="G2322" t="s">
        <v>126</v>
      </c>
      <c r="H2322" t="s">
        <v>285</v>
      </c>
      <c r="I2322" t="s">
        <v>77</v>
      </c>
      <c r="J2322" t="s">
        <v>308</v>
      </c>
      <c r="K2322" t="s">
        <v>42</v>
      </c>
    </row>
    <row r="2323" spans="1:11" x14ac:dyDescent="0.35">
      <c r="A2323" t="s">
        <v>2815</v>
      </c>
      <c r="B2323">
        <v>2025</v>
      </c>
      <c r="C2323" t="s">
        <v>1051</v>
      </c>
      <c r="D2323" t="s">
        <v>76</v>
      </c>
      <c r="E2323" t="s">
        <v>112</v>
      </c>
      <c r="F2323" t="s">
        <v>125</v>
      </c>
      <c r="G2323" t="s">
        <v>128</v>
      </c>
      <c r="H2323" t="s">
        <v>285</v>
      </c>
      <c r="I2323" t="s">
        <v>77</v>
      </c>
      <c r="J2323" t="s">
        <v>288</v>
      </c>
      <c r="K2323" t="s">
        <v>57</v>
      </c>
    </row>
    <row r="2324" spans="1:11" x14ac:dyDescent="0.35">
      <c r="A2324" t="s">
        <v>2816</v>
      </c>
      <c r="B2324">
        <v>2025</v>
      </c>
      <c r="C2324" t="s">
        <v>1051</v>
      </c>
      <c r="D2324" t="s">
        <v>76</v>
      </c>
      <c r="E2324" t="s">
        <v>113</v>
      </c>
      <c r="F2324" t="s">
        <v>125</v>
      </c>
      <c r="G2324" t="s">
        <v>132</v>
      </c>
      <c r="H2324" t="s">
        <v>357</v>
      </c>
      <c r="I2324" t="s">
        <v>77</v>
      </c>
      <c r="J2324" t="s">
        <v>317</v>
      </c>
      <c r="K2324" t="s">
        <v>57</v>
      </c>
    </row>
    <row r="2325" spans="1:11" x14ac:dyDescent="0.35">
      <c r="A2325" t="s">
        <v>2817</v>
      </c>
      <c r="B2325">
        <v>2025</v>
      </c>
      <c r="C2325" t="s">
        <v>1051</v>
      </c>
      <c r="D2325" t="s">
        <v>76</v>
      </c>
      <c r="E2325" t="s">
        <v>107</v>
      </c>
      <c r="F2325" t="s">
        <v>125</v>
      </c>
      <c r="G2325" t="s">
        <v>132</v>
      </c>
      <c r="H2325" t="s">
        <v>285</v>
      </c>
      <c r="I2325" t="s">
        <v>333</v>
      </c>
      <c r="J2325" t="s">
        <v>405</v>
      </c>
      <c r="K2325" t="s">
        <v>57</v>
      </c>
    </row>
    <row r="2326" spans="1:11" x14ac:dyDescent="0.35">
      <c r="A2326" t="s">
        <v>2818</v>
      </c>
      <c r="B2326">
        <v>2025</v>
      </c>
      <c r="C2326" t="s">
        <v>1051</v>
      </c>
      <c r="D2326" t="s">
        <v>76</v>
      </c>
      <c r="E2326" t="s">
        <v>107</v>
      </c>
      <c r="F2326" t="s">
        <v>125</v>
      </c>
      <c r="G2326" t="s">
        <v>130</v>
      </c>
      <c r="H2326" t="s">
        <v>285</v>
      </c>
      <c r="I2326" t="s">
        <v>288</v>
      </c>
      <c r="J2326" t="s">
        <v>1081</v>
      </c>
      <c r="K2326" t="s">
        <v>42</v>
      </c>
    </row>
    <row r="2327" spans="1:11" x14ac:dyDescent="0.35">
      <c r="A2327" t="s">
        <v>2819</v>
      </c>
      <c r="B2327">
        <v>2025</v>
      </c>
      <c r="C2327" t="s">
        <v>1051</v>
      </c>
      <c r="D2327" t="s">
        <v>85</v>
      </c>
      <c r="E2327" t="s">
        <v>120</v>
      </c>
      <c r="F2327" t="s">
        <v>127</v>
      </c>
      <c r="G2327" t="s">
        <v>130</v>
      </c>
      <c r="H2327" t="s">
        <v>305</v>
      </c>
      <c r="I2327" t="s">
        <v>289</v>
      </c>
      <c r="J2327" t="s">
        <v>286</v>
      </c>
      <c r="K2327" t="s">
        <v>57</v>
      </c>
    </row>
    <row r="2328" spans="1:11" x14ac:dyDescent="0.35">
      <c r="A2328" t="s">
        <v>2820</v>
      </c>
      <c r="B2328">
        <v>2025</v>
      </c>
      <c r="C2328" t="s">
        <v>1051</v>
      </c>
      <c r="D2328" t="s">
        <v>85</v>
      </c>
      <c r="E2328" t="s">
        <v>117</v>
      </c>
      <c r="F2328" t="s">
        <v>129</v>
      </c>
      <c r="G2328" t="s">
        <v>132</v>
      </c>
      <c r="H2328" t="s">
        <v>305</v>
      </c>
      <c r="I2328" t="s">
        <v>288</v>
      </c>
      <c r="J2328" t="s">
        <v>288</v>
      </c>
      <c r="K2328" t="s">
        <v>57</v>
      </c>
    </row>
    <row r="2329" spans="1:11" x14ac:dyDescent="0.35">
      <c r="A2329" t="s">
        <v>2821</v>
      </c>
      <c r="B2329">
        <v>2025</v>
      </c>
      <c r="C2329" t="s">
        <v>1051</v>
      </c>
      <c r="D2329" t="s">
        <v>76</v>
      </c>
      <c r="E2329" t="s">
        <v>107</v>
      </c>
      <c r="F2329" t="s">
        <v>125</v>
      </c>
      <c r="G2329" t="s">
        <v>128</v>
      </c>
      <c r="H2329" t="s">
        <v>285</v>
      </c>
      <c r="I2329" t="s">
        <v>86</v>
      </c>
      <c r="J2329" t="s">
        <v>331</v>
      </c>
      <c r="K2329" t="s">
        <v>42</v>
      </c>
    </row>
    <row r="2330" spans="1:11" x14ac:dyDescent="0.35">
      <c r="A2330" t="s">
        <v>2822</v>
      </c>
      <c r="B2330">
        <v>2025</v>
      </c>
      <c r="C2330" t="s">
        <v>1051</v>
      </c>
      <c r="D2330" t="s">
        <v>85</v>
      </c>
      <c r="E2330" t="s">
        <v>116</v>
      </c>
      <c r="F2330" t="s">
        <v>131</v>
      </c>
      <c r="G2330" t="s">
        <v>126</v>
      </c>
      <c r="H2330" t="s">
        <v>285</v>
      </c>
      <c r="I2330" t="s">
        <v>77</v>
      </c>
      <c r="J2330" t="s">
        <v>308</v>
      </c>
      <c r="K2330" t="s">
        <v>42</v>
      </c>
    </row>
    <row r="2331" spans="1:11" x14ac:dyDescent="0.35">
      <c r="A2331" t="s">
        <v>2823</v>
      </c>
      <c r="B2331">
        <v>2025</v>
      </c>
      <c r="C2331" t="s">
        <v>1051</v>
      </c>
      <c r="D2331" t="s">
        <v>85</v>
      </c>
      <c r="E2331" t="s">
        <v>117</v>
      </c>
      <c r="F2331" t="s">
        <v>127</v>
      </c>
      <c r="G2331" t="s">
        <v>126</v>
      </c>
      <c r="H2331" t="s">
        <v>285</v>
      </c>
      <c r="I2331" t="s">
        <v>86</v>
      </c>
      <c r="J2331" t="s">
        <v>566</v>
      </c>
      <c r="K2331" t="s">
        <v>42</v>
      </c>
    </row>
    <row r="2332" spans="1:11" x14ac:dyDescent="0.35">
      <c r="A2332" t="s">
        <v>2824</v>
      </c>
      <c r="B2332">
        <v>2025</v>
      </c>
      <c r="C2332" t="s">
        <v>1051</v>
      </c>
      <c r="D2332" t="s">
        <v>76</v>
      </c>
      <c r="E2332" t="s">
        <v>107</v>
      </c>
      <c r="F2332" t="s">
        <v>129</v>
      </c>
      <c r="G2332" t="s">
        <v>128</v>
      </c>
      <c r="H2332" t="s">
        <v>357</v>
      </c>
      <c r="I2332" t="s">
        <v>77</v>
      </c>
      <c r="J2332" t="s">
        <v>286</v>
      </c>
      <c r="K2332" t="s">
        <v>57</v>
      </c>
    </row>
    <row r="2333" spans="1:11" x14ac:dyDescent="0.35">
      <c r="A2333" t="s">
        <v>2825</v>
      </c>
      <c r="B2333">
        <v>2025</v>
      </c>
      <c r="C2333" t="s">
        <v>1051</v>
      </c>
      <c r="D2333" t="s">
        <v>76</v>
      </c>
      <c r="E2333" t="s">
        <v>119</v>
      </c>
      <c r="F2333" t="s">
        <v>125</v>
      </c>
      <c r="G2333" t="s">
        <v>128</v>
      </c>
      <c r="H2333" t="s">
        <v>357</v>
      </c>
      <c r="I2333" t="s">
        <v>86</v>
      </c>
      <c r="J2333" t="s">
        <v>312</v>
      </c>
      <c r="K2333" t="s">
        <v>42</v>
      </c>
    </row>
    <row r="2334" spans="1:11" x14ac:dyDescent="0.35">
      <c r="A2334" t="s">
        <v>2826</v>
      </c>
      <c r="B2334">
        <v>2025</v>
      </c>
      <c r="C2334" t="s">
        <v>1051</v>
      </c>
      <c r="D2334" t="s">
        <v>85</v>
      </c>
      <c r="E2334" t="s">
        <v>117</v>
      </c>
      <c r="F2334" t="s">
        <v>129</v>
      </c>
      <c r="G2334" t="s">
        <v>130</v>
      </c>
      <c r="H2334" t="s">
        <v>285</v>
      </c>
      <c r="I2334" t="s">
        <v>288</v>
      </c>
      <c r="J2334" t="s">
        <v>288</v>
      </c>
      <c r="K2334" t="s">
        <v>57</v>
      </c>
    </row>
    <row r="2335" spans="1:11" x14ac:dyDescent="0.35">
      <c r="A2335" t="s">
        <v>2827</v>
      </c>
      <c r="B2335">
        <v>2025</v>
      </c>
      <c r="C2335" t="s">
        <v>1051</v>
      </c>
      <c r="D2335" t="s">
        <v>76</v>
      </c>
      <c r="E2335" t="s">
        <v>118</v>
      </c>
      <c r="F2335" t="s">
        <v>134</v>
      </c>
      <c r="G2335" t="s">
        <v>128</v>
      </c>
      <c r="H2335" t="s">
        <v>285</v>
      </c>
      <c r="I2335" t="s">
        <v>77</v>
      </c>
      <c r="J2335" t="s">
        <v>286</v>
      </c>
      <c r="K2335" t="s">
        <v>57</v>
      </c>
    </row>
    <row r="2336" spans="1:11" x14ac:dyDescent="0.35">
      <c r="A2336" t="s">
        <v>2828</v>
      </c>
      <c r="B2336">
        <v>2025</v>
      </c>
      <c r="C2336" t="s">
        <v>1051</v>
      </c>
      <c r="D2336" t="s">
        <v>85</v>
      </c>
      <c r="E2336" t="s">
        <v>116</v>
      </c>
      <c r="F2336" t="s">
        <v>129</v>
      </c>
      <c r="G2336" t="s">
        <v>128</v>
      </c>
      <c r="H2336" t="s">
        <v>305</v>
      </c>
      <c r="I2336" t="s">
        <v>289</v>
      </c>
      <c r="J2336" t="s">
        <v>331</v>
      </c>
      <c r="K2336" t="s">
        <v>42</v>
      </c>
    </row>
    <row r="2337" spans="1:11" x14ac:dyDescent="0.35">
      <c r="A2337" t="s">
        <v>2829</v>
      </c>
      <c r="B2337">
        <v>2025</v>
      </c>
      <c r="C2337" t="s">
        <v>1051</v>
      </c>
      <c r="D2337" t="s">
        <v>85</v>
      </c>
      <c r="E2337" t="s">
        <v>117</v>
      </c>
      <c r="F2337" t="s">
        <v>127</v>
      </c>
      <c r="G2337" t="s">
        <v>128</v>
      </c>
      <c r="H2337" t="s">
        <v>305</v>
      </c>
      <c r="I2337" t="s">
        <v>86</v>
      </c>
      <c r="J2337" t="s">
        <v>317</v>
      </c>
      <c r="K2337" t="s">
        <v>57</v>
      </c>
    </row>
    <row r="2338" spans="1:11" x14ac:dyDescent="0.35">
      <c r="A2338" t="s">
        <v>2830</v>
      </c>
      <c r="B2338">
        <v>2025</v>
      </c>
      <c r="C2338" t="s">
        <v>1051</v>
      </c>
      <c r="D2338" t="s">
        <v>85</v>
      </c>
      <c r="E2338" t="s">
        <v>120</v>
      </c>
      <c r="F2338" t="s">
        <v>133</v>
      </c>
      <c r="G2338" t="s">
        <v>128</v>
      </c>
      <c r="H2338" t="s">
        <v>285</v>
      </c>
      <c r="I2338" t="s">
        <v>86</v>
      </c>
      <c r="J2338" t="s">
        <v>326</v>
      </c>
      <c r="K2338" t="s">
        <v>57</v>
      </c>
    </row>
    <row r="2339" spans="1:11" x14ac:dyDescent="0.35">
      <c r="A2339" t="s">
        <v>2831</v>
      </c>
      <c r="B2339">
        <v>2025</v>
      </c>
      <c r="C2339" t="s">
        <v>1051</v>
      </c>
      <c r="D2339" t="s">
        <v>76</v>
      </c>
      <c r="E2339" t="s">
        <v>109</v>
      </c>
      <c r="F2339" t="s">
        <v>129</v>
      </c>
      <c r="G2339" t="s">
        <v>128</v>
      </c>
      <c r="H2339" t="s">
        <v>285</v>
      </c>
      <c r="I2339" t="s">
        <v>535</v>
      </c>
      <c r="J2339" t="s">
        <v>286</v>
      </c>
      <c r="K2339" t="s">
        <v>57</v>
      </c>
    </row>
    <row r="2340" spans="1:11" x14ac:dyDescent="0.35">
      <c r="A2340" t="s">
        <v>2832</v>
      </c>
      <c r="B2340">
        <v>2025</v>
      </c>
      <c r="C2340" t="s">
        <v>1051</v>
      </c>
      <c r="D2340" t="s">
        <v>85</v>
      </c>
      <c r="E2340" t="s">
        <v>116</v>
      </c>
      <c r="F2340" t="s">
        <v>131</v>
      </c>
      <c r="G2340" t="s">
        <v>126</v>
      </c>
      <c r="H2340" t="s">
        <v>285</v>
      </c>
      <c r="I2340" t="s">
        <v>77</v>
      </c>
      <c r="J2340" t="s">
        <v>286</v>
      </c>
      <c r="K2340" t="s">
        <v>57</v>
      </c>
    </row>
    <row r="2341" spans="1:11" x14ac:dyDescent="0.35">
      <c r="A2341" t="s">
        <v>2833</v>
      </c>
      <c r="B2341">
        <v>2025</v>
      </c>
      <c r="C2341" t="s">
        <v>1051</v>
      </c>
      <c r="D2341" t="s">
        <v>85</v>
      </c>
      <c r="E2341" t="s">
        <v>116</v>
      </c>
      <c r="F2341" t="s">
        <v>125</v>
      </c>
      <c r="G2341" t="s">
        <v>128</v>
      </c>
      <c r="H2341" t="s">
        <v>285</v>
      </c>
      <c r="I2341" t="s">
        <v>86</v>
      </c>
      <c r="J2341" t="s">
        <v>775</v>
      </c>
      <c r="K2341" t="s">
        <v>42</v>
      </c>
    </row>
    <row r="2342" spans="1:11" x14ac:dyDescent="0.35">
      <c r="A2342" t="s">
        <v>2834</v>
      </c>
      <c r="B2342">
        <v>2025</v>
      </c>
      <c r="C2342" t="s">
        <v>1051</v>
      </c>
      <c r="D2342" t="s">
        <v>85</v>
      </c>
      <c r="E2342" t="s">
        <v>117</v>
      </c>
      <c r="F2342" t="s">
        <v>127</v>
      </c>
      <c r="G2342" t="s">
        <v>128</v>
      </c>
      <c r="H2342" t="s">
        <v>305</v>
      </c>
      <c r="I2342" t="s">
        <v>288</v>
      </c>
      <c r="J2342" t="s">
        <v>288</v>
      </c>
      <c r="K2342" t="s">
        <v>57</v>
      </c>
    </row>
    <row r="2343" spans="1:11" x14ac:dyDescent="0.35">
      <c r="A2343" t="s">
        <v>2835</v>
      </c>
      <c r="B2343">
        <v>2025</v>
      </c>
      <c r="C2343" t="s">
        <v>1051</v>
      </c>
      <c r="D2343" t="s">
        <v>76</v>
      </c>
      <c r="E2343" t="s">
        <v>107</v>
      </c>
      <c r="F2343" t="s">
        <v>125</v>
      </c>
      <c r="G2343" t="s">
        <v>126</v>
      </c>
      <c r="H2343" t="s">
        <v>285</v>
      </c>
      <c r="I2343" t="s">
        <v>77</v>
      </c>
      <c r="J2343" t="s">
        <v>286</v>
      </c>
      <c r="K2343" t="s">
        <v>57</v>
      </c>
    </row>
    <row r="2344" spans="1:11" x14ac:dyDescent="0.35">
      <c r="A2344" t="s">
        <v>2836</v>
      </c>
      <c r="B2344">
        <v>2025</v>
      </c>
      <c r="C2344" t="s">
        <v>1051</v>
      </c>
      <c r="D2344" t="s">
        <v>85</v>
      </c>
      <c r="E2344" t="s">
        <v>120</v>
      </c>
      <c r="F2344" t="s">
        <v>129</v>
      </c>
      <c r="G2344" t="s">
        <v>132</v>
      </c>
      <c r="H2344" t="s">
        <v>285</v>
      </c>
      <c r="I2344" t="s">
        <v>86</v>
      </c>
      <c r="J2344" t="s">
        <v>2837</v>
      </c>
      <c r="K2344" t="s">
        <v>42</v>
      </c>
    </row>
    <row r="2345" spans="1:11" x14ac:dyDescent="0.35">
      <c r="A2345" t="s">
        <v>2838</v>
      </c>
      <c r="B2345">
        <v>2025</v>
      </c>
      <c r="C2345" t="s">
        <v>1051</v>
      </c>
      <c r="D2345" t="s">
        <v>76</v>
      </c>
      <c r="E2345" t="s">
        <v>115</v>
      </c>
      <c r="F2345" t="s">
        <v>125</v>
      </c>
      <c r="G2345" t="s">
        <v>128</v>
      </c>
      <c r="H2345" t="s">
        <v>357</v>
      </c>
      <c r="I2345" t="s">
        <v>77</v>
      </c>
      <c r="J2345" t="s">
        <v>286</v>
      </c>
      <c r="K2345" t="s">
        <v>57</v>
      </c>
    </row>
    <row r="2346" spans="1:11" x14ac:dyDescent="0.35">
      <c r="A2346" t="s">
        <v>2839</v>
      </c>
      <c r="B2346">
        <v>2025</v>
      </c>
      <c r="C2346" t="s">
        <v>1051</v>
      </c>
      <c r="D2346" t="s">
        <v>76</v>
      </c>
      <c r="E2346" t="s">
        <v>108</v>
      </c>
      <c r="F2346" t="s">
        <v>125</v>
      </c>
      <c r="G2346" t="s">
        <v>128</v>
      </c>
      <c r="H2346" t="s">
        <v>285</v>
      </c>
      <c r="I2346" t="s">
        <v>461</v>
      </c>
      <c r="J2346" t="s">
        <v>365</v>
      </c>
      <c r="K2346" t="s">
        <v>42</v>
      </c>
    </row>
    <row r="2347" spans="1:11" x14ac:dyDescent="0.35">
      <c r="A2347" t="s">
        <v>2840</v>
      </c>
      <c r="B2347">
        <v>2025</v>
      </c>
      <c r="C2347" t="s">
        <v>1051</v>
      </c>
      <c r="D2347" t="s">
        <v>85</v>
      </c>
      <c r="E2347" t="s">
        <v>120</v>
      </c>
      <c r="F2347" t="s">
        <v>129</v>
      </c>
      <c r="G2347" t="s">
        <v>132</v>
      </c>
      <c r="H2347" t="s">
        <v>285</v>
      </c>
      <c r="I2347" t="s">
        <v>428</v>
      </c>
      <c r="J2347" t="s">
        <v>308</v>
      </c>
      <c r="K2347" t="s">
        <v>42</v>
      </c>
    </row>
    <row r="2348" spans="1:11" x14ac:dyDescent="0.35">
      <c r="A2348" t="s">
        <v>2841</v>
      </c>
      <c r="B2348">
        <v>2025</v>
      </c>
      <c r="C2348" t="s">
        <v>1051</v>
      </c>
      <c r="D2348" t="s">
        <v>85</v>
      </c>
      <c r="E2348" t="s">
        <v>117</v>
      </c>
      <c r="F2348" t="s">
        <v>133</v>
      </c>
      <c r="G2348" t="s">
        <v>128</v>
      </c>
      <c r="H2348" t="s">
        <v>357</v>
      </c>
      <c r="I2348" t="s">
        <v>288</v>
      </c>
      <c r="J2348" t="s">
        <v>288</v>
      </c>
      <c r="K2348" t="s">
        <v>57</v>
      </c>
    </row>
    <row r="2349" spans="1:11" x14ac:dyDescent="0.35">
      <c r="A2349" t="s">
        <v>2842</v>
      </c>
      <c r="B2349">
        <v>2025</v>
      </c>
      <c r="C2349" t="s">
        <v>1051</v>
      </c>
      <c r="D2349" t="s">
        <v>76</v>
      </c>
      <c r="E2349" t="s">
        <v>119</v>
      </c>
      <c r="F2349" t="s">
        <v>125</v>
      </c>
      <c r="G2349" t="s">
        <v>132</v>
      </c>
      <c r="H2349" t="s">
        <v>285</v>
      </c>
      <c r="I2349" t="s">
        <v>86</v>
      </c>
      <c r="J2349" t="s">
        <v>288</v>
      </c>
      <c r="K2349" t="s">
        <v>57</v>
      </c>
    </row>
    <row r="2350" spans="1:11" x14ac:dyDescent="0.35">
      <c r="A2350" t="s">
        <v>2843</v>
      </c>
      <c r="B2350">
        <v>2025</v>
      </c>
      <c r="C2350" t="s">
        <v>1051</v>
      </c>
      <c r="D2350" t="s">
        <v>85</v>
      </c>
      <c r="E2350" t="s">
        <v>116</v>
      </c>
      <c r="F2350" t="s">
        <v>131</v>
      </c>
      <c r="G2350" t="s">
        <v>126</v>
      </c>
      <c r="H2350" t="s">
        <v>285</v>
      </c>
      <c r="I2350" t="s">
        <v>407</v>
      </c>
      <c r="J2350" t="s">
        <v>286</v>
      </c>
      <c r="K2350" t="s">
        <v>57</v>
      </c>
    </row>
    <row r="2351" spans="1:11" x14ac:dyDescent="0.35">
      <c r="A2351" t="s">
        <v>2844</v>
      </c>
      <c r="B2351">
        <v>2025</v>
      </c>
      <c r="C2351" t="s">
        <v>1051</v>
      </c>
      <c r="D2351" t="s">
        <v>76</v>
      </c>
      <c r="E2351" t="s">
        <v>107</v>
      </c>
      <c r="F2351" t="s">
        <v>125</v>
      </c>
      <c r="G2351" t="s">
        <v>128</v>
      </c>
      <c r="H2351" t="s">
        <v>285</v>
      </c>
      <c r="I2351" t="s">
        <v>426</v>
      </c>
      <c r="J2351" t="s">
        <v>286</v>
      </c>
      <c r="K2351" t="s">
        <v>57</v>
      </c>
    </row>
    <row r="2352" spans="1:11" x14ac:dyDescent="0.35">
      <c r="A2352" t="s">
        <v>2845</v>
      </c>
      <c r="B2352">
        <v>2025</v>
      </c>
      <c r="C2352" t="s">
        <v>1051</v>
      </c>
      <c r="D2352" t="s">
        <v>76</v>
      </c>
      <c r="E2352" t="s">
        <v>107</v>
      </c>
      <c r="F2352" t="s">
        <v>127</v>
      </c>
      <c r="G2352" t="s">
        <v>128</v>
      </c>
      <c r="H2352" t="s">
        <v>357</v>
      </c>
      <c r="I2352" t="s">
        <v>289</v>
      </c>
      <c r="J2352" t="s">
        <v>288</v>
      </c>
      <c r="K2352" t="s">
        <v>57</v>
      </c>
    </row>
    <row r="2353" spans="1:11" x14ac:dyDescent="0.35">
      <c r="A2353" t="s">
        <v>2846</v>
      </c>
      <c r="B2353">
        <v>2025</v>
      </c>
      <c r="C2353" t="s">
        <v>1051</v>
      </c>
      <c r="D2353" t="s">
        <v>76</v>
      </c>
      <c r="E2353" t="s">
        <v>107</v>
      </c>
      <c r="F2353" t="s">
        <v>125</v>
      </c>
      <c r="G2353" t="s">
        <v>130</v>
      </c>
      <c r="H2353" t="s">
        <v>285</v>
      </c>
      <c r="I2353" t="s">
        <v>86</v>
      </c>
      <c r="J2353" t="s">
        <v>288</v>
      </c>
      <c r="K2353" t="s">
        <v>57</v>
      </c>
    </row>
    <row r="2354" spans="1:11" x14ac:dyDescent="0.35">
      <c r="A2354" t="s">
        <v>2847</v>
      </c>
      <c r="B2354">
        <v>2025</v>
      </c>
      <c r="C2354" t="s">
        <v>1051</v>
      </c>
      <c r="D2354" t="s">
        <v>76</v>
      </c>
      <c r="E2354" t="s">
        <v>115</v>
      </c>
      <c r="F2354" t="s">
        <v>125</v>
      </c>
      <c r="G2354" t="s">
        <v>132</v>
      </c>
      <c r="H2354" t="s">
        <v>357</v>
      </c>
      <c r="I2354" t="s">
        <v>77</v>
      </c>
      <c r="J2354" t="s">
        <v>286</v>
      </c>
      <c r="K2354" t="s">
        <v>57</v>
      </c>
    </row>
    <row r="2355" spans="1:11" x14ac:dyDescent="0.35">
      <c r="A2355" t="s">
        <v>2848</v>
      </c>
      <c r="B2355">
        <v>2025</v>
      </c>
      <c r="C2355" t="s">
        <v>1051</v>
      </c>
      <c r="D2355" t="s">
        <v>76</v>
      </c>
      <c r="E2355" t="s">
        <v>115</v>
      </c>
      <c r="F2355" t="s">
        <v>127</v>
      </c>
      <c r="G2355" t="s">
        <v>126</v>
      </c>
      <c r="H2355" t="s">
        <v>357</v>
      </c>
      <c r="I2355" t="s">
        <v>426</v>
      </c>
      <c r="J2355" t="s">
        <v>317</v>
      </c>
      <c r="K2355" t="s">
        <v>57</v>
      </c>
    </row>
    <row r="2356" spans="1:11" x14ac:dyDescent="0.35">
      <c r="A2356" t="s">
        <v>2849</v>
      </c>
      <c r="B2356">
        <v>2025</v>
      </c>
      <c r="C2356" t="s">
        <v>1051</v>
      </c>
      <c r="D2356" t="s">
        <v>76</v>
      </c>
      <c r="E2356" t="s">
        <v>107</v>
      </c>
      <c r="F2356" t="s">
        <v>125</v>
      </c>
      <c r="G2356" t="s">
        <v>128</v>
      </c>
      <c r="H2356" t="s">
        <v>285</v>
      </c>
      <c r="I2356" t="s">
        <v>86</v>
      </c>
      <c r="J2356" t="s">
        <v>286</v>
      </c>
      <c r="K2356" t="s">
        <v>57</v>
      </c>
    </row>
    <row r="2357" spans="1:11" x14ac:dyDescent="0.35">
      <c r="A2357" t="s">
        <v>2850</v>
      </c>
      <c r="B2357">
        <v>2025</v>
      </c>
      <c r="C2357" t="s">
        <v>1051</v>
      </c>
      <c r="D2357" t="s">
        <v>85</v>
      </c>
      <c r="E2357" t="s">
        <v>116</v>
      </c>
      <c r="F2357" t="s">
        <v>131</v>
      </c>
      <c r="G2357" t="s">
        <v>126</v>
      </c>
      <c r="H2357" t="s">
        <v>285</v>
      </c>
      <c r="I2357" t="s">
        <v>288</v>
      </c>
      <c r="J2357" t="s">
        <v>286</v>
      </c>
      <c r="K2357" t="s">
        <v>57</v>
      </c>
    </row>
    <row r="2358" spans="1:11" x14ac:dyDescent="0.35">
      <c r="A2358" t="s">
        <v>2851</v>
      </c>
      <c r="B2358">
        <v>2025</v>
      </c>
      <c r="C2358" t="s">
        <v>1051</v>
      </c>
      <c r="D2358" t="s">
        <v>76</v>
      </c>
      <c r="E2358" t="s">
        <v>119</v>
      </c>
      <c r="F2358" t="s">
        <v>125</v>
      </c>
      <c r="G2358" t="s">
        <v>132</v>
      </c>
      <c r="H2358" t="s">
        <v>285</v>
      </c>
      <c r="I2358" t="s">
        <v>86</v>
      </c>
      <c r="J2358" t="s">
        <v>286</v>
      </c>
      <c r="K2358" t="s">
        <v>57</v>
      </c>
    </row>
    <row r="2359" spans="1:11" x14ac:dyDescent="0.35">
      <c r="A2359" t="s">
        <v>2852</v>
      </c>
      <c r="B2359">
        <v>2025</v>
      </c>
      <c r="C2359" t="s">
        <v>1051</v>
      </c>
      <c r="D2359" t="s">
        <v>85</v>
      </c>
      <c r="E2359" t="s">
        <v>116</v>
      </c>
      <c r="F2359" t="s">
        <v>129</v>
      </c>
      <c r="G2359" t="s">
        <v>132</v>
      </c>
      <c r="H2359" t="s">
        <v>285</v>
      </c>
      <c r="I2359" t="s">
        <v>289</v>
      </c>
      <c r="J2359" t="s">
        <v>286</v>
      </c>
      <c r="K2359" t="s">
        <v>57</v>
      </c>
    </row>
    <row r="2360" spans="1:11" x14ac:dyDescent="0.35">
      <c r="A2360" t="s">
        <v>2853</v>
      </c>
      <c r="B2360">
        <v>2025</v>
      </c>
      <c r="C2360" t="s">
        <v>1051</v>
      </c>
      <c r="D2360" t="s">
        <v>85</v>
      </c>
      <c r="E2360" t="s">
        <v>117</v>
      </c>
      <c r="F2360" t="s">
        <v>127</v>
      </c>
      <c r="G2360" t="s">
        <v>126</v>
      </c>
      <c r="H2360" t="s">
        <v>305</v>
      </c>
      <c r="I2360" t="s">
        <v>86</v>
      </c>
      <c r="J2360" t="s">
        <v>405</v>
      </c>
      <c r="K2360" t="s">
        <v>57</v>
      </c>
    </row>
    <row r="2361" spans="1:11" x14ac:dyDescent="0.35">
      <c r="A2361" t="s">
        <v>2854</v>
      </c>
      <c r="B2361">
        <v>2025</v>
      </c>
      <c r="C2361" t="s">
        <v>1051</v>
      </c>
      <c r="D2361" t="s">
        <v>76</v>
      </c>
      <c r="E2361" t="s">
        <v>119</v>
      </c>
      <c r="F2361" t="s">
        <v>129</v>
      </c>
      <c r="G2361" t="s">
        <v>130</v>
      </c>
      <c r="H2361" t="s">
        <v>357</v>
      </c>
      <c r="I2361" t="s">
        <v>77</v>
      </c>
      <c r="J2361" t="s">
        <v>288</v>
      </c>
      <c r="K2361" t="s">
        <v>57</v>
      </c>
    </row>
    <row r="2362" spans="1:11" x14ac:dyDescent="0.35">
      <c r="A2362" t="s">
        <v>2855</v>
      </c>
      <c r="B2362">
        <v>2025</v>
      </c>
      <c r="C2362" t="s">
        <v>1051</v>
      </c>
      <c r="D2362" t="s">
        <v>85</v>
      </c>
      <c r="E2362" t="s">
        <v>120</v>
      </c>
      <c r="F2362" t="s">
        <v>127</v>
      </c>
      <c r="G2362" t="s">
        <v>130</v>
      </c>
      <c r="H2362" t="s">
        <v>305</v>
      </c>
      <c r="I2362" t="s">
        <v>77</v>
      </c>
      <c r="J2362" t="s">
        <v>317</v>
      </c>
      <c r="K2362" t="s">
        <v>57</v>
      </c>
    </row>
    <row r="2363" spans="1:11" x14ac:dyDescent="0.35">
      <c r="A2363" t="s">
        <v>2856</v>
      </c>
      <c r="B2363">
        <v>2025</v>
      </c>
      <c r="C2363" t="s">
        <v>1051</v>
      </c>
      <c r="D2363" t="s">
        <v>85</v>
      </c>
      <c r="E2363" t="s">
        <v>116</v>
      </c>
      <c r="F2363" t="s">
        <v>125</v>
      </c>
      <c r="G2363" t="s">
        <v>128</v>
      </c>
      <c r="H2363" t="s">
        <v>285</v>
      </c>
      <c r="I2363" t="s">
        <v>77</v>
      </c>
      <c r="J2363" t="s">
        <v>1190</v>
      </c>
      <c r="K2363" t="s">
        <v>57</v>
      </c>
    </row>
    <row r="2364" spans="1:11" x14ac:dyDescent="0.35">
      <c r="A2364" t="s">
        <v>2857</v>
      </c>
      <c r="B2364">
        <v>2025</v>
      </c>
      <c r="C2364" t="s">
        <v>1051</v>
      </c>
      <c r="D2364" t="s">
        <v>85</v>
      </c>
      <c r="E2364" t="s">
        <v>377</v>
      </c>
      <c r="F2364" t="s">
        <v>129</v>
      </c>
      <c r="G2364" t="s">
        <v>130</v>
      </c>
      <c r="H2364" t="s">
        <v>305</v>
      </c>
      <c r="I2364" t="s">
        <v>77</v>
      </c>
      <c r="J2364" t="s">
        <v>286</v>
      </c>
      <c r="K2364" t="s">
        <v>57</v>
      </c>
    </row>
    <row r="2365" spans="1:11" x14ac:dyDescent="0.35">
      <c r="A2365" t="s">
        <v>2858</v>
      </c>
      <c r="B2365">
        <v>2025</v>
      </c>
      <c r="C2365" t="s">
        <v>1051</v>
      </c>
      <c r="D2365" t="s">
        <v>85</v>
      </c>
      <c r="E2365" t="s">
        <v>116</v>
      </c>
      <c r="F2365" t="s">
        <v>125</v>
      </c>
      <c r="G2365" t="s">
        <v>128</v>
      </c>
      <c r="H2365" t="s">
        <v>357</v>
      </c>
      <c r="I2365" t="s">
        <v>77</v>
      </c>
      <c r="J2365" t="s">
        <v>286</v>
      </c>
      <c r="K2365" t="s">
        <v>57</v>
      </c>
    </row>
    <row r="2366" spans="1:11" x14ac:dyDescent="0.35">
      <c r="A2366" t="s">
        <v>2859</v>
      </c>
      <c r="B2366">
        <v>2025</v>
      </c>
      <c r="C2366" t="s">
        <v>1051</v>
      </c>
      <c r="D2366" t="s">
        <v>76</v>
      </c>
      <c r="E2366" t="s">
        <v>115</v>
      </c>
      <c r="F2366" t="s">
        <v>127</v>
      </c>
      <c r="G2366" t="s">
        <v>130</v>
      </c>
      <c r="H2366" t="s">
        <v>357</v>
      </c>
      <c r="I2366" t="s">
        <v>86</v>
      </c>
      <c r="J2366" t="s">
        <v>308</v>
      </c>
      <c r="K2366" t="s">
        <v>42</v>
      </c>
    </row>
    <row r="2367" spans="1:11" x14ac:dyDescent="0.35">
      <c r="A2367" t="s">
        <v>2860</v>
      </c>
      <c r="B2367">
        <v>2025</v>
      </c>
      <c r="C2367" t="s">
        <v>1051</v>
      </c>
      <c r="D2367" t="s">
        <v>76</v>
      </c>
      <c r="E2367" t="s">
        <v>119</v>
      </c>
      <c r="F2367" t="s">
        <v>125</v>
      </c>
      <c r="G2367" t="s">
        <v>126</v>
      </c>
      <c r="H2367" t="s">
        <v>357</v>
      </c>
      <c r="I2367" t="s">
        <v>77</v>
      </c>
      <c r="J2367" t="s">
        <v>288</v>
      </c>
      <c r="K2367" t="s">
        <v>57</v>
      </c>
    </row>
    <row r="2368" spans="1:11" x14ac:dyDescent="0.35">
      <c r="A2368" t="s">
        <v>2861</v>
      </c>
      <c r="B2368">
        <v>2025</v>
      </c>
      <c r="C2368" t="s">
        <v>1051</v>
      </c>
      <c r="D2368" t="s">
        <v>76</v>
      </c>
      <c r="E2368" t="s">
        <v>107</v>
      </c>
      <c r="F2368" t="s">
        <v>125</v>
      </c>
      <c r="G2368" t="s">
        <v>126</v>
      </c>
      <c r="H2368" t="s">
        <v>285</v>
      </c>
      <c r="I2368" t="s">
        <v>86</v>
      </c>
      <c r="J2368" t="s">
        <v>286</v>
      </c>
      <c r="K2368" t="s">
        <v>57</v>
      </c>
    </row>
    <row r="2369" spans="1:11" x14ac:dyDescent="0.35">
      <c r="A2369" t="s">
        <v>2862</v>
      </c>
      <c r="B2369">
        <v>2025</v>
      </c>
      <c r="C2369" t="s">
        <v>1051</v>
      </c>
      <c r="D2369" t="s">
        <v>85</v>
      </c>
      <c r="E2369" t="s">
        <v>116</v>
      </c>
      <c r="F2369" t="s">
        <v>131</v>
      </c>
      <c r="G2369" t="s">
        <v>128</v>
      </c>
      <c r="H2369" t="s">
        <v>285</v>
      </c>
      <c r="I2369" t="s">
        <v>289</v>
      </c>
      <c r="J2369" t="s">
        <v>405</v>
      </c>
      <c r="K2369" t="s">
        <v>57</v>
      </c>
    </row>
    <row r="2370" spans="1:11" x14ac:dyDescent="0.35">
      <c r="A2370" t="s">
        <v>2863</v>
      </c>
      <c r="B2370">
        <v>2025</v>
      </c>
      <c r="C2370" t="s">
        <v>1051</v>
      </c>
      <c r="D2370" t="s">
        <v>85</v>
      </c>
      <c r="E2370" t="s">
        <v>116</v>
      </c>
      <c r="F2370" t="s">
        <v>129</v>
      </c>
      <c r="G2370" t="s">
        <v>128</v>
      </c>
      <c r="H2370" t="s">
        <v>285</v>
      </c>
      <c r="I2370" t="s">
        <v>289</v>
      </c>
      <c r="J2370" t="s">
        <v>326</v>
      </c>
      <c r="K2370" t="s">
        <v>57</v>
      </c>
    </row>
    <row r="2371" spans="1:11" x14ac:dyDescent="0.35">
      <c r="A2371" t="s">
        <v>2864</v>
      </c>
      <c r="B2371">
        <v>2025</v>
      </c>
      <c r="C2371" t="s">
        <v>1051</v>
      </c>
      <c r="D2371" t="s">
        <v>76</v>
      </c>
      <c r="E2371" t="s">
        <v>2865</v>
      </c>
      <c r="F2371" t="s">
        <v>125</v>
      </c>
      <c r="G2371" t="s">
        <v>126</v>
      </c>
      <c r="H2371" t="s">
        <v>285</v>
      </c>
      <c r="I2371" t="s">
        <v>77</v>
      </c>
      <c r="J2371" t="s">
        <v>286</v>
      </c>
      <c r="K2371" t="s">
        <v>57</v>
      </c>
    </row>
    <row r="2372" spans="1:11" x14ac:dyDescent="0.35">
      <c r="A2372" t="s">
        <v>2866</v>
      </c>
      <c r="B2372">
        <v>2025</v>
      </c>
      <c r="C2372" t="s">
        <v>1051</v>
      </c>
      <c r="D2372" t="s">
        <v>76</v>
      </c>
      <c r="E2372" t="s">
        <v>115</v>
      </c>
      <c r="F2372" t="s">
        <v>127</v>
      </c>
      <c r="G2372" t="s">
        <v>132</v>
      </c>
      <c r="H2372" t="s">
        <v>357</v>
      </c>
      <c r="I2372" t="s">
        <v>288</v>
      </c>
      <c r="J2372" t="s">
        <v>288</v>
      </c>
      <c r="K2372" t="s">
        <v>57</v>
      </c>
    </row>
    <row r="2373" spans="1:11" x14ac:dyDescent="0.35">
      <c r="A2373" t="s">
        <v>2867</v>
      </c>
      <c r="B2373">
        <v>2025</v>
      </c>
      <c r="C2373" t="s">
        <v>1051</v>
      </c>
      <c r="D2373" t="s">
        <v>76</v>
      </c>
      <c r="E2373" t="s">
        <v>360</v>
      </c>
      <c r="F2373" t="s">
        <v>288</v>
      </c>
      <c r="G2373" t="s">
        <v>128</v>
      </c>
      <c r="H2373" t="s">
        <v>357</v>
      </c>
      <c r="I2373" t="s">
        <v>288</v>
      </c>
      <c r="J2373" t="s">
        <v>288</v>
      </c>
      <c r="K2373" t="s">
        <v>57</v>
      </c>
    </row>
    <row r="2374" spans="1:11" x14ac:dyDescent="0.35">
      <c r="A2374" t="s">
        <v>2868</v>
      </c>
      <c r="B2374">
        <v>2025</v>
      </c>
      <c r="C2374" t="s">
        <v>1051</v>
      </c>
      <c r="D2374" t="s">
        <v>76</v>
      </c>
      <c r="E2374" t="s">
        <v>107</v>
      </c>
      <c r="F2374" t="s">
        <v>125</v>
      </c>
      <c r="G2374" t="s">
        <v>128</v>
      </c>
      <c r="H2374" t="s">
        <v>357</v>
      </c>
      <c r="I2374" t="s">
        <v>77</v>
      </c>
      <c r="J2374" t="s">
        <v>286</v>
      </c>
      <c r="K2374" t="s">
        <v>57</v>
      </c>
    </row>
    <row r="2375" spans="1:11" x14ac:dyDescent="0.35">
      <c r="A2375" t="s">
        <v>2869</v>
      </c>
      <c r="B2375">
        <v>2025</v>
      </c>
      <c r="C2375" t="s">
        <v>1051</v>
      </c>
      <c r="D2375" t="s">
        <v>76</v>
      </c>
      <c r="E2375" t="s">
        <v>118</v>
      </c>
      <c r="F2375" t="s">
        <v>127</v>
      </c>
      <c r="G2375" t="s">
        <v>130</v>
      </c>
      <c r="H2375" t="s">
        <v>285</v>
      </c>
      <c r="I2375" t="s">
        <v>499</v>
      </c>
      <c r="J2375" t="s">
        <v>286</v>
      </c>
      <c r="K2375" t="s">
        <v>57</v>
      </c>
    </row>
    <row r="2376" spans="1:11" x14ac:dyDescent="0.35">
      <c r="A2376" t="s">
        <v>2870</v>
      </c>
      <c r="B2376">
        <v>2025</v>
      </c>
      <c r="C2376" t="s">
        <v>1051</v>
      </c>
      <c r="D2376" t="s">
        <v>76</v>
      </c>
      <c r="E2376" t="s">
        <v>111</v>
      </c>
      <c r="F2376" t="s">
        <v>125</v>
      </c>
      <c r="G2376" t="s">
        <v>132</v>
      </c>
      <c r="H2376" t="s">
        <v>285</v>
      </c>
      <c r="I2376" t="s">
        <v>77</v>
      </c>
      <c r="J2376" t="s">
        <v>286</v>
      </c>
      <c r="K2376" t="s">
        <v>57</v>
      </c>
    </row>
    <row r="2377" spans="1:11" x14ac:dyDescent="0.35">
      <c r="A2377" t="s">
        <v>2871</v>
      </c>
      <c r="B2377">
        <v>2025</v>
      </c>
      <c r="C2377" t="s">
        <v>1051</v>
      </c>
      <c r="D2377" t="s">
        <v>85</v>
      </c>
      <c r="E2377" t="s">
        <v>120</v>
      </c>
      <c r="F2377" t="s">
        <v>131</v>
      </c>
      <c r="G2377" t="s">
        <v>126</v>
      </c>
      <c r="H2377" t="s">
        <v>285</v>
      </c>
      <c r="I2377" t="s">
        <v>337</v>
      </c>
      <c r="J2377" t="s">
        <v>326</v>
      </c>
      <c r="K2377" t="s">
        <v>57</v>
      </c>
    </row>
    <row r="2378" spans="1:11" x14ac:dyDescent="0.35">
      <c r="A2378" t="s">
        <v>2872</v>
      </c>
      <c r="B2378">
        <v>2025</v>
      </c>
      <c r="C2378" t="s">
        <v>1051</v>
      </c>
      <c r="D2378" t="s">
        <v>85</v>
      </c>
      <c r="E2378" t="s">
        <v>116</v>
      </c>
      <c r="F2378" t="s">
        <v>131</v>
      </c>
      <c r="G2378" t="s">
        <v>128</v>
      </c>
      <c r="H2378" t="s">
        <v>285</v>
      </c>
      <c r="I2378" t="s">
        <v>86</v>
      </c>
      <c r="J2378" t="s">
        <v>288</v>
      </c>
      <c r="K2378" t="s">
        <v>57</v>
      </c>
    </row>
    <row r="2379" spans="1:11" x14ac:dyDescent="0.35">
      <c r="A2379" t="s">
        <v>2873</v>
      </c>
      <c r="B2379">
        <v>2025</v>
      </c>
      <c r="C2379" t="s">
        <v>1051</v>
      </c>
      <c r="D2379" t="s">
        <v>85</v>
      </c>
      <c r="E2379" t="s">
        <v>377</v>
      </c>
      <c r="F2379" t="s">
        <v>288</v>
      </c>
      <c r="G2379" t="s">
        <v>132</v>
      </c>
      <c r="H2379" t="s">
        <v>285</v>
      </c>
      <c r="I2379" t="s">
        <v>288</v>
      </c>
      <c r="J2379" t="s">
        <v>288</v>
      </c>
      <c r="K2379" t="s">
        <v>57</v>
      </c>
    </row>
    <row r="2380" spans="1:11" x14ac:dyDescent="0.35">
      <c r="A2380" t="s">
        <v>2874</v>
      </c>
      <c r="B2380">
        <v>2025</v>
      </c>
      <c r="C2380" t="s">
        <v>1051</v>
      </c>
      <c r="D2380" t="s">
        <v>85</v>
      </c>
      <c r="E2380" t="s">
        <v>116</v>
      </c>
      <c r="F2380" t="s">
        <v>129</v>
      </c>
      <c r="G2380" t="s">
        <v>132</v>
      </c>
      <c r="H2380" t="s">
        <v>285</v>
      </c>
      <c r="I2380" t="s">
        <v>289</v>
      </c>
      <c r="J2380" t="s">
        <v>2875</v>
      </c>
      <c r="K2380" t="s">
        <v>42</v>
      </c>
    </row>
    <row r="2381" spans="1:11" x14ac:dyDescent="0.35">
      <c r="A2381" t="s">
        <v>2876</v>
      </c>
      <c r="B2381">
        <v>2025</v>
      </c>
      <c r="C2381" t="s">
        <v>1051</v>
      </c>
      <c r="D2381" t="s">
        <v>76</v>
      </c>
      <c r="E2381" t="s">
        <v>108</v>
      </c>
      <c r="F2381" t="s">
        <v>125</v>
      </c>
      <c r="G2381" t="s">
        <v>128</v>
      </c>
      <c r="H2381" t="s">
        <v>285</v>
      </c>
      <c r="I2381" t="s">
        <v>77</v>
      </c>
      <c r="J2381" t="s">
        <v>286</v>
      </c>
      <c r="K2381" t="s">
        <v>57</v>
      </c>
    </row>
    <row r="2382" spans="1:11" x14ac:dyDescent="0.35">
      <c r="A2382" t="s">
        <v>2877</v>
      </c>
      <c r="B2382">
        <v>2025</v>
      </c>
      <c r="C2382" t="s">
        <v>1051</v>
      </c>
      <c r="D2382" t="s">
        <v>76</v>
      </c>
      <c r="E2382" t="s">
        <v>119</v>
      </c>
      <c r="F2382" t="s">
        <v>127</v>
      </c>
      <c r="G2382" t="s">
        <v>128</v>
      </c>
      <c r="H2382" t="s">
        <v>357</v>
      </c>
      <c r="I2382" t="s">
        <v>499</v>
      </c>
      <c r="J2382" t="s">
        <v>286</v>
      </c>
      <c r="K2382" t="s">
        <v>57</v>
      </c>
    </row>
    <row r="2383" spans="1:11" x14ac:dyDescent="0.35">
      <c r="A2383" t="s">
        <v>2878</v>
      </c>
      <c r="B2383">
        <v>2025</v>
      </c>
      <c r="C2383" t="s">
        <v>1051</v>
      </c>
      <c r="D2383" t="s">
        <v>76</v>
      </c>
      <c r="E2383" t="s">
        <v>115</v>
      </c>
      <c r="F2383" t="s">
        <v>131</v>
      </c>
      <c r="G2383" t="s">
        <v>132</v>
      </c>
      <c r="H2383" t="s">
        <v>357</v>
      </c>
      <c r="I2383" t="s">
        <v>756</v>
      </c>
      <c r="J2383" t="s">
        <v>286</v>
      </c>
      <c r="K2383" t="s">
        <v>57</v>
      </c>
    </row>
    <row r="2384" spans="1:11" x14ac:dyDescent="0.35">
      <c r="A2384" t="s">
        <v>2879</v>
      </c>
      <c r="B2384">
        <v>2025</v>
      </c>
      <c r="C2384" t="s">
        <v>1051</v>
      </c>
      <c r="D2384" t="s">
        <v>85</v>
      </c>
      <c r="E2384" t="s">
        <v>117</v>
      </c>
      <c r="F2384" t="s">
        <v>288</v>
      </c>
      <c r="G2384" t="s">
        <v>130</v>
      </c>
      <c r="H2384" t="s">
        <v>305</v>
      </c>
      <c r="I2384" t="s">
        <v>288</v>
      </c>
      <c r="J2384" t="s">
        <v>295</v>
      </c>
      <c r="K2384" t="s">
        <v>57</v>
      </c>
    </row>
    <row r="2385" spans="1:11" x14ac:dyDescent="0.35">
      <c r="A2385" t="s">
        <v>2880</v>
      </c>
      <c r="B2385">
        <v>2025</v>
      </c>
      <c r="C2385" t="s">
        <v>1051</v>
      </c>
      <c r="D2385" t="s">
        <v>76</v>
      </c>
      <c r="E2385" t="s">
        <v>119</v>
      </c>
      <c r="F2385" t="s">
        <v>125</v>
      </c>
      <c r="G2385" t="s">
        <v>128</v>
      </c>
      <c r="H2385" t="s">
        <v>285</v>
      </c>
      <c r="I2385" t="s">
        <v>77</v>
      </c>
      <c r="J2385" t="s">
        <v>286</v>
      </c>
      <c r="K2385" t="s">
        <v>57</v>
      </c>
    </row>
    <row r="2386" spans="1:11" x14ac:dyDescent="0.35">
      <c r="A2386" t="s">
        <v>2881</v>
      </c>
      <c r="B2386">
        <v>2025</v>
      </c>
      <c r="C2386" t="s">
        <v>1051</v>
      </c>
      <c r="D2386" t="s">
        <v>85</v>
      </c>
      <c r="E2386" t="s">
        <v>117</v>
      </c>
      <c r="F2386" t="s">
        <v>129</v>
      </c>
      <c r="G2386" t="s">
        <v>128</v>
      </c>
      <c r="H2386" t="s">
        <v>305</v>
      </c>
      <c r="I2386" t="s">
        <v>86</v>
      </c>
      <c r="J2386" t="s">
        <v>405</v>
      </c>
      <c r="K2386" t="s">
        <v>57</v>
      </c>
    </row>
    <row r="2387" spans="1:11" x14ac:dyDescent="0.35">
      <c r="A2387" t="s">
        <v>2882</v>
      </c>
      <c r="B2387">
        <v>2025</v>
      </c>
      <c r="C2387" t="s">
        <v>1051</v>
      </c>
      <c r="D2387" t="s">
        <v>76</v>
      </c>
      <c r="E2387" t="s">
        <v>115</v>
      </c>
      <c r="F2387" t="s">
        <v>133</v>
      </c>
      <c r="G2387" t="s">
        <v>132</v>
      </c>
      <c r="H2387" t="s">
        <v>285</v>
      </c>
      <c r="I2387" t="s">
        <v>407</v>
      </c>
      <c r="J2387" t="s">
        <v>794</v>
      </c>
      <c r="K2387" t="s">
        <v>42</v>
      </c>
    </row>
    <row r="2388" spans="1:11" x14ac:dyDescent="0.35">
      <c r="A2388" t="s">
        <v>2883</v>
      </c>
      <c r="B2388">
        <v>2025</v>
      </c>
      <c r="C2388" t="s">
        <v>1051</v>
      </c>
      <c r="D2388" t="s">
        <v>85</v>
      </c>
      <c r="E2388" t="s">
        <v>116</v>
      </c>
      <c r="F2388" t="s">
        <v>127</v>
      </c>
      <c r="G2388" t="s">
        <v>130</v>
      </c>
      <c r="H2388" t="s">
        <v>285</v>
      </c>
      <c r="I2388" t="s">
        <v>289</v>
      </c>
      <c r="J2388" t="s">
        <v>347</v>
      </c>
      <c r="K2388" t="s">
        <v>57</v>
      </c>
    </row>
    <row r="2389" spans="1:11" x14ac:dyDescent="0.35">
      <c r="A2389" t="s">
        <v>2884</v>
      </c>
      <c r="B2389">
        <v>2025</v>
      </c>
      <c r="C2389" t="s">
        <v>1051</v>
      </c>
      <c r="D2389" t="s">
        <v>76</v>
      </c>
      <c r="E2389" t="s">
        <v>115</v>
      </c>
      <c r="F2389" t="s">
        <v>125</v>
      </c>
      <c r="G2389" t="s">
        <v>130</v>
      </c>
      <c r="H2389" t="s">
        <v>285</v>
      </c>
      <c r="I2389" t="s">
        <v>77</v>
      </c>
      <c r="J2389" t="s">
        <v>288</v>
      </c>
      <c r="K2389" t="s">
        <v>57</v>
      </c>
    </row>
    <row r="2390" spans="1:11" x14ac:dyDescent="0.35">
      <c r="A2390" t="s">
        <v>2885</v>
      </c>
      <c r="B2390">
        <v>2025</v>
      </c>
      <c r="C2390" t="s">
        <v>1051</v>
      </c>
      <c r="D2390" t="s">
        <v>76</v>
      </c>
      <c r="E2390" t="s">
        <v>118</v>
      </c>
      <c r="F2390" t="s">
        <v>131</v>
      </c>
      <c r="G2390" t="s">
        <v>130</v>
      </c>
      <c r="H2390" t="s">
        <v>285</v>
      </c>
      <c r="I2390" t="s">
        <v>289</v>
      </c>
      <c r="J2390" t="s">
        <v>286</v>
      </c>
      <c r="K2390" t="s">
        <v>57</v>
      </c>
    </row>
    <row r="2391" spans="1:11" x14ac:dyDescent="0.35">
      <c r="A2391" t="s">
        <v>2886</v>
      </c>
      <c r="B2391">
        <v>2025</v>
      </c>
      <c r="C2391" t="s">
        <v>1051</v>
      </c>
      <c r="D2391" t="s">
        <v>85</v>
      </c>
      <c r="E2391" t="s">
        <v>116</v>
      </c>
      <c r="F2391" t="s">
        <v>131</v>
      </c>
      <c r="G2391" t="s">
        <v>130</v>
      </c>
      <c r="H2391" t="s">
        <v>285</v>
      </c>
      <c r="I2391" t="s">
        <v>289</v>
      </c>
      <c r="J2391" t="s">
        <v>286</v>
      </c>
      <c r="K2391" t="s">
        <v>57</v>
      </c>
    </row>
    <row r="2392" spans="1:11" x14ac:dyDescent="0.35">
      <c r="A2392" t="s">
        <v>2887</v>
      </c>
      <c r="B2392">
        <v>2025</v>
      </c>
      <c r="C2392" t="s">
        <v>1051</v>
      </c>
      <c r="D2392" t="s">
        <v>85</v>
      </c>
      <c r="E2392" t="s">
        <v>344</v>
      </c>
      <c r="F2392" t="s">
        <v>129</v>
      </c>
      <c r="G2392" t="s">
        <v>128</v>
      </c>
      <c r="H2392" t="s">
        <v>285</v>
      </c>
      <c r="I2392" t="s">
        <v>337</v>
      </c>
      <c r="J2392" t="s">
        <v>403</v>
      </c>
      <c r="K2392" t="s">
        <v>57</v>
      </c>
    </row>
    <row r="2393" spans="1:11" x14ac:dyDescent="0.35">
      <c r="A2393" t="s">
        <v>2888</v>
      </c>
      <c r="B2393">
        <v>2025</v>
      </c>
      <c r="C2393" t="s">
        <v>1051</v>
      </c>
      <c r="D2393" t="s">
        <v>76</v>
      </c>
      <c r="E2393" t="s">
        <v>115</v>
      </c>
      <c r="F2393" t="s">
        <v>127</v>
      </c>
      <c r="G2393" t="s">
        <v>130</v>
      </c>
      <c r="H2393" t="s">
        <v>357</v>
      </c>
      <c r="I2393" t="s">
        <v>288</v>
      </c>
      <c r="J2393" t="s">
        <v>288</v>
      </c>
      <c r="K2393" t="s">
        <v>57</v>
      </c>
    </row>
    <row r="2394" spans="1:11" x14ac:dyDescent="0.35">
      <c r="A2394" t="s">
        <v>2889</v>
      </c>
      <c r="B2394">
        <v>2025</v>
      </c>
      <c r="C2394" t="s">
        <v>1051</v>
      </c>
      <c r="D2394" t="s">
        <v>76</v>
      </c>
      <c r="E2394" t="s">
        <v>107</v>
      </c>
      <c r="F2394" t="s">
        <v>125</v>
      </c>
      <c r="G2394" t="s">
        <v>128</v>
      </c>
      <c r="H2394" t="s">
        <v>285</v>
      </c>
      <c r="I2394" t="s">
        <v>77</v>
      </c>
      <c r="J2394" t="s">
        <v>1190</v>
      </c>
      <c r="K2394" t="s">
        <v>57</v>
      </c>
    </row>
    <row r="2395" spans="1:11" x14ac:dyDescent="0.35">
      <c r="A2395" t="s">
        <v>2890</v>
      </c>
      <c r="B2395">
        <v>2025</v>
      </c>
      <c r="C2395" t="s">
        <v>1051</v>
      </c>
      <c r="D2395" t="s">
        <v>85</v>
      </c>
      <c r="E2395" t="s">
        <v>116</v>
      </c>
      <c r="F2395" t="s">
        <v>129</v>
      </c>
      <c r="G2395" t="s">
        <v>128</v>
      </c>
      <c r="H2395" t="s">
        <v>285</v>
      </c>
      <c r="I2395" t="s">
        <v>289</v>
      </c>
      <c r="J2395" t="s">
        <v>288</v>
      </c>
      <c r="K2395" t="s">
        <v>57</v>
      </c>
    </row>
    <row r="2396" spans="1:11" x14ac:dyDescent="0.35">
      <c r="A2396" t="s">
        <v>2891</v>
      </c>
      <c r="B2396">
        <v>2025</v>
      </c>
      <c r="C2396" t="s">
        <v>1051</v>
      </c>
      <c r="D2396" t="s">
        <v>76</v>
      </c>
      <c r="E2396" t="s">
        <v>113</v>
      </c>
      <c r="F2396" t="s">
        <v>125</v>
      </c>
      <c r="G2396" t="s">
        <v>126</v>
      </c>
      <c r="H2396" t="s">
        <v>285</v>
      </c>
      <c r="I2396" t="s">
        <v>77</v>
      </c>
      <c r="J2396" t="s">
        <v>286</v>
      </c>
      <c r="K2396" t="s">
        <v>57</v>
      </c>
    </row>
    <row r="2397" spans="1:11" x14ac:dyDescent="0.35">
      <c r="A2397" t="s">
        <v>2892</v>
      </c>
      <c r="B2397">
        <v>2025</v>
      </c>
      <c r="C2397" t="s">
        <v>1051</v>
      </c>
      <c r="D2397" t="s">
        <v>85</v>
      </c>
      <c r="E2397" t="s">
        <v>116</v>
      </c>
      <c r="F2397" t="s">
        <v>131</v>
      </c>
      <c r="G2397" t="s">
        <v>132</v>
      </c>
      <c r="H2397" t="s">
        <v>285</v>
      </c>
      <c r="I2397" t="s">
        <v>77</v>
      </c>
      <c r="J2397" t="s">
        <v>286</v>
      </c>
      <c r="K2397" t="s">
        <v>57</v>
      </c>
    </row>
    <row r="2398" spans="1:11" x14ac:dyDescent="0.35">
      <c r="A2398" t="s">
        <v>2893</v>
      </c>
      <c r="B2398">
        <v>2025</v>
      </c>
      <c r="C2398" t="s">
        <v>1051</v>
      </c>
      <c r="D2398" t="s">
        <v>76</v>
      </c>
      <c r="E2398" t="s">
        <v>115</v>
      </c>
      <c r="F2398" t="s">
        <v>131</v>
      </c>
      <c r="G2398" t="s">
        <v>126</v>
      </c>
      <c r="H2398" t="s">
        <v>357</v>
      </c>
      <c r="I2398" t="s">
        <v>77</v>
      </c>
      <c r="J2398" t="s">
        <v>447</v>
      </c>
      <c r="K2398" t="s">
        <v>57</v>
      </c>
    </row>
    <row r="2399" spans="1:11" x14ac:dyDescent="0.35">
      <c r="A2399" t="s">
        <v>2894</v>
      </c>
      <c r="B2399">
        <v>2025</v>
      </c>
      <c r="C2399" t="s">
        <v>1051</v>
      </c>
      <c r="D2399" t="s">
        <v>85</v>
      </c>
      <c r="E2399" t="s">
        <v>117</v>
      </c>
      <c r="F2399" t="s">
        <v>131</v>
      </c>
      <c r="G2399" t="s">
        <v>128</v>
      </c>
      <c r="H2399" t="s">
        <v>285</v>
      </c>
      <c r="I2399" t="s">
        <v>289</v>
      </c>
      <c r="J2399" t="s">
        <v>2895</v>
      </c>
      <c r="K2399" t="s">
        <v>42</v>
      </c>
    </row>
    <row r="2400" spans="1:11" x14ac:dyDescent="0.35">
      <c r="A2400" t="s">
        <v>2896</v>
      </c>
      <c r="B2400">
        <v>2025</v>
      </c>
      <c r="C2400" t="s">
        <v>1051</v>
      </c>
      <c r="D2400" t="s">
        <v>85</v>
      </c>
      <c r="E2400" t="s">
        <v>116</v>
      </c>
      <c r="F2400" t="s">
        <v>127</v>
      </c>
      <c r="G2400" t="s">
        <v>128</v>
      </c>
      <c r="H2400" t="s">
        <v>285</v>
      </c>
      <c r="I2400" t="s">
        <v>86</v>
      </c>
      <c r="J2400" t="s">
        <v>295</v>
      </c>
      <c r="K2400" t="s">
        <v>57</v>
      </c>
    </row>
    <row r="2401" spans="1:11" x14ac:dyDescent="0.35">
      <c r="A2401" t="s">
        <v>2897</v>
      </c>
      <c r="B2401">
        <v>2025</v>
      </c>
      <c r="C2401" t="s">
        <v>1051</v>
      </c>
      <c r="D2401" t="s">
        <v>85</v>
      </c>
      <c r="E2401" t="s">
        <v>117</v>
      </c>
      <c r="F2401" t="s">
        <v>129</v>
      </c>
      <c r="G2401" t="s">
        <v>128</v>
      </c>
      <c r="H2401" t="s">
        <v>285</v>
      </c>
      <c r="I2401" t="s">
        <v>289</v>
      </c>
      <c r="J2401" t="s">
        <v>412</v>
      </c>
      <c r="K2401" t="s">
        <v>57</v>
      </c>
    </row>
    <row r="2402" spans="1:11" x14ac:dyDescent="0.35">
      <c r="A2402" t="s">
        <v>2898</v>
      </c>
      <c r="B2402">
        <v>2025</v>
      </c>
      <c r="C2402" t="s">
        <v>1051</v>
      </c>
      <c r="D2402" t="s">
        <v>85</v>
      </c>
      <c r="E2402" t="s">
        <v>117</v>
      </c>
      <c r="F2402" t="s">
        <v>129</v>
      </c>
      <c r="G2402" t="s">
        <v>130</v>
      </c>
      <c r="H2402" t="s">
        <v>305</v>
      </c>
      <c r="I2402" t="s">
        <v>77</v>
      </c>
      <c r="J2402" t="s">
        <v>317</v>
      </c>
      <c r="K2402" t="s">
        <v>57</v>
      </c>
    </row>
    <row r="2403" spans="1:11" x14ac:dyDescent="0.35">
      <c r="A2403" t="s">
        <v>2899</v>
      </c>
      <c r="B2403">
        <v>2025</v>
      </c>
      <c r="C2403" t="s">
        <v>1051</v>
      </c>
      <c r="D2403" t="s">
        <v>85</v>
      </c>
      <c r="E2403" t="s">
        <v>116</v>
      </c>
      <c r="F2403" t="s">
        <v>127</v>
      </c>
      <c r="G2403" t="s">
        <v>126</v>
      </c>
      <c r="H2403" t="s">
        <v>285</v>
      </c>
      <c r="I2403" t="s">
        <v>77</v>
      </c>
      <c r="J2403" t="s">
        <v>286</v>
      </c>
      <c r="K2403" t="s">
        <v>57</v>
      </c>
    </row>
    <row r="2404" spans="1:11" x14ac:dyDescent="0.35">
      <c r="A2404" t="s">
        <v>2900</v>
      </c>
      <c r="B2404">
        <v>2025</v>
      </c>
      <c r="C2404" t="s">
        <v>1051</v>
      </c>
      <c r="D2404" t="s">
        <v>76</v>
      </c>
      <c r="E2404" t="s">
        <v>115</v>
      </c>
      <c r="F2404" t="s">
        <v>127</v>
      </c>
      <c r="G2404" t="s">
        <v>128</v>
      </c>
      <c r="H2404" t="s">
        <v>357</v>
      </c>
      <c r="I2404" t="s">
        <v>77</v>
      </c>
      <c r="J2404" t="s">
        <v>308</v>
      </c>
      <c r="K2404" t="s">
        <v>42</v>
      </c>
    </row>
    <row r="2405" spans="1:11" x14ac:dyDescent="0.35">
      <c r="A2405" t="s">
        <v>2901</v>
      </c>
      <c r="B2405">
        <v>2025</v>
      </c>
      <c r="C2405" t="s">
        <v>1051</v>
      </c>
      <c r="D2405" t="s">
        <v>76</v>
      </c>
      <c r="E2405" t="s">
        <v>115</v>
      </c>
      <c r="F2405" t="s">
        <v>125</v>
      </c>
      <c r="G2405" t="s">
        <v>128</v>
      </c>
      <c r="H2405" t="s">
        <v>285</v>
      </c>
      <c r="I2405" t="s">
        <v>77</v>
      </c>
      <c r="J2405" t="s">
        <v>286</v>
      </c>
      <c r="K2405" t="s">
        <v>57</v>
      </c>
    </row>
    <row r="2406" spans="1:11" x14ac:dyDescent="0.35">
      <c r="A2406" t="s">
        <v>2902</v>
      </c>
      <c r="B2406">
        <v>2025</v>
      </c>
      <c r="C2406" t="s">
        <v>1051</v>
      </c>
      <c r="D2406" t="s">
        <v>85</v>
      </c>
      <c r="E2406" t="s">
        <v>377</v>
      </c>
      <c r="F2406" t="s">
        <v>129</v>
      </c>
      <c r="G2406" t="s">
        <v>128</v>
      </c>
      <c r="H2406" t="s">
        <v>285</v>
      </c>
      <c r="I2406" t="s">
        <v>77</v>
      </c>
      <c r="J2406" t="s">
        <v>288</v>
      </c>
      <c r="K2406" t="s">
        <v>57</v>
      </c>
    </row>
    <row r="2407" spans="1:11" x14ac:dyDescent="0.35">
      <c r="A2407" t="s">
        <v>2903</v>
      </c>
      <c r="B2407">
        <v>2025</v>
      </c>
      <c r="C2407" t="s">
        <v>1051</v>
      </c>
      <c r="D2407" t="s">
        <v>76</v>
      </c>
      <c r="E2407" t="s">
        <v>110</v>
      </c>
      <c r="F2407" t="s">
        <v>125</v>
      </c>
      <c r="G2407" t="s">
        <v>130</v>
      </c>
      <c r="H2407" t="s">
        <v>285</v>
      </c>
      <c r="I2407" t="s">
        <v>86</v>
      </c>
      <c r="J2407" t="s">
        <v>295</v>
      </c>
      <c r="K2407" t="s">
        <v>57</v>
      </c>
    </row>
    <row r="2408" spans="1:11" x14ac:dyDescent="0.35">
      <c r="A2408" t="s">
        <v>2904</v>
      </c>
      <c r="B2408">
        <v>2025</v>
      </c>
      <c r="C2408" t="s">
        <v>1051</v>
      </c>
      <c r="D2408" t="s">
        <v>76</v>
      </c>
      <c r="E2408" t="s">
        <v>118</v>
      </c>
      <c r="F2408" t="s">
        <v>125</v>
      </c>
      <c r="G2408" t="s">
        <v>130</v>
      </c>
      <c r="H2408" t="s">
        <v>285</v>
      </c>
      <c r="I2408" t="s">
        <v>288</v>
      </c>
      <c r="J2408" t="s">
        <v>308</v>
      </c>
      <c r="K2408" t="s">
        <v>42</v>
      </c>
    </row>
    <row r="2409" spans="1:11" x14ac:dyDescent="0.35">
      <c r="A2409" t="s">
        <v>2905</v>
      </c>
      <c r="B2409">
        <v>2025</v>
      </c>
      <c r="C2409" t="s">
        <v>1051</v>
      </c>
      <c r="D2409" t="s">
        <v>76</v>
      </c>
      <c r="E2409" t="s">
        <v>119</v>
      </c>
      <c r="F2409" t="s">
        <v>125</v>
      </c>
      <c r="G2409" t="s">
        <v>130</v>
      </c>
      <c r="H2409" t="s">
        <v>285</v>
      </c>
      <c r="I2409" t="s">
        <v>77</v>
      </c>
      <c r="J2409" t="s">
        <v>286</v>
      </c>
      <c r="K2409" t="s">
        <v>57</v>
      </c>
    </row>
    <row r="2410" spans="1:11" x14ac:dyDescent="0.35">
      <c r="A2410" t="s">
        <v>2906</v>
      </c>
      <c r="B2410">
        <v>2025</v>
      </c>
      <c r="C2410" t="s">
        <v>1051</v>
      </c>
      <c r="D2410" t="s">
        <v>85</v>
      </c>
      <c r="E2410" t="s">
        <v>116</v>
      </c>
      <c r="F2410" t="s">
        <v>127</v>
      </c>
      <c r="G2410" t="s">
        <v>130</v>
      </c>
      <c r="H2410" t="s">
        <v>285</v>
      </c>
      <c r="I2410" t="s">
        <v>289</v>
      </c>
      <c r="J2410" t="s">
        <v>347</v>
      </c>
      <c r="K2410" t="s">
        <v>57</v>
      </c>
    </row>
    <row r="2411" spans="1:11" x14ac:dyDescent="0.35">
      <c r="A2411" t="s">
        <v>2907</v>
      </c>
      <c r="B2411">
        <v>2025</v>
      </c>
      <c r="C2411" t="s">
        <v>1051</v>
      </c>
      <c r="D2411" t="s">
        <v>76</v>
      </c>
      <c r="E2411" t="s">
        <v>109</v>
      </c>
      <c r="F2411" t="s">
        <v>129</v>
      </c>
      <c r="G2411" t="s">
        <v>128</v>
      </c>
      <c r="H2411" t="s">
        <v>285</v>
      </c>
      <c r="I2411" t="s">
        <v>77</v>
      </c>
      <c r="J2411" t="s">
        <v>286</v>
      </c>
      <c r="K2411" t="s">
        <v>57</v>
      </c>
    </row>
    <row r="2412" spans="1:11" x14ac:dyDescent="0.35">
      <c r="A2412" t="s">
        <v>2908</v>
      </c>
      <c r="B2412">
        <v>2025</v>
      </c>
      <c r="C2412" t="s">
        <v>1051</v>
      </c>
      <c r="D2412" t="s">
        <v>76</v>
      </c>
      <c r="E2412" t="s">
        <v>115</v>
      </c>
      <c r="F2412" t="s">
        <v>131</v>
      </c>
      <c r="G2412" t="s">
        <v>132</v>
      </c>
      <c r="H2412" t="s">
        <v>285</v>
      </c>
      <c r="I2412" t="s">
        <v>77</v>
      </c>
      <c r="J2412" t="s">
        <v>286</v>
      </c>
      <c r="K2412" t="s">
        <v>57</v>
      </c>
    </row>
    <row r="2413" spans="1:11" x14ac:dyDescent="0.35">
      <c r="A2413" t="s">
        <v>2909</v>
      </c>
      <c r="B2413">
        <v>2025</v>
      </c>
      <c r="C2413" t="s">
        <v>1051</v>
      </c>
      <c r="D2413" t="s">
        <v>85</v>
      </c>
      <c r="E2413" t="s">
        <v>116</v>
      </c>
      <c r="F2413" t="s">
        <v>127</v>
      </c>
      <c r="G2413" t="s">
        <v>130</v>
      </c>
      <c r="H2413" t="s">
        <v>285</v>
      </c>
      <c r="I2413" t="s">
        <v>288</v>
      </c>
      <c r="J2413" t="s">
        <v>288</v>
      </c>
      <c r="K2413" t="s">
        <v>57</v>
      </c>
    </row>
    <row r="2414" spans="1:11" x14ac:dyDescent="0.35">
      <c r="A2414" t="s">
        <v>2910</v>
      </c>
      <c r="B2414">
        <v>2025</v>
      </c>
      <c r="C2414" t="s">
        <v>1051</v>
      </c>
      <c r="D2414" t="s">
        <v>85</v>
      </c>
      <c r="E2414" t="s">
        <v>377</v>
      </c>
      <c r="F2414" t="s">
        <v>131</v>
      </c>
      <c r="G2414" t="s">
        <v>132</v>
      </c>
      <c r="H2414" t="s">
        <v>305</v>
      </c>
      <c r="I2414" t="s">
        <v>86</v>
      </c>
      <c r="J2414" t="s">
        <v>2167</v>
      </c>
      <c r="K2414" t="s">
        <v>42</v>
      </c>
    </row>
    <row r="2415" spans="1:11" x14ac:dyDescent="0.35">
      <c r="A2415" t="s">
        <v>2911</v>
      </c>
      <c r="B2415">
        <v>2025</v>
      </c>
      <c r="C2415" t="s">
        <v>1051</v>
      </c>
      <c r="D2415" t="s">
        <v>85</v>
      </c>
      <c r="E2415" t="s">
        <v>117</v>
      </c>
      <c r="F2415" t="s">
        <v>134</v>
      </c>
      <c r="G2415" t="s">
        <v>128</v>
      </c>
      <c r="H2415" t="s">
        <v>285</v>
      </c>
      <c r="I2415" t="s">
        <v>77</v>
      </c>
      <c r="J2415" t="s">
        <v>286</v>
      </c>
      <c r="K2415" t="s">
        <v>57</v>
      </c>
    </row>
    <row r="2416" spans="1:11" x14ac:dyDescent="0.35">
      <c r="A2416" t="s">
        <v>2912</v>
      </c>
      <c r="B2416">
        <v>2025</v>
      </c>
      <c r="C2416" t="s">
        <v>1051</v>
      </c>
      <c r="D2416" t="s">
        <v>76</v>
      </c>
      <c r="E2416" t="s">
        <v>112</v>
      </c>
      <c r="F2416" t="s">
        <v>288</v>
      </c>
      <c r="G2416" t="s">
        <v>128</v>
      </c>
      <c r="H2416" t="s">
        <v>285</v>
      </c>
      <c r="I2416" t="s">
        <v>288</v>
      </c>
      <c r="J2416" t="s">
        <v>288</v>
      </c>
      <c r="K2416" t="s">
        <v>57</v>
      </c>
    </row>
    <row r="2417" spans="1:11" x14ac:dyDescent="0.35">
      <c r="A2417" t="s">
        <v>2913</v>
      </c>
      <c r="B2417">
        <v>2025</v>
      </c>
      <c r="C2417" t="s">
        <v>1051</v>
      </c>
      <c r="D2417" t="s">
        <v>85</v>
      </c>
      <c r="E2417" t="s">
        <v>120</v>
      </c>
      <c r="F2417" t="s">
        <v>129</v>
      </c>
      <c r="G2417" t="s">
        <v>128</v>
      </c>
      <c r="H2417" t="s">
        <v>357</v>
      </c>
      <c r="I2417" t="s">
        <v>288</v>
      </c>
      <c r="J2417" t="s">
        <v>405</v>
      </c>
      <c r="K2417" t="s">
        <v>57</v>
      </c>
    </row>
    <row r="2418" spans="1:11" x14ac:dyDescent="0.35">
      <c r="A2418" t="s">
        <v>2914</v>
      </c>
      <c r="B2418">
        <v>2025</v>
      </c>
      <c r="C2418" t="s">
        <v>1051</v>
      </c>
      <c r="D2418" t="s">
        <v>76</v>
      </c>
      <c r="E2418" t="s">
        <v>111</v>
      </c>
      <c r="F2418" t="s">
        <v>125</v>
      </c>
      <c r="G2418" t="s">
        <v>132</v>
      </c>
      <c r="H2418" t="s">
        <v>297</v>
      </c>
      <c r="I2418" t="s">
        <v>1124</v>
      </c>
      <c r="J2418" t="s">
        <v>286</v>
      </c>
      <c r="K2418" t="s">
        <v>57</v>
      </c>
    </row>
    <row r="2419" spans="1:11" x14ac:dyDescent="0.35">
      <c r="A2419" t="s">
        <v>2915</v>
      </c>
      <c r="B2419">
        <v>2025</v>
      </c>
      <c r="C2419" t="s">
        <v>1051</v>
      </c>
      <c r="D2419" t="s">
        <v>76</v>
      </c>
      <c r="E2419" t="s">
        <v>113</v>
      </c>
      <c r="F2419" t="s">
        <v>127</v>
      </c>
      <c r="G2419" t="s">
        <v>132</v>
      </c>
      <c r="H2419" t="s">
        <v>285</v>
      </c>
      <c r="I2419" t="s">
        <v>77</v>
      </c>
      <c r="J2419" t="s">
        <v>317</v>
      </c>
      <c r="K2419" t="s">
        <v>57</v>
      </c>
    </row>
    <row r="2420" spans="1:11" x14ac:dyDescent="0.35">
      <c r="A2420" t="s">
        <v>2916</v>
      </c>
      <c r="B2420">
        <v>2025</v>
      </c>
      <c r="C2420" t="s">
        <v>1051</v>
      </c>
      <c r="D2420" t="s">
        <v>85</v>
      </c>
      <c r="E2420" t="s">
        <v>116</v>
      </c>
      <c r="F2420" t="s">
        <v>127</v>
      </c>
      <c r="G2420" t="s">
        <v>128</v>
      </c>
      <c r="H2420" t="s">
        <v>285</v>
      </c>
      <c r="I2420" t="s">
        <v>289</v>
      </c>
      <c r="J2420" t="s">
        <v>288</v>
      </c>
      <c r="K2420" t="s">
        <v>57</v>
      </c>
    </row>
    <row r="2421" spans="1:11" x14ac:dyDescent="0.35">
      <c r="A2421" t="s">
        <v>2917</v>
      </c>
      <c r="B2421">
        <v>2025</v>
      </c>
      <c r="C2421" t="s">
        <v>1051</v>
      </c>
      <c r="D2421" t="s">
        <v>85</v>
      </c>
      <c r="E2421" t="s">
        <v>117</v>
      </c>
      <c r="F2421" t="s">
        <v>131</v>
      </c>
      <c r="G2421" t="s">
        <v>128</v>
      </c>
      <c r="H2421" t="s">
        <v>285</v>
      </c>
      <c r="I2421" t="s">
        <v>86</v>
      </c>
      <c r="J2421" t="s">
        <v>464</v>
      </c>
      <c r="K2421" t="s">
        <v>42</v>
      </c>
    </row>
    <row r="2422" spans="1:11" x14ac:dyDescent="0.35">
      <c r="A2422" t="s">
        <v>2918</v>
      </c>
      <c r="B2422">
        <v>2025</v>
      </c>
      <c r="C2422" t="s">
        <v>1051</v>
      </c>
      <c r="D2422" t="s">
        <v>76</v>
      </c>
      <c r="E2422" t="s">
        <v>107</v>
      </c>
      <c r="F2422" t="s">
        <v>125</v>
      </c>
      <c r="G2422" t="s">
        <v>128</v>
      </c>
      <c r="H2422" t="s">
        <v>285</v>
      </c>
      <c r="I2422" t="s">
        <v>77</v>
      </c>
      <c r="J2422" t="s">
        <v>286</v>
      </c>
      <c r="K2422" t="s">
        <v>57</v>
      </c>
    </row>
    <row r="2423" spans="1:11" x14ac:dyDescent="0.35">
      <c r="A2423" t="s">
        <v>2919</v>
      </c>
      <c r="B2423">
        <v>2025</v>
      </c>
      <c r="C2423" t="s">
        <v>1051</v>
      </c>
      <c r="D2423" t="s">
        <v>76</v>
      </c>
      <c r="E2423" t="s">
        <v>107</v>
      </c>
      <c r="F2423" t="s">
        <v>125</v>
      </c>
      <c r="G2423" t="s">
        <v>126</v>
      </c>
      <c r="H2423" t="s">
        <v>285</v>
      </c>
      <c r="I2423" t="s">
        <v>86</v>
      </c>
      <c r="J2423" t="s">
        <v>286</v>
      </c>
      <c r="K2423" t="s">
        <v>57</v>
      </c>
    </row>
    <row r="2424" spans="1:11" x14ac:dyDescent="0.35">
      <c r="A2424" t="s">
        <v>2920</v>
      </c>
      <c r="B2424">
        <v>2025</v>
      </c>
      <c r="C2424" t="s">
        <v>1051</v>
      </c>
      <c r="D2424" t="s">
        <v>76</v>
      </c>
      <c r="E2424" t="s">
        <v>107</v>
      </c>
      <c r="F2424" t="s">
        <v>125</v>
      </c>
      <c r="G2424" t="s">
        <v>128</v>
      </c>
      <c r="H2424" t="s">
        <v>285</v>
      </c>
      <c r="I2424" t="s">
        <v>499</v>
      </c>
      <c r="J2424" t="s">
        <v>308</v>
      </c>
      <c r="K2424" t="s">
        <v>42</v>
      </c>
    </row>
    <row r="2425" spans="1:11" x14ac:dyDescent="0.35">
      <c r="A2425" t="s">
        <v>2921</v>
      </c>
      <c r="B2425">
        <v>2025</v>
      </c>
      <c r="C2425" t="s">
        <v>1051</v>
      </c>
      <c r="D2425" t="s">
        <v>85</v>
      </c>
      <c r="E2425" t="s">
        <v>117</v>
      </c>
      <c r="F2425" t="s">
        <v>129</v>
      </c>
      <c r="G2425" t="s">
        <v>128</v>
      </c>
      <c r="H2425" t="s">
        <v>305</v>
      </c>
      <c r="I2425" t="s">
        <v>288</v>
      </c>
      <c r="J2425" t="s">
        <v>288</v>
      </c>
      <c r="K2425" t="s">
        <v>57</v>
      </c>
    </row>
    <row r="2426" spans="1:11" x14ac:dyDescent="0.35">
      <c r="A2426" t="s">
        <v>2922</v>
      </c>
      <c r="B2426">
        <v>2025</v>
      </c>
      <c r="C2426" t="s">
        <v>1051</v>
      </c>
      <c r="D2426" t="s">
        <v>85</v>
      </c>
      <c r="E2426" t="s">
        <v>117</v>
      </c>
      <c r="F2426" t="s">
        <v>129</v>
      </c>
      <c r="G2426" t="s">
        <v>128</v>
      </c>
      <c r="H2426" t="s">
        <v>305</v>
      </c>
      <c r="I2426" t="s">
        <v>289</v>
      </c>
      <c r="J2426" t="s">
        <v>403</v>
      </c>
      <c r="K2426" t="s">
        <v>57</v>
      </c>
    </row>
    <row r="2427" spans="1:11" x14ac:dyDescent="0.35">
      <c r="A2427" t="s">
        <v>2923</v>
      </c>
      <c r="B2427">
        <v>2025</v>
      </c>
      <c r="C2427" t="s">
        <v>1051</v>
      </c>
      <c r="D2427" t="s">
        <v>76</v>
      </c>
      <c r="E2427" t="s">
        <v>119</v>
      </c>
      <c r="F2427" t="s">
        <v>125</v>
      </c>
      <c r="G2427" t="s">
        <v>132</v>
      </c>
      <c r="H2427" t="s">
        <v>285</v>
      </c>
      <c r="I2427" t="s">
        <v>77</v>
      </c>
      <c r="J2427" t="s">
        <v>409</v>
      </c>
      <c r="K2427" t="s">
        <v>57</v>
      </c>
    </row>
    <row r="2428" spans="1:11" x14ac:dyDescent="0.35">
      <c r="A2428" t="s">
        <v>2924</v>
      </c>
      <c r="B2428">
        <v>2025</v>
      </c>
      <c r="C2428" t="s">
        <v>1051</v>
      </c>
      <c r="D2428" t="s">
        <v>76</v>
      </c>
      <c r="E2428" t="s">
        <v>118</v>
      </c>
      <c r="F2428" t="s">
        <v>131</v>
      </c>
      <c r="G2428" t="s">
        <v>128</v>
      </c>
      <c r="H2428" t="s">
        <v>285</v>
      </c>
      <c r="I2428" t="s">
        <v>288</v>
      </c>
      <c r="J2428" t="s">
        <v>286</v>
      </c>
      <c r="K2428" t="s">
        <v>57</v>
      </c>
    </row>
    <row r="2429" spans="1:11" x14ac:dyDescent="0.35">
      <c r="A2429" t="s">
        <v>2925</v>
      </c>
      <c r="B2429">
        <v>2025</v>
      </c>
      <c r="C2429" t="s">
        <v>1051</v>
      </c>
      <c r="D2429" t="s">
        <v>85</v>
      </c>
      <c r="E2429" t="s">
        <v>344</v>
      </c>
      <c r="F2429" t="s">
        <v>131</v>
      </c>
      <c r="G2429" t="s">
        <v>132</v>
      </c>
      <c r="H2429" t="s">
        <v>305</v>
      </c>
      <c r="I2429" t="s">
        <v>333</v>
      </c>
      <c r="J2429" t="s">
        <v>286</v>
      </c>
      <c r="K2429" t="s">
        <v>57</v>
      </c>
    </row>
    <row r="2430" spans="1:11" x14ac:dyDescent="0.35">
      <c r="A2430" t="s">
        <v>2926</v>
      </c>
      <c r="B2430">
        <v>2025</v>
      </c>
      <c r="C2430" t="s">
        <v>1051</v>
      </c>
      <c r="D2430" t="s">
        <v>85</v>
      </c>
      <c r="E2430" t="s">
        <v>117</v>
      </c>
      <c r="F2430" t="s">
        <v>129</v>
      </c>
      <c r="G2430" t="s">
        <v>132</v>
      </c>
      <c r="H2430" t="s">
        <v>305</v>
      </c>
      <c r="I2430" t="s">
        <v>426</v>
      </c>
      <c r="J2430" t="s">
        <v>403</v>
      </c>
      <c r="K2430" t="s">
        <v>57</v>
      </c>
    </row>
    <row r="2431" spans="1:11" x14ac:dyDescent="0.35">
      <c r="A2431" t="s">
        <v>2927</v>
      </c>
      <c r="B2431">
        <v>2025</v>
      </c>
      <c r="C2431" t="s">
        <v>1051</v>
      </c>
      <c r="D2431" t="s">
        <v>85</v>
      </c>
      <c r="E2431" t="s">
        <v>117</v>
      </c>
      <c r="F2431" t="s">
        <v>133</v>
      </c>
      <c r="G2431" t="s">
        <v>128</v>
      </c>
      <c r="H2431" t="s">
        <v>285</v>
      </c>
      <c r="I2431" t="s">
        <v>289</v>
      </c>
      <c r="J2431" t="s">
        <v>403</v>
      </c>
      <c r="K2431" t="s">
        <v>57</v>
      </c>
    </row>
    <row r="2432" spans="1:11" x14ac:dyDescent="0.35">
      <c r="A2432" t="s">
        <v>2928</v>
      </c>
      <c r="B2432">
        <v>2025</v>
      </c>
      <c r="C2432" t="s">
        <v>1051</v>
      </c>
      <c r="D2432" t="s">
        <v>85</v>
      </c>
      <c r="E2432" t="s">
        <v>116</v>
      </c>
      <c r="F2432" t="s">
        <v>134</v>
      </c>
      <c r="G2432" t="s">
        <v>128</v>
      </c>
      <c r="H2432" t="s">
        <v>285</v>
      </c>
      <c r="I2432" t="s">
        <v>289</v>
      </c>
      <c r="J2432" t="s">
        <v>286</v>
      </c>
      <c r="K2432" t="s">
        <v>57</v>
      </c>
    </row>
    <row r="2433" spans="1:11" x14ac:dyDescent="0.35">
      <c r="A2433" t="s">
        <v>2929</v>
      </c>
      <c r="B2433">
        <v>2025</v>
      </c>
      <c r="C2433" t="s">
        <v>1051</v>
      </c>
      <c r="D2433" t="s">
        <v>76</v>
      </c>
      <c r="E2433" t="s">
        <v>119</v>
      </c>
      <c r="F2433" t="s">
        <v>125</v>
      </c>
      <c r="G2433" t="s">
        <v>132</v>
      </c>
      <c r="H2433" t="s">
        <v>357</v>
      </c>
      <c r="I2433" t="s">
        <v>86</v>
      </c>
      <c r="J2433" t="s">
        <v>286</v>
      </c>
      <c r="K2433" t="s">
        <v>57</v>
      </c>
    </row>
    <row r="2434" spans="1:11" x14ac:dyDescent="0.35">
      <c r="A2434" t="s">
        <v>2930</v>
      </c>
      <c r="B2434">
        <v>2025</v>
      </c>
      <c r="C2434" t="s">
        <v>1051</v>
      </c>
      <c r="D2434" t="s">
        <v>85</v>
      </c>
      <c r="E2434" t="s">
        <v>377</v>
      </c>
      <c r="F2434" t="s">
        <v>127</v>
      </c>
      <c r="G2434" t="s">
        <v>132</v>
      </c>
      <c r="H2434" t="s">
        <v>285</v>
      </c>
      <c r="I2434" t="s">
        <v>86</v>
      </c>
      <c r="J2434" t="s">
        <v>347</v>
      </c>
      <c r="K2434" t="s">
        <v>57</v>
      </c>
    </row>
    <row r="2435" spans="1:11" x14ac:dyDescent="0.35">
      <c r="A2435" t="s">
        <v>2931</v>
      </c>
      <c r="B2435">
        <v>2025</v>
      </c>
      <c r="C2435" t="s">
        <v>1051</v>
      </c>
      <c r="D2435" t="s">
        <v>76</v>
      </c>
      <c r="E2435" t="s">
        <v>110</v>
      </c>
      <c r="F2435" t="s">
        <v>125</v>
      </c>
      <c r="G2435" t="s">
        <v>126</v>
      </c>
      <c r="H2435" t="s">
        <v>285</v>
      </c>
      <c r="I2435" t="s">
        <v>77</v>
      </c>
      <c r="J2435" t="s">
        <v>286</v>
      </c>
      <c r="K2435" t="s">
        <v>57</v>
      </c>
    </row>
    <row r="2436" spans="1:11" x14ac:dyDescent="0.35">
      <c r="A2436" t="s">
        <v>2932</v>
      </c>
      <c r="B2436">
        <v>2025</v>
      </c>
      <c r="C2436" t="s">
        <v>1051</v>
      </c>
      <c r="D2436" t="s">
        <v>76</v>
      </c>
      <c r="E2436" t="s">
        <v>107</v>
      </c>
      <c r="F2436" t="s">
        <v>127</v>
      </c>
      <c r="G2436" t="s">
        <v>128</v>
      </c>
      <c r="H2436" t="s">
        <v>285</v>
      </c>
      <c r="I2436" t="s">
        <v>77</v>
      </c>
      <c r="J2436" t="s">
        <v>286</v>
      </c>
      <c r="K2436" t="s">
        <v>57</v>
      </c>
    </row>
    <row r="2437" spans="1:11" x14ac:dyDescent="0.35">
      <c r="A2437" t="s">
        <v>2933</v>
      </c>
      <c r="B2437">
        <v>2025</v>
      </c>
      <c r="C2437" t="s">
        <v>1051</v>
      </c>
      <c r="D2437" t="s">
        <v>85</v>
      </c>
      <c r="E2437" t="s">
        <v>116</v>
      </c>
      <c r="F2437" t="s">
        <v>129</v>
      </c>
      <c r="G2437" t="s">
        <v>128</v>
      </c>
      <c r="H2437" t="s">
        <v>285</v>
      </c>
      <c r="I2437" t="s">
        <v>77</v>
      </c>
      <c r="J2437" t="s">
        <v>286</v>
      </c>
      <c r="K2437" t="s">
        <v>57</v>
      </c>
    </row>
    <row r="2438" spans="1:11" x14ac:dyDescent="0.35">
      <c r="A2438" t="s">
        <v>2934</v>
      </c>
      <c r="B2438">
        <v>2025</v>
      </c>
      <c r="C2438" t="s">
        <v>1398</v>
      </c>
      <c r="D2438" t="s">
        <v>85</v>
      </c>
      <c r="E2438" t="s">
        <v>117</v>
      </c>
      <c r="F2438" t="s">
        <v>129</v>
      </c>
      <c r="G2438" t="s">
        <v>128</v>
      </c>
      <c r="H2438" t="s">
        <v>357</v>
      </c>
      <c r="I2438" t="s">
        <v>288</v>
      </c>
      <c r="J2438" t="s">
        <v>288</v>
      </c>
      <c r="K2438" t="s">
        <v>57</v>
      </c>
    </row>
    <row r="2439" spans="1:11" x14ac:dyDescent="0.35">
      <c r="A2439" t="s">
        <v>2935</v>
      </c>
      <c r="B2439">
        <v>2025</v>
      </c>
      <c r="C2439" t="s">
        <v>1398</v>
      </c>
      <c r="D2439" t="s">
        <v>85</v>
      </c>
      <c r="E2439" t="s">
        <v>117</v>
      </c>
      <c r="F2439" t="s">
        <v>127</v>
      </c>
      <c r="G2439" t="s">
        <v>128</v>
      </c>
      <c r="H2439" t="s">
        <v>357</v>
      </c>
      <c r="I2439" t="s">
        <v>86</v>
      </c>
      <c r="J2439" t="s">
        <v>347</v>
      </c>
      <c r="K2439" t="s">
        <v>57</v>
      </c>
    </row>
    <row r="2440" spans="1:11" x14ac:dyDescent="0.35">
      <c r="A2440" t="s">
        <v>2936</v>
      </c>
      <c r="B2440">
        <v>2025</v>
      </c>
      <c r="C2440" t="s">
        <v>1398</v>
      </c>
      <c r="D2440" t="s">
        <v>85</v>
      </c>
      <c r="E2440" t="s">
        <v>115</v>
      </c>
      <c r="F2440" t="s">
        <v>129</v>
      </c>
      <c r="G2440" t="s">
        <v>128</v>
      </c>
      <c r="H2440" t="s">
        <v>305</v>
      </c>
      <c r="I2440" t="s">
        <v>86</v>
      </c>
      <c r="J2440" t="s">
        <v>286</v>
      </c>
      <c r="K2440" t="s">
        <v>57</v>
      </c>
    </row>
    <row r="2441" spans="1:11" x14ac:dyDescent="0.35">
      <c r="A2441" t="s">
        <v>2937</v>
      </c>
      <c r="B2441">
        <v>2025</v>
      </c>
      <c r="C2441" t="s">
        <v>1398</v>
      </c>
      <c r="D2441" t="s">
        <v>85</v>
      </c>
      <c r="E2441" t="s">
        <v>377</v>
      </c>
      <c r="F2441" t="s">
        <v>129</v>
      </c>
      <c r="G2441" t="s">
        <v>130</v>
      </c>
      <c r="H2441" t="s">
        <v>357</v>
      </c>
      <c r="I2441" t="s">
        <v>756</v>
      </c>
      <c r="J2441" t="s">
        <v>326</v>
      </c>
      <c r="K2441" t="s">
        <v>57</v>
      </c>
    </row>
    <row r="2442" spans="1:11" x14ac:dyDescent="0.35">
      <c r="A2442" t="s">
        <v>2938</v>
      </c>
      <c r="B2442">
        <v>2025</v>
      </c>
      <c r="C2442" t="s">
        <v>1398</v>
      </c>
      <c r="D2442" t="s">
        <v>76</v>
      </c>
      <c r="E2442" t="s">
        <v>360</v>
      </c>
      <c r="F2442" t="s">
        <v>125</v>
      </c>
      <c r="G2442" t="s">
        <v>126</v>
      </c>
      <c r="H2442" t="s">
        <v>357</v>
      </c>
      <c r="I2442" t="s">
        <v>77</v>
      </c>
      <c r="J2442" t="s">
        <v>2939</v>
      </c>
      <c r="K2442" t="s">
        <v>42</v>
      </c>
    </row>
    <row r="2443" spans="1:11" x14ac:dyDescent="0.35">
      <c r="A2443" t="s">
        <v>2940</v>
      </c>
      <c r="B2443">
        <v>2025</v>
      </c>
      <c r="C2443" t="s">
        <v>1398</v>
      </c>
      <c r="D2443" t="s">
        <v>85</v>
      </c>
      <c r="E2443" t="s">
        <v>116</v>
      </c>
      <c r="F2443" t="s">
        <v>133</v>
      </c>
      <c r="G2443" t="s">
        <v>130</v>
      </c>
      <c r="H2443" t="s">
        <v>285</v>
      </c>
      <c r="I2443" t="s">
        <v>333</v>
      </c>
      <c r="J2443" t="s">
        <v>286</v>
      </c>
      <c r="K2443" t="s">
        <v>57</v>
      </c>
    </row>
    <row r="2444" spans="1:11" x14ac:dyDescent="0.35">
      <c r="A2444" t="s">
        <v>2941</v>
      </c>
      <c r="B2444">
        <v>2025</v>
      </c>
      <c r="C2444" t="s">
        <v>1398</v>
      </c>
      <c r="D2444" t="s">
        <v>76</v>
      </c>
      <c r="E2444" t="s">
        <v>115</v>
      </c>
      <c r="F2444" t="s">
        <v>129</v>
      </c>
      <c r="G2444" t="s">
        <v>126</v>
      </c>
      <c r="H2444" t="s">
        <v>357</v>
      </c>
      <c r="I2444" t="s">
        <v>77</v>
      </c>
      <c r="J2444" t="s">
        <v>286</v>
      </c>
      <c r="K2444" t="s">
        <v>57</v>
      </c>
    </row>
    <row r="2445" spans="1:11" x14ac:dyDescent="0.35">
      <c r="A2445" t="s">
        <v>2942</v>
      </c>
      <c r="B2445">
        <v>2025</v>
      </c>
      <c r="C2445" t="s">
        <v>1398</v>
      </c>
      <c r="D2445" t="s">
        <v>85</v>
      </c>
      <c r="E2445" t="s">
        <v>116</v>
      </c>
      <c r="F2445" t="s">
        <v>133</v>
      </c>
      <c r="G2445" t="s">
        <v>128</v>
      </c>
      <c r="H2445" t="s">
        <v>357</v>
      </c>
      <c r="I2445" t="s">
        <v>77</v>
      </c>
      <c r="J2445" t="s">
        <v>286</v>
      </c>
      <c r="K2445" t="s">
        <v>57</v>
      </c>
    </row>
    <row r="2446" spans="1:11" x14ac:dyDescent="0.35">
      <c r="A2446" t="s">
        <v>2943</v>
      </c>
      <c r="B2446">
        <v>2025</v>
      </c>
      <c r="C2446" t="s">
        <v>1398</v>
      </c>
      <c r="D2446" t="s">
        <v>85</v>
      </c>
      <c r="E2446" t="s">
        <v>117</v>
      </c>
      <c r="F2446" t="s">
        <v>129</v>
      </c>
      <c r="G2446" t="s">
        <v>128</v>
      </c>
      <c r="H2446" t="s">
        <v>357</v>
      </c>
      <c r="I2446" t="s">
        <v>426</v>
      </c>
      <c r="J2446" t="s">
        <v>1094</v>
      </c>
      <c r="K2446" t="s">
        <v>42</v>
      </c>
    </row>
    <row r="2447" spans="1:11" x14ac:dyDescent="0.35">
      <c r="A2447" t="s">
        <v>2944</v>
      </c>
      <c r="B2447">
        <v>2025</v>
      </c>
      <c r="C2447" t="s">
        <v>1398</v>
      </c>
      <c r="D2447" t="s">
        <v>85</v>
      </c>
      <c r="E2447" t="s">
        <v>344</v>
      </c>
      <c r="F2447" t="s">
        <v>129</v>
      </c>
      <c r="G2447" t="s">
        <v>126</v>
      </c>
      <c r="H2447" t="s">
        <v>357</v>
      </c>
      <c r="I2447" t="s">
        <v>77</v>
      </c>
      <c r="J2447" t="s">
        <v>286</v>
      </c>
      <c r="K2447" t="s">
        <v>57</v>
      </c>
    </row>
    <row r="2448" spans="1:11" x14ac:dyDescent="0.35">
      <c r="A2448" t="s">
        <v>2945</v>
      </c>
      <c r="B2448">
        <v>2025</v>
      </c>
      <c r="C2448" t="s">
        <v>1398</v>
      </c>
      <c r="D2448" t="s">
        <v>85</v>
      </c>
      <c r="E2448" t="s">
        <v>117</v>
      </c>
      <c r="F2448" t="s">
        <v>131</v>
      </c>
      <c r="G2448" t="s">
        <v>128</v>
      </c>
      <c r="H2448" t="s">
        <v>305</v>
      </c>
      <c r="I2448" t="s">
        <v>407</v>
      </c>
      <c r="J2448" t="s">
        <v>286</v>
      </c>
      <c r="K2448" t="s">
        <v>57</v>
      </c>
    </row>
    <row r="2449" spans="1:11" x14ac:dyDescent="0.35">
      <c r="A2449" t="s">
        <v>2946</v>
      </c>
      <c r="B2449">
        <v>2025</v>
      </c>
      <c r="C2449" t="s">
        <v>1398</v>
      </c>
      <c r="D2449" t="s">
        <v>85</v>
      </c>
      <c r="E2449" t="s">
        <v>120</v>
      </c>
      <c r="F2449" t="s">
        <v>129</v>
      </c>
      <c r="G2449" t="s">
        <v>128</v>
      </c>
      <c r="H2449" t="s">
        <v>357</v>
      </c>
      <c r="I2449" t="s">
        <v>289</v>
      </c>
      <c r="J2449" t="s">
        <v>286</v>
      </c>
      <c r="K2449" t="s">
        <v>57</v>
      </c>
    </row>
    <row r="2450" spans="1:11" x14ac:dyDescent="0.35">
      <c r="A2450" t="s">
        <v>2947</v>
      </c>
      <c r="B2450">
        <v>2025</v>
      </c>
      <c r="C2450" t="s">
        <v>1398</v>
      </c>
      <c r="D2450" t="s">
        <v>85</v>
      </c>
      <c r="E2450" t="s">
        <v>377</v>
      </c>
      <c r="F2450" t="s">
        <v>129</v>
      </c>
      <c r="G2450" t="s">
        <v>132</v>
      </c>
      <c r="H2450" t="s">
        <v>357</v>
      </c>
      <c r="I2450" t="s">
        <v>289</v>
      </c>
      <c r="J2450" t="s">
        <v>405</v>
      </c>
      <c r="K2450" t="s">
        <v>57</v>
      </c>
    </row>
    <row r="2451" spans="1:11" x14ac:dyDescent="0.35">
      <c r="A2451" t="s">
        <v>2948</v>
      </c>
      <c r="B2451">
        <v>2025</v>
      </c>
      <c r="C2451" t="s">
        <v>1398</v>
      </c>
      <c r="D2451" t="s">
        <v>85</v>
      </c>
      <c r="E2451" t="s">
        <v>120</v>
      </c>
      <c r="F2451" t="s">
        <v>129</v>
      </c>
      <c r="G2451" t="s">
        <v>130</v>
      </c>
      <c r="H2451" t="s">
        <v>357</v>
      </c>
      <c r="I2451" t="s">
        <v>333</v>
      </c>
      <c r="J2451" t="s">
        <v>286</v>
      </c>
      <c r="K2451" t="s">
        <v>57</v>
      </c>
    </row>
    <row r="2452" spans="1:11" x14ac:dyDescent="0.35">
      <c r="A2452" t="s">
        <v>2949</v>
      </c>
      <c r="B2452">
        <v>2025</v>
      </c>
      <c r="C2452" t="s">
        <v>1398</v>
      </c>
      <c r="D2452" t="s">
        <v>85</v>
      </c>
      <c r="E2452" t="s">
        <v>344</v>
      </c>
      <c r="F2452" t="s">
        <v>131</v>
      </c>
      <c r="G2452" t="s">
        <v>128</v>
      </c>
      <c r="H2452" t="s">
        <v>357</v>
      </c>
      <c r="I2452" t="s">
        <v>289</v>
      </c>
      <c r="J2452" t="s">
        <v>286</v>
      </c>
      <c r="K2452" t="s">
        <v>57</v>
      </c>
    </row>
    <row r="2453" spans="1:11" x14ac:dyDescent="0.35">
      <c r="A2453" t="s">
        <v>2950</v>
      </c>
      <c r="B2453">
        <v>2025</v>
      </c>
      <c r="C2453" t="s">
        <v>1398</v>
      </c>
      <c r="D2453" t="s">
        <v>85</v>
      </c>
      <c r="E2453" t="s">
        <v>117</v>
      </c>
      <c r="F2453" t="s">
        <v>125</v>
      </c>
      <c r="G2453" t="s">
        <v>128</v>
      </c>
      <c r="H2453" t="s">
        <v>305</v>
      </c>
      <c r="I2453" t="s">
        <v>86</v>
      </c>
      <c r="J2453" t="s">
        <v>295</v>
      </c>
      <c r="K2453" t="s">
        <v>57</v>
      </c>
    </row>
    <row r="2454" spans="1:11" x14ac:dyDescent="0.35">
      <c r="A2454" t="s">
        <v>2951</v>
      </c>
      <c r="B2454">
        <v>2025</v>
      </c>
      <c r="C2454" t="s">
        <v>1398</v>
      </c>
      <c r="D2454" t="s">
        <v>85</v>
      </c>
      <c r="E2454" t="s">
        <v>120</v>
      </c>
      <c r="F2454" t="s">
        <v>127</v>
      </c>
      <c r="G2454" t="s">
        <v>130</v>
      </c>
      <c r="H2454" t="s">
        <v>357</v>
      </c>
      <c r="I2454" t="s">
        <v>288</v>
      </c>
      <c r="J2454" t="s">
        <v>288</v>
      </c>
      <c r="K2454" t="s">
        <v>57</v>
      </c>
    </row>
    <row r="2455" spans="1:11" x14ac:dyDescent="0.35">
      <c r="A2455" t="s">
        <v>2952</v>
      </c>
      <c r="B2455">
        <v>2025</v>
      </c>
      <c r="C2455" t="s">
        <v>1398</v>
      </c>
      <c r="D2455" t="s">
        <v>76</v>
      </c>
      <c r="E2455" t="s">
        <v>115</v>
      </c>
      <c r="F2455" t="s">
        <v>125</v>
      </c>
      <c r="G2455" t="s">
        <v>132</v>
      </c>
      <c r="H2455" t="s">
        <v>357</v>
      </c>
      <c r="I2455" t="s">
        <v>77</v>
      </c>
      <c r="J2455" t="s">
        <v>2953</v>
      </c>
      <c r="K2455" t="s">
        <v>42</v>
      </c>
    </row>
    <row r="2456" spans="1:11" x14ac:dyDescent="0.35">
      <c r="A2456" t="s">
        <v>2954</v>
      </c>
      <c r="B2456">
        <v>2025</v>
      </c>
      <c r="C2456" t="s">
        <v>1398</v>
      </c>
      <c r="D2456" t="s">
        <v>76</v>
      </c>
      <c r="E2456" t="s">
        <v>107</v>
      </c>
      <c r="F2456" t="s">
        <v>131</v>
      </c>
      <c r="G2456" t="s">
        <v>132</v>
      </c>
      <c r="H2456" t="s">
        <v>285</v>
      </c>
      <c r="I2456" t="s">
        <v>77</v>
      </c>
      <c r="J2456" t="s">
        <v>286</v>
      </c>
      <c r="K2456" t="s">
        <v>57</v>
      </c>
    </row>
    <row r="2457" spans="1:11" x14ac:dyDescent="0.35">
      <c r="A2457" t="s">
        <v>2955</v>
      </c>
      <c r="B2457">
        <v>2025</v>
      </c>
      <c r="C2457" t="s">
        <v>1398</v>
      </c>
      <c r="D2457" t="s">
        <v>76</v>
      </c>
      <c r="E2457" t="s">
        <v>107</v>
      </c>
      <c r="F2457" t="s">
        <v>125</v>
      </c>
      <c r="G2457" t="s">
        <v>126</v>
      </c>
      <c r="H2457" t="s">
        <v>285</v>
      </c>
      <c r="I2457" t="s">
        <v>288</v>
      </c>
      <c r="J2457" t="s">
        <v>286</v>
      </c>
      <c r="K2457" t="s">
        <v>57</v>
      </c>
    </row>
    <row r="2458" spans="1:11" x14ac:dyDescent="0.35">
      <c r="A2458" t="s">
        <v>2956</v>
      </c>
      <c r="B2458">
        <v>2025</v>
      </c>
      <c r="C2458" t="s">
        <v>1398</v>
      </c>
      <c r="D2458" t="s">
        <v>85</v>
      </c>
      <c r="E2458" t="s">
        <v>117</v>
      </c>
      <c r="F2458" t="s">
        <v>131</v>
      </c>
      <c r="G2458" t="s">
        <v>128</v>
      </c>
      <c r="H2458" t="s">
        <v>357</v>
      </c>
      <c r="I2458" t="s">
        <v>86</v>
      </c>
      <c r="J2458" t="s">
        <v>405</v>
      </c>
      <c r="K2458" t="s">
        <v>57</v>
      </c>
    </row>
    <row r="2459" spans="1:11" x14ac:dyDescent="0.35">
      <c r="A2459" t="s">
        <v>2957</v>
      </c>
      <c r="B2459">
        <v>2025</v>
      </c>
      <c r="C2459" t="s">
        <v>1398</v>
      </c>
      <c r="D2459" t="s">
        <v>85</v>
      </c>
      <c r="E2459" t="s">
        <v>117</v>
      </c>
      <c r="F2459" t="s">
        <v>288</v>
      </c>
      <c r="G2459" t="s">
        <v>126</v>
      </c>
      <c r="H2459" t="s">
        <v>357</v>
      </c>
      <c r="I2459" t="s">
        <v>288</v>
      </c>
      <c r="J2459" t="s">
        <v>286</v>
      </c>
      <c r="K2459" t="s">
        <v>57</v>
      </c>
    </row>
    <row r="2460" spans="1:11" x14ac:dyDescent="0.35">
      <c r="A2460" t="s">
        <v>2958</v>
      </c>
      <c r="B2460">
        <v>2025</v>
      </c>
      <c r="C2460" t="s">
        <v>1398</v>
      </c>
      <c r="D2460" t="s">
        <v>76</v>
      </c>
      <c r="E2460" t="s">
        <v>360</v>
      </c>
      <c r="F2460" t="s">
        <v>125</v>
      </c>
      <c r="G2460" t="s">
        <v>126</v>
      </c>
      <c r="H2460" t="s">
        <v>357</v>
      </c>
      <c r="I2460" t="s">
        <v>86</v>
      </c>
      <c r="J2460" t="s">
        <v>286</v>
      </c>
      <c r="K2460" t="s">
        <v>57</v>
      </c>
    </row>
    <row r="2461" spans="1:11" x14ac:dyDescent="0.35">
      <c r="A2461" t="s">
        <v>2959</v>
      </c>
      <c r="B2461">
        <v>2025</v>
      </c>
      <c r="C2461" t="s">
        <v>1398</v>
      </c>
      <c r="D2461" t="s">
        <v>85</v>
      </c>
      <c r="E2461" t="s">
        <v>117</v>
      </c>
      <c r="F2461" t="s">
        <v>125</v>
      </c>
      <c r="G2461" t="s">
        <v>128</v>
      </c>
      <c r="H2461" t="s">
        <v>357</v>
      </c>
      <c r="I2461" t="s">
        <v>86</v>
      </c>
      <c r="J2461" t="s">
        <v>317</v>
      </c>
      <c r="K2461" t="s">
        <v>57</v>
      </c>
    </row>
    <row r="2462" spans="1:11" x14ac:dyDescent="0.35">
      <c r="A2462" t="s">
        <v>2960</v>
      </c>
      <c r="B2462">
        <v>2025</v>
      </c>
      <c r="C2462" t="s">
        <v>1398</v>
      </c>
      <c r="D2462" t="s">
        <v>76</v>
      </c>
      <c r="E2462" t="s">
        <v>115</v>
      </c>
      <c r="F2462" t="s">
        <v>125</v>
      </c>
      <c r="G2462" t="s">
        <v>126</v>
      </c>
      <c r="H2462" t="s">
        <v>357</v>
      </c>
      <c r="I2462" t="s">
        <v>86</v>
      </c>
      <c r="J2462" t="s">
        <v>409</v>
      </c>
      <c r="K2462" t="s">
        <v>57</v>
      </c>
    </row>
    <row r="2463" spans="1:11" x14ac:dyDescent="0.35">
      <c r="A2463" t="s">
        <v>2961</v>
      </c>
      <c r="B2463">
        <v>2025</v>
      </c>
      <c r="C2463" t="s">
        <v>1398</v>
      </c>
      <c r="D2463" t="s">
        <v>76</v>
      </c>
      <c r="E2463" t="s">
        <v>107</v>
      </c>
      <c r="F2463" t="s">
        <v>127</v>
      </c>
      <c r="G2463" t="s">
        <v>128</v>
      </c>
      <c r="H2463" t="s">
        <v>285</v>
      </c>
      <c r="I2463" t="s">
        <v>86</v>
      </c>
      <c r="J2463" t="s">
        <v>306</v>
      </c>
      <c r="K2463" t="s">
        <v>57</v>
      </c>
    </row>
    <row r="2464" spans="1:11" x14ac:dyDescent="0.35">
      <c r="A2464" t="s">
        <v>2962</v>
      </c>
      <c r="B2464">
        <v>2025</v>
      </c>
      <c r="C2464" t="s">
        <v>1398</v>
      </c>
      <c r="D2464" t="s">
        <v>76</v>
      </c>
      <c r="E2464" t="s">
        <v>107</v>
      </c>
      <c r="F2464" t="s">
        <v>125</v>
      </c>
      <c r="G2464" t="s">
        <v>126</v>
      </c>
      <c r="H2464" t="s">
        <v>285</v>
      </c>
      <c r="I2464" t="s">
        <v>77</v>
      </c>
      <c r="J2464" t="s">
        <v>447</v>
      </c>
      <c r="K2464" t="s">
        <v>57</v>
      </c>
    </row>
    <row r="2465" spans="1:11" x14ac:dyDescent="0.35">
      <c r="A2465" t="s">
        <v>2963</v>
      </c>
      <c r="B2465">
        <v>2025</v>
      </c>
      <c r="C2465" t="s">
        <v>1398</v>
      </c>
      <c r="D2465" t="s">
        <v>85</v>
      </c>
      <c r="E2465" t="s">
        <v>377</v>
      </c>
      <c r="F2465" t="s">
        <v>125</v>
      </c>
      <c r="G2465" t="s">
        <v>126</v>
      </c>
      <c r="H2465" t="s">
        <v>357</v>
      </c>
      <c r="I2465" t="s">
        <v>77</v>
      </c>
      <c r="J2465" t="s">
        <v>295</v>
      </c>
      <c r="K2465" t="s">
        <v>57</v>
      </c>
    </row>
    <row r="2466" spans="1:11" x14ac:dyDescent="0.35">
      <c r="A2466" t="s">
        <v>2964</v>
      </c>
      <c r="B2466">
        <v>2025</v>
      </c>
      <c r="C2466" t="s">
        <v>1398</v>
      </c>
      <c r="D2466" t="s">
        <v>76</v>
      </c>
      <c r="E2466" t="s">
        <v>360</v>
      </c>
      <c r="F2466" t="s">
        <v>129</v>
      </c>
      <c r="G2466" t="s">
        <v>132</v>
      </c>
      <c r="H2466" t="s">
        <v>357</v>
      </c>
      <c r="I2466" t="s">
        <v>86</v>
      </c>
      <c r="J2466" t="s">
        <v>326</v>
      </c>
      <c r="K2466" t="s">
        <v>57</v>
      </c>
    </row>
    <row r="2467" spans="1:11" x14ac:dyDescent="0.35">
      <c r="A2467" t="s">
        <v>247</v>
      </c>
      <c r="B2467">
        <v>2025</v>
      </c>
      <c r="C2467" t="s">
        <v>1398</v>
      </c>
      <c r="D2467" t="s">
        <v>76</v>
      </c>
      <c r="E2467" t="s">
        <v>107</v>
      </c>
      <c r="F2467" t="s">
        <v>125</v>
      </c>
      <c r="G2467" t="s">
        <v>132</v>
      </c>
      <c r="H2467" t="s">
        <v>357</v>
      </c>
      <c r="I2467" t="s">
        <v>288</v>
      </c>
      <c r="J2467" t="s">
        <v>288</v>
      </c>
      <c r="K2467" t="s">
        <v>57</v>
      </c>
    </row>
    <row r="2468" spans="1:11" x14ac:dyDescent="0.35">
      <c r="A2468" t="s">
        <v>2965</v>
      </c>
      <c r="B2468">
        <v>2025</v>
      </c>
      <c r="C2468" t="s">
        <v>1398</v>
      </c>
      <c r="D2468" t="s">
        <v>85</v>
      </c>
      <c r="E2468" t="s">
        <v>115</v>
      </c>
      <c r="F2468" t="s">
        <v>131</v>
      </c>
      <c r="G2468" t="s">
        <v>128</v>
      </c>
      <c r="H2468" t="s">
        <v>285</v>
      </c>
      <c r="I2468" t="s">
        <v>333</v>
      </c>
      <c r="J2468" t="s">
        <v>447</v>
      </c>
      <c r="K2468" t="s">
        <v>57</v>
      </c>
    </row>
    <row r="2469" spans="1:11" x14ac:dyDescent="0.35">
      <c r="A2469" t="s">
        <v>2966</v>
      </c>
      <c r="B2469">
        <v>2025</v>
      </c>
      <c r="C2469" t="s">
        <v>1398</v>
      </c>
      <c r="D2469" t="s">
        <v>76</v>
      </c>
      <c r="E2469" t="s">
        <v>360</v>
      </c>
      <c r="F2469" t="s">
        <v>125</v>
      </c>
      <c r="G2469" t="s">
        <v>126</v>
      </c>
      <c r="H2469" t="s">
        <v>357</v>
      </c>
      <c r="I2469" t="s">
        <v>86</v>
      </c>
      <c r="J2469" t="s">
        <v>1190</v>
      </c>
      <c r="K2469" t="s">
        <v>57</v>
      </c>
    </row>
    <row r="2470" spans="1:11" x14ac:dyDescent="0.35">
      <c r="A2470" t="s">
        <v>2967</v>
      </c>
      <c r="B2470">
        <v>2025</v>
      </c>
      <c r="C2470" t="s">
        <v>1398</v>
      </c>
      <c r="D2470" t="s">
        <v>85</v>
      </c>
      <c r="E2470" t="s">
        <v>116</v>
      </c>
      <c r="F2470" t="s">
        <v>129</v>
      </c>
      <c r="G2470" t="s">
        <v>128</v>
      </c>
      <c r="H2470" t="s">
        <v>285</v>
      </c>
      <c r="I2470" t="s">
        <v>289</v>
      </c>
      <c r="J2470" t="s">
        <v>286</v>
      </c>
      <c r="K2470" t="s">
        <v>57</v>
      </c>
    </row>
    <row r="2471" spans="1:11" x14ac:dyDescent="0.35">
      <c r="A2471" t="s">
        <v>2968</v>
      </c>
      <c r="B2471">
        <v>2025</v>
      </c>
      <c r="C2471" t="s">
        <v>1398</v>
      </c>
      <c r="D2471" t="s">
        <v>85</v>
      </c>
      <c r="E2471" t="s">
        <v>120</v>
      </c>
      <c r="F2471" t="s">
        <v>129</v>
      </c>
      <c r="G2471" t="s">
        <v>130</v>
      </c>
      <c r="H2471" t="s">
        <v>357</v>
      </c>
      <c r="I2471" t="s">
        <v>77</v>
      </c>
      <c r="J2471" t="s">
        <v>286</v>
      </c>
      <c r="K2471" t="s">
        <v>57</v>
      </c>
    </row>
    <row r="2472" spans="1:11" x14ac:dyDescent="0.35">
      <c r="A2472" t="s">
        <v>2969</v>
      </c>
      <c r="B2472">
        <v>2025</v>
      </c>
      <c r="C2472" t="s">
        <v>1398</v>
      </c>
      <c r="D2472" t="s">
        <v>85</v>
      </c>
      <c r="E2472" t="s">
        <v>120</v>
      </c>
      <c r="F2472" t="s">
        <v>127</v>
      </c>
      <c r="G2472" t="s">
        <v>128</v>
      </c>
      <c r="H2472" t="s">
        <v>357</v>
      </c>
      <c r="I2472" t="s">
        <v>333</v>
      </c>
      <c r="J2472" t="s">
        <v>361</v>
      </c>
      <c r="K2472" t="s">
        <v>57</v>
      </c>
    </row>
    <row r="2473" spans="1:11" x14ac:dyDescent="0.35">
      <c r="A2473" t="s">
        <v>2970</v>
      </c>
      <c r="B2473">
        <v>2025</v>
      </c>
      <c r="C2473" t="s">
        <v>1398</v>
      </c>
      <c r="D2473" t="s">
        <v>85</v>
      </c>
      <c r="E2473" t="s">
        <v>117</v>
      </c>
      <c r="F2473" t="s">
        <v>127</v>
      </c>
      <c r="G2473" t="s">
        <v>126</v>
      </c>
      <c r="H2473" t="s">
        <v>357</v>
      </c>
      <c r="I2473" t="s">
        <v>289</v>
      </c>
      <c r="J2473" t="s">
        <v>403</v>
      </c>
      <c r="K2473" t="s">
        <v>57</v>
      </c>
    </row>
    <row r="2474" spans="1:11" x14ac:dyDescent="0.35">
      <c r="A2474" t="s">
        <v>2971</v>
      </c>
      <c r="B2474">
        <v>2025</v>
      </c>
      <c r="C2474" t="s">
        <v>1398</v>
      </c>
      <c r="D2474" t="s">
        <v>76</v>
      </c>
      <c r="E2474" t="s">
        <v>360</v>
      </c>
      <c r="F2474" t="s">
        <v>125</v>
      </c>
      <c r="G2474" t="s">
        <v>130</v>
      </c>
      <c r="H2474" t="s">
        <v>357</v>
      </c>
      <c r="I2474" t="s">
        <v>86</v>
      </c>
      <c r="J2474" t="s">
        <v>571</v>
      </c>
      <c r="K2474" t="s">
        <v>42</v>
      </c>
    </row>
    <row r="2475" spans="1:11" x14ac:dyDescent="0.35">
      <c r="A2475" t="s">
        <v>2972</v>
      </c>
      <c r="B2475">
        <v>2025</v>
      </c>
      <c r="C2475" t="s">
        <v>1398</v>
      </c>
      <c r="D2475" t="s">
        <v>76</v>
      </c>
      <c r="E2475" t="s">
        <v>360</v>
      </c>
      <c r="F2475" t="s">
        <v>125</v>
      </c>
      <c r="G2475" t="s">
        <v>126</v>
      </c>
      <c r="H2475" t="s">
        <v>357</v>
      </c>
      <c r="I2475" t="s">
        <v>77</v>
      </c>
      <c r="J2475" t="s">
        <v>286</v>
      </c>
      <c r="K2475" t="s">
        <v>57</v>
      </c>
    </row>
    <row r="2476" spans="1:11" x14ac:dyDescent="0.35">
      <c r="A2476" t="s">
        <v>2973</v>
      </c>
      <c r="B2476">
        <v>2025</v>
      </c>
      <c r="C2476" t="s">
        <v>1398</v>
      </c>
      <c r="D2476" t="s">
        <v>85</v>
      </c>
      <c r="E2476" t="s">
        <v>117</v>
      </c>
      <c r="F2476" t="s">
        <v>127</v>
      </c>
      <c r="G2476" t="s">
        <v>132</v>
      </c>
      <c r="H2476" t="s">
        <v>357</v>
      </c>
      <c r="I2476" t="s">
        <v>86</v>
      </c>
      <c r="J2476" t="s">
        <v>405</v>
      </c>
      <c r="K2476" t="s">
        <v>57</v>
      </c>
    </row>
    <row r="2477" spans="1:11" x14ac:dyDescent="0.35">
      <c r="A2477" t="s">
        <v>2974</v>
      </c>
      <c r="B2477">
        <v>2025</v>
      </c>
      <c r="C2477" t="s">
        <v>1398</v>
      </c>
      <c r="D2477" t="s">
        <v>76</v>
      </c>
      <c r="E2477" t="s">
        <v>108</v>
      </c>
      <c r="F2477" t="s">
        <v>125</v>
      </c>
      <c r="G2477" t="s">
        <v>132</v>
      </c>
      <c r="H2477" t="s">
        <v>285</v>
      </c>
      <c r="I2477" t="s">
        <v>288</v>
      </c>
      <c r="J2477" t="s">
        <v>317</v>
      </c>
      <c r="K2477" t="s">
        <v>57</v>
      </c>
    </row>
    <row r="2478" spans="1:11" x14ac:dyDescent="0.35">
      <c r="A2478" t="s">
        <v>2975</v>
      </c>
      <c r="B2478">
        <v>2025</v>
      </c>
      <c r="C2478" t="s">
        <v>1398</v>
      </c>
      <c r="D2478" t="s">
        <v>85</v>
      </c>
      <c r="E2478" t="s">
        <v>116</v>
      </c>
      <c r="F2478" t="s">
        <v>129</v>
      </c>
      <c r="G2478" t="s">
        <v>130</v>
      </c>
      <c r="H2478" t="s">
        <v>285</v>
      </c>
      <c r="I2478" t="s">
        <v>289</v>
      </c>
      <c r="J2478" t="s">
        <v>286</v>
      </c>
      <c r="K2478" t="s">
        <v>57</v>
      </c>
    </row>
    <row r="2479" spans="1:11" x14ac:dyDescent="0.35">
      <c r="A2479" t="s">
        <v>2976</v>
      </c>
      <c r="B2479">
        <v>2025</v>
      </c>
      <c r="C2479" t="s">
        <v>1398</v>
      </c>
      <c r="D2479" t="s">
        <v>85</v>
      </c>
      <c r="E2479" t="s">
        <v>116</v>
      </c>
      <c r="F2479" t="s">
        <v>131</v>
      </c>
      <c r="G2479" t="s">
        <v>128</v>
      </c>
      <c r="H2479" t="s">
        <v>285</v>
      </c>
      <c r="I2479" t="s">
        <v>289</v>
      </c>
      <c r="J2479" t="s">
        <v>286</v>
      </c>
      <c r="K2479" t="s">
        <v>57</v>
      </c>
    </row>
    <row r="2480" spans="1:11" x14ac:dyDescent="0.35">
      <c r="A2480" t="s">
        <v>2977</v>
      </c>
      <c r="B2480">
        <v>2025</v>
      </c>
      <c r="C2480" t="s">
        <v>1398</v>
      </c>
      <c r="D2480" t="s">
        <v>76</v>
      </c>
      <c r="E2480" t="s">
        <v>360</v>
      </c>
      <c r="F2480" t="s">
        <v>131</v>
      </c>
      <c r="G2480" t="s">
        <v>126</v>
      </c>
      <c r="H2480" t="s">
        <v>357</v>
      </c>
      <c r="I2480" t="s">
        <v>756</v>
      </c>
      <c r="J2480" t="s">
        <v>286</v>
      </c>
      <c r="K2480" t="s">
        <v>57</v>
      </c>
    </row>
    <row r="2481" spans="1:11" x14ac:dyDescent="0.35">
      <c r="A2481" t="s">
        <v>2978</v>
      </c>
      <c r="B2481">
        <v>2025</v>
      </c>
      <c r="C2481" t="s">
        <v>1398</v>
      </c>
      <c r="D2481" t="s">
        <v>85</v>
      </c>
      <c r="E2481" t="s">
        <v>116</v>
      </c>
      <c r="F2481" t="s">
        <v>131</v>
      </c>
      <c r="G2481" t="s">
        <v>126</v>
      </c>
      <c r="H2481" t="s">
        <v>285</v>
      </c>
      <c r="I2481" t="s">
        <v>77</v>
      </c>
      <c r="J2481" t="s">
        <v>286</v>
      </c>
      <c r="K2481" t="s">
        <v>57</v>
      </c>
    </row>
    <row r="2482" spans="1:11" x14ac:dyDescent="0.35">
      <c r="A2482" t="s">
        <v>2979</v>
      </c>
      <c r="B2482">
        <v>2025</v>
      </c>
      <c r="C2482" t="s">
        <v>1398</v>
      </c>
      <c r="D2482" t="s">
        <v>76</v>
      </c>
      <c r="E2482" t="s">
        <v>119</v>
      </c>
      <c r="F2482" t="s">
        <v>125</v>
      </c>
      <c r="G2482" t="s">
        <v>132</v>
      </c>
      <c r="H2482" t="s">
        <v>285</v>
      </c>
      <c r="I2482" t="s">
        <v>86</v>
      </c>
      <c r="J2482" t="s">
        <v>288</v>
      </c>
      <c r="K2482" t="s">
        <v>57</v>
      </c>
    </row>
    <row r="2483" spans="1:11" x14ac:dyDescent="0.35">
      <c r="A2483" t="s">
        <v>2980</v>
      </c>
      <c r="B2483">
        <v>2025</v>
      </c>
      <c r="C2483" t="s">
        <v>1398</v>
      </c>
      <c r="D2483" t="s">
        <v>76</v>
      </c>
      <c r="E2483" t="s">
        <v>107</v>
      </c>
      <c r="F2483" t="s">
        <v>125</v>
      </c>
      <c r="G2483" t="s">
        <v>128</v>
      </c>
      <c r="H2483" t="s">
        <v>285</v>
      </c>
      <c r="I2483" t="s">
        <v>86</v>
      </c>
      <c r="J2483" t="s">
        <v>308</v>
      </c>
      <c r="K2483" t="s">
        <v>42</v>
      </c>
    </row>
    <row r="2484" spans="1:11" x14ac:dyDescent="0.35">
      <c r="A2484" t="s">
        <v>2981</v>
      </c>
      <c r="B2484">
        <v>2025</v>
      </c>
      <c r="C2484" t="s">
        <v>1398</v>
      </c>
      <c r="D2484" t="s">
        <v>76</v>
      </c>
      <c r="E2484" t="s">
        <v>119</v>
      </c>
      <c r="F2484" t="s">
        <v>125</v>
      </c>
      <c r="G2484" t="s">
        <v>130</v>
      </c>
      <c r="H2484" t="s">
        <v>357</v>
      </c>
      <c r="I2484" t="s">
        <v>86</v>
      </c>
      <c r="J2484" t="s">
        <v>286</v>
      </c>
      <c r="K2484" t="s">
        <v>57</v>
      </c>
    </row>
    <row r="2485" spans="1:11" x14ac:dyDescent="0.35">
      <c r="A2485" t="s">
        <v>2982</v>
      </c>
      <c r="B2485">
        <v>2025</v>
      </c>
      <c r="C2485" t="s">
        <v>1398</v>
      </c>
      <c r="D2485" t="s">
        <v>85</v>
      </c>
      <c r="E2485" t="s">
        <v>117</v>
      </c>
      <c r="F2485" t="s">
        <v>129</v>
      </c>
      <c r="G2485" t="s">
        <v>126</v>
      </c>
      <c r="H2485" t="s">
        <v>357</v>
      </c>
      <c r="I2485" t="s">
        <v>289</v>
      </c>
      <c r="J2485" t="s">
        <v>288</v>
      </c>
      <c r="K2485" t="s">
        <v>57</v>
      </c>
    </row>
    <row r="2486" spans="1:11" x14ac:dyDescent="0.35">
      <c r="A2486" t="s">
        <v>2983</v>
      </c>
      <c r="B2486">
        <v>2025</v>
      </c>
      <c r="C2486" t="s">
        <v>1398</v>
      </c>
      <c r="D2486" t="s">
        <v>76</v>
      </c>
      <c r="E2486" t="s">
        <v>115</v>
      </c>
      <c r="F2486" t="s">
        <v>127</v>
      </c>
      <c r="G2486" t="s">
        <v>128</v>
      </c>
      <c r="H2486" t="s">
        <v>285</v>
      </c>
      <c r="I2486" t="s">
        <v>77</v>
      </c>
      <c r="J2486" t="s">
        <v>447</v>
      </c>
      <c r="K2486" t="s">
        <v>57</v>
      </c>
    </row>
    <row r="2487" spans="1:11" x14ac:dyDescent="0.35">
      <c r="A2487" t="s">
        <v>2984</v>
      </c>
      <c r="B2487">
        <v>2025</v>
      </c>
      <c r="C2487" t="s">
        <v>1398</v>
      </c>
      <c r="D2487" t="s">
        <v>76</v>
      </c>
      <c r="E2487" t="s">
        <v>360</v>
      </c>
      <c r="F2487" t="s">
        <v>127</v>
      </c>
      <c r="G2487" t="s">
        <v>128</v>
      </c>
      <c r="H2487" t="s">
        <v>357</v>
      </c>
      <c r="I2487" t="s">
        <v>77</v>
      </c>
      <c r="J2487" t="s">
        <v>286</v>
      </c>
      <c r="K2487" t="s">
        <v>57</v>
      </c>
    </row>
    <row r="2488" spans="1:11" x14ac:dyDescent="0.35">
      <c r="A2488" t="s">
        <v>2985</v>
      </c>
      <c r="B2488">
        <v>2025</v>
      </c>
      <c r="C2488" t="s">
        <v>1398</v>
      </c>
      <c r="D2488" t="s">
        <v>76</v>
      </c>
      <c r="E2488" t="s">
        <v>119</v>
      </c>
      <c r="F2488" t="s">
        <v>125</v>
      </c>
      <c r="G2488" t="s">
        <v>126</v>
      </c>
      <c r="H2488" t="s">
        <v>285</v>
      </c>
      <c r="I2488" t="s">
        <v>86</v>
      </c>
      <c r="J2488" t="s">
        <v>312</v>
      </c>
      <c r="K2488" t="s">
        <v>42</v>
      </c>
    </row>
    <row r="2489" spans="1:11" x14ac:dyDescent="0.35">
      <c r="A2489" t="s">
        <v>2986</v>
      </c>
      <c r="B2489">
        <v>2025</v>
      </c>
      <c r="C2489" t="s">
        <v>1398</v>
      </c>
      <c r="D2489" t="s">
        <v>85</v>
      </c>
      <c r="E2489" t="s">
        <v>120</v>
      </c>
      <c r="F2489" t="s">
        <v>133</v>
      </c>
      <c r="G2489" t="s">
        <v>126</v>
      </c>
      <c r="H2489" t="s">
        <v>305</v>
      </c>
      <c r="I2489" t="s">
        <v>333</v>
      </c>
      <c r="J2489" t="s">
        <v>326</v>
      </c>
      <c r="K2489" t="s">
        <v>57</v>
      </c>
    </row>
    <row r="2490" spans="1:11" x14ac:dyDescent="0.35">
      <c r="A2490" t="s">
        <v>2987</v>
      </c>
      <c r="B2490">
        <v>2025</v>
      </c>
      <c r="C2490" t="s">
        <v>1398</v>
      </c>
      <c r="D2490" t="s">
        <v>85</v>
      </c>
      <c r="E2490" t="s">
        <v>120</v>
      </c>
      <c r="F2490" t="s">
        <v>129</v>
      </c>
      <c r="G2490" t="s">
        <v>132</v>
      </c>
      <c r="H2490" t="s">
        <v>357</v>
      </c>
      <c r="I2490" t="s">
        <v>86</v>
      </c>
      <c r="J2490" t="s">
        <v>644</v>
      </c>
      <c r="K2490" t="s">
        <v>42</v>
      </c>
    </row>
    <row r="2491" spans="1:11" x14ac:dyDescent="0.35">
      <c r="A2491" t="s">
        <v>2988</v>
      </c>
      <c r="B2491">
        <v>2025</v>
      </c>
      <c r="C2491" t="s">
        <v>1398</v>
      </c>
      <c r="D2491" t="s">
        <v>85</v>
      </c>
      <c r="E2491" t="s">
        <v>116</v>
      </c>
      <c r="F2491" t="s">
        <v>129</v>
      </c>
      <c r="G2491" t="s">
        <v>128</v>
      </c>
      <c r="H2491" t="s">
        <v>285</v>
      </c>
      <c r="I2491" t="s">
        <v>337</v>
      </c>
      <c r="J2491" t="s">
        <v>326</v>
      </c>
      <c r="K2491" t="s">
        <v>57</v>
      </c>
    </row>
    <row r="2492" spans="1:11" x14ac:dyDescent="0.35">
      <c r="A2492" t="s">
        <v>2989</v>
      </c>
      <c r="B2492">
        <v>2025</v>
      </c>
      <c r="C2492" t="s">
        <v>1398</v>
      </c>
      <c r="D2492" t="s">
        <v>76</v>
      </c>
      <c r="E2492" t="s">
        <v>113</v>
      </c>
      <c r="F2492" t="s">
        <v>125</v>
      </c>
      <c r="G2492" t="s">
        <v>128</v>
      </c>
      <c r="H2492" t="s">
        <v>357</v>
      </c>
      <c r="I2492" t="s">
        <v>288</v>
      </c>
      <c r="J2492" t="s">
        <v>288</v>
      </c>
      <c r="K2492" t="s">
        <v>57</v>
      </c>
    </row>
    <row r="2493" spans="1:11" x14ac:dyDescent="0.35">
      <c r="A2493" t="s">
        <v>2990</v>
      </c>
      <c r="B2493">
        <v>2025</v>
      </c>
      <c r="C2493" t="s">
        <v>1398</v>
      </c>
      <c r="D2493" t="s">
        <v>85</v>
      </c>
      <c r="E2493" t="s">
        <v>120</v>
      </c>
      <c r="F2493" t="s">
        <v>288</v>
      </c>
      <c r="G2493" t="s">
        <v>128</v>
      </c>
      <c r="H2493" t="s">
        <v>357</v>
      </c>
      <c r="I2493" t="s">
        <v>77</v>
      </c>
      <c r="J2493" t="s">
        <v>286</v>
      </c>
      <c r="K2493" t="s">
        <v>57</v>
      </c>
    </row>
    <row r="2494" spans="1:11" x14ac:dyDescent="0.35">
      <c r="A2494" t="s">
        <v>2991</v>
      </c>
      <c r="B2494">
        <v>2025</v>
      </c>
      <c r="C2494" t="s">
        <v>1398</v>
      </c>
      <c r="D2494" t="s">
        <v>85</v>
      </c>
      <c r="E2494" t="s">
        <v>120</v>
      </c>
      <c r="F2494" t="s">
        <v>129</v>
      </c>
      <c r="G2494" t="s">
        <v>130</v>
      </c>
      <c r="H2494" t="s">
        <v>357</v>
      </c>
      <c r="I2494" t="s">
        <v>289</v>
      </c>
      <c r="J2494" t="s">
        <v>288</v>
      </c>
      <c r="K2494" t="s">
        <v>57</v>
      </c>
    </row>
    <row r="2495" spans="1:11" x14ac:dyDescent="0.35">
      <c r="A2495" t="s">
        <v>2992</v>
      </c>
      <c r="B2495">
        <v>2025</v>
      </c>
      <c r="C2495" t="s">
        <v>1398</v>
      </c>
      <c r="D2495" t="s">
        <v>85</v>
      </c>
      <c r="E2495" t="s">
        <v>117</v>
      </c>
      <c r="F2495" t="s">
        <v>129</v>
      </c>
      <c r="G2495" t="s">
        <v>128</v>
      </c>
      <c r="H2495" t="s">
        <v>305</v>
      </c>
      <c r="I2495" t="s">
        <v>289</v>
      </c>
      <c r="J2495" t="s">
        <v>895</v>
      </c>
      <c r="K2495" t="s">
        <v>42</v>
      </c>
    </row>
    <row r="2496" spans="1:11" x14ac:dyDescent="0.35">
      <c r="A2496" t="s">
        <v>2993</v>
      </c>
      <c r="B2496">
        <v>2025</v>
      </c>
      <c r="C2496" t="s">
        <v>1398</v>
      </c>
      <c r="D2496" t="s">
        <v>85</v>
      </c>
      <c r="E2496" t="s">
        <v>120</v>
      </c>
      <c r="F2496" t="s">
        <v>131</v>
      </c>
      <c r="G2496" t="s">
        <v>128</v>
      </c>
      <c r="H2496" t="s">
        <v>357</v>
      </c>
      <c r="I2496" t="s">
        <v>86</v>
      </c>
      <c r="J2496" t="s">
        <v>288</v>
      </c>
      <c r="K2496" t="s">
        <v>57</v>
      </c>
    </row>
    <row r="2497" spans="1:11" x14ac:dyDescent="0.35">
      <c r="A2497" t="s">
        <v>2994</v>
      </c>
      <c r="B2497">
        <v>2025</v>
      </c>
      <c r="C2497" t="s">
        <v>1398</v>
      </c>
      <c r="D2497" t="s">
        <v>85</v>
      </c>
      <c r="E2497" t="s">
        <v>116</v>
      </c>
      <c r="F2497" t="s">
        <v>131</v>
      </c>
      <c r="G2497" t="s">
        <v>130</v>
      </c>
      <c r="H2497" t="s">
        <v>285</v>
      </c>
      <c r="I2497" t="s">
        <v>289</v>
      </c>
      <c r="J2497" t="s">
        <v>286</v>
      </c>
      <c r="K2497" t="s">
        <v>57</v>
      </c>
    </row>
    <row r="2498" spans="1:11" x14ac:dyDescent="0.35">
      <c r="A2498" t="s">
        <v>2995</v>
      </c>
      <c r="B2498">
        <v>2025</v>
      </c>
      <c r="C2498" t="s">
        <v>1398</v>
      </c>
      <c r="D2498" t="s">
        <v>76</v>
      </c>
      <c r="E2498" t="s">
        <v>115</v>
      </c>
      <c r="F2498" t="s">
        <v>131</v>
      </c>
      <c r="G2498" t="s">
        <v>128</v>
      </c>
      <c r="H2498" t="s">
        <v>357</v>
      </c>
      <c r="I2498" t="s">
        <v>289</v>
      </c>
      <c r="J2498" t="s">
        <v>286</v>
      </c>
      <c r="K2498" t="s">
        <v>57</v>
      </c>
    </row>
    <row r="2499" spans="1:11" x14ac:dyDescent="0.35">
      <c r="A2499" t="s">
        <v>2996</v>
      </c>
      <c r="B2499">
        <v>2025</v>
      </c>
      <c r="C2499" t="s">
        <v>1398</v>
      </c>
      <c r="D2499" t="s">
        <v>76</v>
      </c>
      <c r="E2499" t="s">
        <v>113</v>
      </c>
      <c r="F2499" t="s">
        <v>125</v>
      </c>
      <c r="G2499" t="s">
        <v>126</v>
      </c>
      <c r="H2499" t="s">
        <v>285</v>
      </c>
      <c r="I2499" t="s">
        <v>428</v>
      </c>
      <c r="J2499" t="s">
        <v>286</v>
      </c>
      <c r="K2499" t="s">
        <v>57</v>
      </c>
    </row>
    <row r="2500" spans="1:11" x14ac:dyDescent="0.35">
      <c r="A2500" t="s">
        <v>2997</v>
      </c>
      <c r="B2500">
        <v>2025</v>
      </c>
      <c r="C2500" t="s">
        <v>1398</v>
      </c>
      <c r="D2500" t="s">
        <v>85</v>
      </c>
      <c r="E2500" t="s">
        <v>377</v>
      </c>
      <c r="F2500" t="s">
        <v>129</v>
      </c>
      <c r="G2500" t="s">
        <v>130</v>
      </c>
      <c r="H2500" t="s">
        <v>305</v>
      </c>
      <c r="I2500" t="s">
        <v>77</v>
      </c>
      <c r="J2500" t="s">
        <v>317</v>
      </c>
      <c r="K2500" t="s">
        <v>57</v>
      </c>
    </row>
    <row r="2501" spans="1:11" x14ac:dyDescent="0.35">
      <c r="A2501" t="s">
        <v>2998</v>
      </c>
      <c r="B2501">
        <v>2025</v>
      </c>
      <c r="C2501" t="s">
        <v>1398</v>
      </c>
      <c r="D2501" t="s">
        <v>85</v>
      </c>
      <c r="E2501" t="s">
        <v>117</v>
      </c>
      <c r="F2501" t="s">
        <v>288</v>
      </c>
      <c r="G2501" t="s">
        <v>128</v>
      </c>
      <c r="H2501" t="s">
        <v>357</v>
      </c>
      <c r="I2501" t="s">
        <v>288</v>
      </c>
      <c r="J2501" t="s">
        <v>288</v>
      </c>
      <c r="K2501" t="s">
        <v>57</v>
      </c>
    </row>
    <row r="2502" spans="1:11" x14ac:dyDescent="0.35">
      <c r="A2502" t="s">
        <v>2999</v>
      </c>
      <c r="B2502">
        <v>2025</v>
      </c>
      <c r="C2502" t="s">
        <v>1398</v>
      </c>
      <c r="D2502" t="s">
        <v>85</v>
      </c>
      <c r="E2502" t="s">
        <v>120</v>
      </c>
      <c r="F2502" t="s">
        <v>127</v>
      </c>
      <c r="G2502" t="s">
        <v>130</v>
      </c>
      <c r="H2502" t="s">
        <v>357</v>
      </c>
      <c r="I2502" t="s">
        <v>86</v>
      </c>
      <c r="J2502" t="s">
        <v>286</v>
      </c>
      <c r="K2502" t="s">
        <v>57</v>
      </c>
    </row>
    <row r="2503" spans="1:11" x14ac:dyDescent="0.35">
      <c r="A2503" t="s">
        <v>3000</v>
      </c>
      <c r="B2503">
        <v>2025</v>
      </c>
      <c r="C2503" t="s">
        <v>1398</v>
      </c>
      <c r="D2503" t="s">
        <v>85</v>
      </c>
      <c r="E2503" t="s">
        <v>120</v>
      </c>
      <c r="F2503" t="s">
        <v>125</v>
      </c>
      <c r="G2503" t="s">
        <v>128</v>
      </c>
      <c r="H2503" t="s">
        <v>357</v>
      </c>
      <c r="I2503" t="s">
        <v>289</v>
      </c>
      <c r="J2503" t="s">
        <v>361</v>
      </c>
      <c r="K2503" t="s">
        <v>57</v>
      </c>
    </row>
    <row r="2504" spans="1:11" x14ac:dyDescent="0.35">
      <c r="A2504" t="s">
        <v>3001</v>
      </c>
      <c r="B2504">
        <v>2025</v>
      </c>
      <c r="C2504" t="s">
        <v>1398</v>
      </c>
      <c r="D2504" t="s">
        <v>85</v>
      </c>
      <c r="E2504" t="s">
        <v>116</v>
      </c>
      <c r="F2504" t="s">
        <v>131</v>
      </c>
      <c r="G2504" t="s">
        <v>128</v>
      </c>
      <c r="H2504" t="s">
        <v>285</v>
      </c>
      <c r="I2504" t="s">
        <v>288</v>
      </c>
      <c r="J2504" t="s">
        <v>317</v>
      </c>
      <c r="K2504" t="s">
        <v>57</v>
      </c>
    </row>
    <row r="2505" spans="1:11" x14ac:dyDescent="0.35">
      <c r="A2505" t="s">
        <v>3002</v>
      </c>
      <c r="B2505">
        <v>2025</v>
      </c>
      <c r="C2505" t="s">
        <v>1398</v>
      </c>
      <c r="D2505" t="s">
        <v>76</v>
      </c>
      <c r="E2505" t="s">
        <v>115</v>
      </c>
      <c r="F2505" t="s">
        <v>125</v>
      </c>
      <c r="G2505" t="s">
        <v>126</v>
      </c>
      <c r="H2505" t="s">
        <v>285</v>
      </c>
      <c r="I2505" t="s">
        <v>86</v>
      </c>
      <c r="J2505" t="s">
        <v>3003</v>
      </c>
      <c r="K2505" t="s">
        <v>42</v>
      </c>
    </row>
    <row r="2506" spans="1:11" x14ac:dyDescent="0.35">
      <c r="A2506" t="s">
        <v>3004</v>
      </c>
      <c r="B2506">
        <v>2025</v>
      </c>
      <c r="C2506" t="s">
        <v>1398</v>
      </c>
      <c r="D2506" t="s">
        <v>85</v>
      </c>
      <c r="E2506" t="s">
        <v>117</v>
      </c>
      <c r="F2506" t="s">
        <v>127</v>
      </c>
      <c r="G2506" t="s">
        <v>128</v>
      </c>
      <c r="H2506" t="s">
        <v>357</v>
      </c>
      <c r="I2506" t="s">
        <v>77</v>
      </c>
      <c r="J2506" t="s">
        <v>286</v>
      </c>
      <c r="K2506" t="s">
        <v>57</v>
      </c>
    </row>
    <row r="2507" spans="1:11" x14ac:dyDescent="0.35">
      <c r="A2507" t="s">
        <v>3005</v>
      </c>
      <c r="B2507">
        <v>2025</v>
      </c>
      <c r="C2507" t="s">
        <v>1398</v>
      </c>
      <c r="D2507" t="s">
        <v>85</v>
      </c>
      <c r="E2507" t="s">
        <v>117</v>
      </c>
      <c r="F2507" t="s">
        <v>129</v>
      </c>
      <c r="G2507" t="s">
        <v>128</v>
      </c>
      <c r="H2507" t="s">
        <v>357</v>
      </c>
      <c r="I2507" t="s">
        <v>289</v>
      </c>
      <c r="J2507" t="s">
        <v>3006</v>
      </c>
      <c r="K2507" t="s">
        <v>42</v>
      </c>
    </row>
    <row r="2508" spans="1:11" x14ac:dyDescent="0.35">
      <c r="A2508" t="s">
        <v>3007</v>
      </c>
      <c r="B2508">
        <v>2025</v>
      </c>
      <c r="C2508" t="s">
        <v>1398</v>
      </c>
      <c r="D2508" t="s">
        <v>85</v>
      </c>
      <c r="E2508" t="s">
        <v>120</v>
      </c>
      <c r="F2508" t="s">
        <v>131</v>
      </c>
      <c r="G2508" t="s">
        <v>126</v>
      </c>
      <c r="H2508" t="s">
        <v>357</v>
      </c>
      <c r="I2508" t="s">
        <v>426</v>
      </c>
      <c r="J2508" t="s">
        <v>317</v>
      </c>
      <c r="K2508" t="s">
        <v>57</v>
      </c>
    </row>
    <row r="2509" spans="1:11" x14ac:dyDescent="0.35">
      <c r="A2509" t="s">
        <v>3008</v>
      </c>
      <c r="B2509">
        <v>2025</v>
      </c>
      <c r="C2509" t="s">
        <v>1398</v>
      </c>
      <c r="D2509" t="s">
        <v>76</v>
      </c>
      <c r="E2509" t="s">
        <v>115</v>
      </c>
      <c r="F2509" t="s">
        <v>125</v>
      </c>
      <c r="G2509" t="s">
        <v>128</v>
      </c>
      <c r="H2509" t="s">
        <v>357</v>
      </c>
      <c r="I2509" t="s">
        <v>288</v>
      </c>
      <c r="J2509" t="s">
        <v>288</v>
      </c>
      <c r="K2509" t="s">
        <v>57</v>
      </c>
    </row>
    <row r="2510" spans="1:11" x14ac:dyDescent="0.35">
      <c r="A2510" t="s">
        <v>3009</v>
      </c>
      <c r="B2510">
        <v>2025</v>
      </c>
      <c r="C2510" t="s">
        <v>1398</v>
      </c>
      <c r="D2510" t="s">
        <v>85</v>
      </c>
      <c r="E2510" t="s">
        <v>116</v>
      </c>
      <c r="F2510" t="s">
        <v>288</v>
      </c>
      <c r="G2510" t="s">
        <v>128</v>
      </c>
      <c r="H2510" t="s">
        <v>285</v>
      </c>
      <c r="I2510" t="s">
        <v>289</v>
      </c>
      <c r="J2510" t="s">
        <v>286</v>
      </c>
      <c r="K2510" t="s">
        <v>57</v>
      </c>
    </row>
    <row r="2511" spans="1:11" x14ac:dyDescent="0.35">
      <c r="A2511" t="s">
        <v>3010</v>
      </c>
      <c r="B2511">
        <v>2025</v>
      </c>
      <c r="C2511" t="s">
        <v>1398</v>
      </c>
      <c r="D2511" t="s">
        <v>85</v>
      </c>
      <c r="E2511" t="s">
        <v>117</v>
      </c>
      <c r="F2511" t="s">
        <v>129</v>
      </c>
      <c r="G2511" t="s">
        <v>128</v>
      </c>
      <c r="H2511" t="s">
        <v>357</v>
      </c>
      <c r="I2511" t="s">
        <v>288</v>
      </c>
      <c r="J2511" t="s">
        <v>288</v>
      </c>
      <c r="K2511" t="s">
        <v>57</v>
      </c>
    </row>
    <row r="2512" spans="1:11" x14ac:dyDescent="0.35">
      <c r="A2512" t="s">
        <v>3011</v>
      </c>
      <c r="B2512">
        <v>2025</v>
      </c>
      <c r="C2512" t="s">
        <v>1398</v>
      </c>
      <c r="D2512" t="s">
        <v>85</v>
      </c>
      <c r="E2512" t="s">
        <v>117</v>
      </c>
      <c r="F2512" t="s">
        <v>131</v>
      </c>
      <c r="G2512" t="s">
        <v>128</v>
      </c>
      <c r="H2512" t="s">
        <v>357</v>
      </c>
      <c r="I2512" t="s">
        <v>289</v>
      </c>
      <c r="J2512" t="s">
        <v>347</v>
      </c>
      <c r="K2512" t="s">
        <v>57</v>
      </c>
    </row>
    <row r="2513" spans="1:11" x14ac:dyDescent="0.35">
      <c r="A2513" t="s">
        <v>3012</v>
      </c>
      <c r="B2513">
        <v>2025</v>
      </c>
      <c r="C2513" t="s">
        <v>1398</v>
      </c>
      <c r="D2513" t="s">
        <v>76</v>
      </c>
      <c r="E2513" t="s">
        <v>360</v>
      </c>
      <c r="F2513" t="s">
        <v>127</v>
      </c>
      <c r="G2513" t="s">
        <v>128</v>
      </c>
      <c r="H2513" t="s">
        <v>357</v>
      </c>
      <c r="I2513" t="s">
        <v>77</v>
      </c>
      <c r="J2513" t="s">
        <v>288</v>
      </c>
      <c r="K2513" t="s">
        <v>57</v>
      </c>
    </row>
    <row r="2514" spans="1:11" x14ac:dyDescent="0.35">
      <c r="A2514" t="s">
        <v>3013</v>
      </c>
      <c r="B2514">
        <v>2025</v>
      </c>
      <c r="C2514" t="s">
        <v>1398</v>
      </c>
      <c r="D2514" t="s">
        <v>76</v>
      </c>
      <c r="E2514" t="s">
        <v>107</v>
      </c>
      <c r="F2514" t="s">
        <v>125</v>
      </c>
      <c r="G2514" t="s">
        <v>130</v>
      </c>
      <c r="H2514" t="s">
        <v>285</v>
      </c>
      <c r="I2514" t="s">
        <v>77</v>
      </c>
      <c r="J2514" t="s">
        <v>405</v>
      </c>
      <c r="K2514" t="s">
        <v>57</v>
      </c>
    </row>
    <row r="2515" spans="1:11" x14ac:dyDescent="0.35">
      <c r="A2515" t="s">
        <v>3014</v>
      </c>
      <c r="B2515">
        <v>2025</v>
      </c>
      <c r="C2515" t="s">
        <v>1398</v>
      </c>
      <c r="D2515" t="s">
        <v>76</v>
      </c>
      <c r="E2515" t="s">
        <v>107</v>
      </c>
      <c r="F2515" t="s">
        <v>127</v>
      </c>
      <c r="G2515" t="s">
        <v>126</v>
      </c>
      <c r="H2515" t="s">
        <v>285</v>
      </c>
      <c r="I2515" t="s">
        <v>86</v>
      </c>
      <c r="J2515" t="s">
        <v>308</v>
      </c>
      <c r="K2515" t="s">
        <v>42</v>
      </c>
    </row>
    <row r="2516" spans="1:11" x14ac:dyDescent="0.35">
      <c r="A2516" t="s">
        <v>3015</v>
      </c>
      <c r="B2516">
        <v>2025</v>
      </c>
      <c r="C2516" t="s">
        <v>1398</v>
      </c>
      <c r="D2516" t="s">
        <v>76</v>
      </c>
      <c r="E2516" t="s">
        <v>108</v>
      </c>
      <c r="F2516" t="s">
        <v>125</v>
      </c>
      <c r="G2516" t="s">
        <v>128</v>
      </c>
      <c r="H2516" t="s">
        <v>285</v>
      </c>
      <c r="I2516" t="s">
        <v>86</v>
      </c>
      <c r="J2516" t="s">
        <v>409</v>
      </c>
      <c r="K2516" t="s">
        <v>57</v>
      </c>
    </row>
    <row r="2517" spans="1:11" x14ac:dyDescent="0.35">
      <c r="A2517" t="s">
        <v>3016</v>
      </c>
      <c r="B2517">
        <v>2025</v>
      </c>
      <c r="C2517" t="s">
        <v>1398</v>
      </c>
      <c r="D2517" t="s">
        <v>85</v>
      </c>
      <c r="E2517" t="s">
        <v>117</v>
      </c>
      <c r="F2517" t="s">
        <v>129</v>
      </c>
      <c r="G2517" t="s">
        <v>128</v>
      </c>
      <c r="H2517" t="s">
        <v>357</v>
      </c>
      <c r="I2517" t="s">
        <v>77</v>
      </c>
      <c r="J2517" t="s">
        <v>447</v>
      </c>
      <c r="K2517" t="s">
        <v>57</v>
      </c>
    </row>
    <row r="2518" spans="1:11" x14ac:dyDescent="0.35">
      <c r="A2518" t="s">
        <v>3017</v>
      </c>
      <c r="B2518">
        <v>2025</v>
      </c>
      <c r="C2518" t="s">
        <v>1398</v>
      </c>
      <c r="D2518" t="s">
        <v>76</v>
      </c>
      <c r="E2518" t="s">
        <v>360</v>
      </c>
      <c r="F2518" t="s">
        <v>131</v>
      </c>
      <c r="G2518" t="s">
        <v>128</v>
      </c>
      <c r="H2518" t="s">
        <v>357</v>
      </c>
      <c r="I2518" t="s">
        <v>77</v>
      </c>
      <c r="J2518" t="s">
        <v>286</v>
      </c>
      <c r="K2518" t="s">
        <v>57</v>
      </c>
    </row>
    <row r="2519" spans="1:11" x14ac:dyDescent="0.35">
      <c r="A2519" t="s">
        <v>3018</v>
      </c>
      <c r="B2519">
        <v>2025</v>
      </c>
      <c r="C2519" t="s">
        <v>1398</v>
      </c>
      <c r="D2519" t="s">
        <v>76</v>
      </c>
      <c r="E2519" t="s">
        <v>109</v>
      </c>
      <c r="F2519" t="s">
        <v>129</v>
      </c>
      <c r="G2519" t="s">
        <v>126</v>
      </c>
      <c r="H2519" t="s">
        <v>285</v>
      </c>
      <c r="I2519" t="s">
        <v>535</v>
      </c>
      <c r="J2519" t="s">
        <v>286</v>
      </c>
      <c r="K2519" t="s">
        <v>57</v>
      </c>
    </row>
    <row r="2520" spans="1:11" x14ac:dyDescent="0.35">
      <c r="A2520" t="s">
        <v>3019</v>
      </c>
      <c r="B2520">
        <v>2025</v>
      </c>
      <c r="C2520" t="s">
        <v>1398</v>
      </c>
      <c r="D2520" t="s">
        <v>76</v>
      </c>
      <c r="E2520" t="s">
        <v>360</v>
      </c>
      <c r="F2520" t="s">
        <v>127</v>
      </c>
      <c r="G2520" t="s">
        <v>126</v>
      </c>
      <c r="H2520" t="s">
        <v>357</v>
      </c>
      <c r="I2520" t="s">
        <v>86</v>
      </c>
      <c r="J2520" t="s">
        <v>286</v>
      </c>
      <c r="K2520" t="s">
        <v>57</v>
      </c>
    </row>
    <row r="2521" spans="1:11" x14ac:dyDescent="0.35">
      <c r="A2521" t="s">
        <v>3020</v>
      </c>
      <c r="B2521">
        <v>2025</v>
      </c>
      <c r="C2521" t="s">
        <v>1398</v>
      </c>
      <c r="D2521" t="s">
        <v>76</v>
      </c>
      <c r="E2521" t="s">
        <v>107</v>
      </c>
      <c r="F2521" t="s">
        <v>125</v>
      </c>
      <c r="G2521" t="s">
        <v>128</v>
      </c>
      <c r="H2521" t="s">
        <v>285</v>
      </c>
      <c r="I2521" t="s">
        <v>77</v>
      </c>
      <c r="J2521" t="s">
        <v>308</v>
      </c>
      <c r="K2521" t="s">
        <v>42</v>
      </c>
    </row>
    <row r="2522" spans="1:11" x14ac:dyDescent="0.35">
      <c r="A2522" t="s">
        <v>3021</v>
      </c>
      <c r="B2522">
        <v>2025</v>
      </c>
      <c r="C2522" t="s">
        <v>1398</v>
      </c>
      <c r="D2522" t="s">
        <v>76</v>
      </c>
      <c r="E2522" t="s">
        <v>118</v>
      </c>
      <c r="F2522" t="s">
        <v>129</v>
      </c>
      <c r="G2522" t="s">
        <v>128</v>
      </c>
      <c r="H2522" t="s">
        <v>285</v>
      </c>
      <c r="I2522" t="s">
        <v>77</v>
      </c>
      <c r="J2522" t="s">
        <v>286</v>
      </c>
      <c r="K2522" t="s">
        <v>57</v>
      </c>
    </row>
    <row r="2523" spans="1:11" x14ac:dyDescent="0.35">
      <c r="A2523" t="s">
        <v>3022</v>
      </c>
      <c r="B2523">
        <v>2025</v>
      </c>
      <c r="C2523" t="s">
        <v>1398</v>
      </c>
      <c r="D2523" t="s">
        <v>85</v>
      </c>
      <c r="E2523" t="s">
        <v>117</v>
      </c>
      <c r="F2523" t="s">
        <v>288</v>
      </c>
      <c r="G2523" t="s">
        <v>132</v>
      </c>
      <c r="H2523" t="s">
        <v>357</v>
      </c>
      <c r="I2523" t="s">
        <v>289</v>
      </c>
      <c r="J2523" t="s">
        <v>286</v>
      </c>
      <c r="K2523" t="s">
        <v>57</v>
      </c>
    </row>
    <row r="2524" spans="1:11" x14ac:dyDescent="0.35">
      <c r="A2524" t="s">
        <v>3023</v>
      </c>
      <c r="B2524">
        <v>2025</v>
      </c>
      <c r="C2524" t="s">
        <v>1398</v>
      </c>
      <c r="D2524" t="s">
        <v>85</v>
      </c>
      <c r="E2524" t="s">
        <v>116</v>
      </c>
      <c r="F2524" t="s">
        <v>125</v>
      </c>
      <c r="G2524" t="s">
        <v>128</v>
      </c>
      <c r="H2524" t="s">
        <v>285</v>
      </c>
      <c r="I2524" t="s">
        <v>333</v>
      </c>
      <c r="J2524" t="s">
        <v>286</v>
      </c>
      <c r="K2524" t="s">
        <v>57</v>
      </c>
    </row>
    <row r="2525" spans="1:11" x14ac:dyDescent="0.35">
      <c r="A2525" t="s">
        <v>3024</v>
      </c>
      <c r="B2525">
        <v>2025</v>
      </c>
      <c r="C2525" t="s">
        <v>1398</v>
      </c>
      <c r="D2525" t="s">
        <v>85</v>
      </c>
      <c r="E2525" t="s">
        <v>116</v>
      </c>
      <c r="F2525" t="s">
        <v>129</v>
      </c>
      <c r="G2525" t="s">
        <v>128</v>
      </c>
      <c r="H2525" t="s">
        <v>285</v>
      </c>
      <c r="I2525" t="s">
        <v>337</v>
      </c>
      <c r="J2525" t="s">
        <v>286</v>
      </c>
      <c r="K2525" t="s">
        <v>57</v>
      </c>
    </row>
    <row r="2526" spans="1:11" x14ac:dyDescent="0.35">
      <c r="A2526" t="s">
        <v>3025</v>
      </c>
      <c r="B2526">
        <v>2025</v>
      </c>
      <c r="C2526" t="s">
        <v>1398</v>
      </c>
      <c r="D2526" t="s">
        <v>85</v>
      </c>
      <c r="E2526" t="s">
        <v>117</v>
      </c>
      <c r="F2526" t="s">
        <v>125</v>
      </c>
      <c r="G2526" t="s">
        <v>128</v>
      </c>
      <c r="H2526" t="s">
        <v>357</v>
      </c>
      <c r="I2526" t="s">
        <v>289</v>
      </c>
      <c r="J2526" t="s">
        <v>331</v>
      </c>
      <c r="K2526" t="s">
        <v>42</v>
      </c>
    </row>
    <row r="2527" spans="1:11" x14ac:dyDescent="0.35">
      <c r="A2527" t="s">
        <v>3026</v>
      </c>
      <c r="B2527">
        <v>2025</v>
      </c>
      <c r="C2527" t="s">
        <v>1398</v>
      </c>
      <c r="D2527" t="s">
        <v>76</v>
      </c>
      <c r="E2527" t="s">
        <v>108</v>
      </c>
      <c r="F2527" t="s">
        <v>127</v>
      </c>
      <c r="G2527" t="s">
        <v>128</v>
      </c>
      <c r="H2527" t="s">
        <v>357</v>
      </c>
      <c r="I2527" t="s">
        <v>86</v>
      </c>
      <c r="J2527" t="s">
        <v>317</v>
      </c>
      <c r="K2527" t="s">
        <v>57</v>
      </c>
    </row>
    <row r="2528" spans="1:11" x14ac:dyDescent="0.35">
      <c r="A2528" t="s">
        <v>3027</v>
      </c>
      <c r="B2528">
        <v>2025</v>
      </c>
      <c r="C2528" t="s">
        <v>1398</v>
      </c>
      <c r="D2528" t="s">
        <v>85</v>
      </c>
      <c r="E2528" t="s">
        <v>116</v>
      </c>
      <c r="F2528" t="s">
        <v>129</v>
      </c>
      <c r="G2528" t="s">
        <v>128</v>
      </c>
      <c r="H2528" t="s">
        <v>285</v>
      </c>
      <c r="I2528" t="s">
        <v>289</v>
      </c>
      <c r="J2528" t="s">
        <v>286</v>
      </c>
      <c r="K2528" t="s">
        <v>57</v>
      </c>
    </row>
    <row r="2529" spans="1:11" x14ac:dyDescent="0.35">
      <c r="A2529" t="s">
        <v>3028</v>
      </c>
      <c r="B2529">
        <v>2025</v>
      </c>
      <c r="C2529" t="s">
        <v>1398</v>
      </c>
      <c r="D2529" t="s">
        <v>76</v>
      </c>
      <c r="E2529" t="s">
        <v>107</v>
      </c>
      <c r="F2529" t="s">
        <v>131</v>
      </c>
      <c r="G2529" t="s">
        <v>132</v>
      </c>
      <c r="H2529" t="s">
        <v>285</v>
      </c>
      <c r="I2529" t="s">
        <v>433</v>
      </c>
      <c r="J2529" t="s">
        <v>3029</v>
      </c>
      <c r="K2529" t="s">
        <v>42</v>
      </c>
    </row>
    <row r="2530" spans="1:11" x14ac:dyDescent="0.35">
      <c r="A2530" t="s">
        <v>3030</v>
      </c>
      <c r="B2530">
        <v>2025</v>
      </c>
      <c r="C2530" t="s">
        <v>1398</v>
      </c>
      <c r="D2530" t="s">
        <v>76</v>
      </c>
      <c r="E2530" t="s">
        <v>108</v>
      </c>
      <c r="F2530" t="s">
        <v>125</v>
      </c>
      <c r="G2530" t="s">
        <v>128</v>
      </c>
      <c r="H2530" t="s">
        <v>285</v>
      </c>
      <c r="I2530" t="s">
        <v>86</v>
      </c>
      <c r="J2530" t="s">
        <v>286</v>
      </c>
      <c r="K2530" t="s">
        <v>57</v>
      </c>
    </row>
    <row r="2531" spans="1:11" x14ac:dyDescent="0.35">
      <c r="A2531" t="s">
        <v>3031</v>
      </c>
      <c r="B2531">
        <v>2025</v>
      </c>
      <c r="C2531" t="s">
        <v>1398</v>
      </c>
      <c r="D2531" t="s">
        <v>85</v>
      </c>
      <c r="E2531" t="s">
        <v>117</v>
      </c>
      <c r="F2531" t="s">
        <v>131</v>
      </c>
      <c r="G2531" t="s">
        <v>128</v>
      </c>
      <c r="H2531" t="s">
        <v>305</v>
      </c>
      <c r="I2531" t="s">
        <v>289</v>
      </c>
      <c r="J2531" t="s">
        <v>571</v>
      </c>
      <c r="K2531" t="s">
        <v>42</v>
      </c>
    </row>
    <row r="2532" spans="1:11" x14ac:dyDescent="0.35">
      <c r="A2532" t="s">
        <v>3032</v>
      </c>
      <c r="B2532">
        <v>2025</v>
      </c>
      <c r="C2532" t="s">
        <v>1398</v>
      </c>
      <c r="D2532" t="s">
        <v>85</v>
      </c>
      <c r="E2532" t="s">
        <v>116</v>
      </c>
      <c r="F2532" t="s">
        <v>129</v>
      </c>
      <c r="G2532" t="s">
        <v>126</v>
      </c>
      <c r="H2532" t="s">
        <v>285</v>
      </c>
      <c r="I2532" t="s">
        <v>288</v>
      </c>
      <c r="J2532" t="s">
        <v>288</v>
      </c>
      <c r="K2532" t="s">
        <v>57</v>
      </c>
    </row>
    <row r="2533" spans="1:11" x14ac:dyDescent="0.35">
      <c r="A2533" t="s">
        <v>3033</v>
      </c>
      <c r="B2533">
        <v>2025</v>
      </c>
      <c r="C2533" t="s">
        <v>1398</v>
      </c>
      <c r="D2533" t="s">
        <v>85</v>
      </c>
      <c r="E2533" t="s">
        <v>117</v>
      </c>
      <c r="F2533" t="s">
        <v>129</v>
      </c>
      <c r="G2533" t="s">
        <v>128</v>
      </c>
      <c r="H2533" t="s">
        <v>357</v>
      </c>
      <c r="I2533" t="s">
        <v>288</v>
      </c>
      <c r="J2533" t="s">
        <v>288</v>
      </c>
      <c r="K2533" t="s">
        <v>57</v>
      </c>
    </row>
    <row r="2534" spans="1:11" x14ac:dyDescent="0.35">
      <c r="A2534" t="s">
        <v>3034</v>
      </c>
      <c r="B2534">
        <v>2025</v>
      </c>
      <c r="C2534" t="s">
        <v>1398</v>
      </c>
      <c r="D2534" t="s">
        <v>76</v>
      </c>
      <c r="E2534" t="s">
        <v>107</v>
      </c>
      <c r="F2534" t="s">
        <v>125</v>
      </c>
      <c r="G2534" t="s">
        <v>126</v>
      </c>
      <c r="H2534" t="s">
        <v>285</v>
      </c>
      <c r="I2534" t="s">
        <v>289</v>
      </c>
      <c r="J2534" t="s">
        <v>317</v>
      </c>
      <c r="K2534" t="s">
        <v>57</v>
      </c>
    </row>
    <row r="2535" spans="1:11" x14ac:dyDescent="0.35">
      <c r="A2535" t="s">
        <v>3035</v>
      </c>
      <c r="B2535">
        <v>2025</v>
      </c>
      <c r="C2535" t="s">
        <v>1398</v>
      </c>
      <c r="D2535" t="s">
        <v>85</v>
      </c>
      <c r="E2535" t="s">
        <v>377</v>
      </c>
      <c r="F2535" t="s">
        <v>131</v>
      </c>
      <c r="G2535" t="s">
        <v>126</v>
      </c>
      <c r="H2535" t="s">
        <v>305</v>
      </c>
      <c r="I2535" t="s">
        <v>77</v>
      </c>
      <c r="J2535" t="s">
        <v>317</v>
      </c>
      <c r="K2535" t="s">
        <v>57</v>
      </c>
    </row>
    <row r="2536" spans="1:11" x14ac:dyDescent="0.35">
      <c r="A2536" t="s">
        <v>3036</v>
      </c>
      <c r="B2536">
        <v>2025</v>
      </c>
      <c r="C2536" t="s">
        <v>1398</v>
      </c>
      <c r="D2536" t="s">
        <v>76</v>
      </c>
      <c r="E2536" t="s">
        <v>107</v>
      </c>
      <c r="F2536" t="s">
        <v>125</v>
      </c>
      <c r="G2536" t="s">
        <v>130</v>
      </c>
      <c r="H2536" t="s">
        <v>285</v>
      </c>
      <c r="I2536" t="s">
        <v>86</v>
      </c>
      <c r="J2536" t="s">
        <v>286</v>
      </c>
      <c r="K2536" t="s">
        <v>57</v>
      </c>
    </row>
    <row r="2537" spans="1:11" x14ac:dyDescent="0.35">
      <c r="A2537" t="s">
        <v>3037</v>
      </c>
      <c r="B2537">
        <v>2025</v>
      </c>
      <c r="C2537" t="s">
        <v>1398</v>
      </c>
      <c r="D2537" t="s">
        <v>85</v>
      </c>
      <c r="E2537" t="s">
        <v>116</v>
      </c>
      <c r="F2537" t="s">
        <v>129</v>
      </c>
      <c r="G2537" t="s">
        <v>132</v>
      </c>
      <c r="H2537" t="s">
        <v>357</v>
      </c>
      <c r="I2537" t="s">
        <v>333</v>
      </c>
      <c r="J2537" t="s">
        <v>286</v>
      </c>
      <c r="K2537" t="s">
        <v>57</v>
      </c>
    </row>
    <row r="2538" spans="1:11" x14ac:dyDescent="0.35">
      <c r="A2538" t="s">
        <v>3038</v>
      </c>
      <c r="B2538">
        <v>2025</v>
      </c>
      <c r="C2538" t="s">
        <v>1398</v>
      </c>
      <c r="D2538" t="s">
        <v>76</v>
      </c>
      <c r="E2538" t="s">
        <v>360</v>
      </c>
      <c r="F2538" t="s">
        <v>125</v>
      </c>
      <c r="G2538" t="s">
        <v>132</v>
      </c>
      <c r="H2538" t="s">
        <v>357</v>
      </c>
      <c r="I2538" t="s">
        <v>77</v>
      </c>
      <c r="J2538" t="s">
        <v>286</v>
      </c>
      <c r="K2538" t="s">
        <v>57</v>
      </c>
    </row>
    <row r="2539" spans="1:11" x14ac:dyDescent="0.35">
      <c r="A2539" t="s">
        <v>3039</v>
      </c>
      <c r="B2539">
        <v>2025</v>
      </c>
      <c r="C2539" t="s">
        <v>1398</v>
      </c>
      <c r="D2539" t="s">
        <v>85</v>
      </c>
      <c r="E2539" t="s">
        <v>116</v>
      </c>
      <c r="F2539" t="s">
        <v>131</v>
      </c>
      <c r="G2539" t="s">
        <v>132</v>
      </c>
      <c r="H2539" t="s">
        <v>285</v>
      </c>
      <c r="I2539" t="s">
        <v>77</v>
      </c>
      <c r="J2539" t="s">
        <v>286</v>
      </c>
      <c r="K2539" t="s">
        <v>57</v>
      </c>
    </row>
    <row r="2540" spans="1:11" x14ac:dyDescent="0.35">
      <c r="A2540" t="s">
        <v>3040</v>
      </c>
      <c r="B2540">
        <v>2025</v>
      </c>
      <c r="C2540" t="s">
        <v>1398</v>
      </c>
      <c r="D2540" t="s">
        <v>76</v>
      </c>
      <c r="E2540" t="s">
        <v>360</v>
      </c>
      <c r="F2540" t="s">
        <v>129</v>
      </c>
      <c r="G2540" t="s">
        <v>128</v>
      </c>
      <c r="H2540" t="s">
        <v>357</v>
      </c>
      <c r="I2540" t="s">
        <v>86</v>
      </c>
      <c r="J2540" t="s">
        <v>317</v>
      </c>
      <c r="K2540" t="s">
        <v>57</v>
      </c>
    </row>
    <row r="2541" spans="1:11" x14ac:dyDescent="0.35">
      <c r="A2541" t="s">
        <v>3041</v>
      </c>
      <c r="B2541">
        <v>2025</v>
      </c>
      <c r="C2541" t="s">
        <v>1398</v>
      </c>
      <c r="D2541" t="s">
        <v>76</v>
      </c>
      <c r="E2541" t="s">
        <v>115</v>
      </c>
      <c r="F2541" t="s">
        <v>131</v>
      </c>
      <c r="G2541" t="s">
        <v>132</v>
      </c>
      <c r="H2541" t="s">
        <v>357</v>
      </c>
      <c r="I2541" t="s">
        <v>3042</v>
      </c>
      <c r="J2541" t="s">
        <v>515</v>
      </c>
      <c r="K2541" t="s">
        <v>57</v>
      </c>
    </row>
    <row r="2542" spans="1:11" x14ac:dyDescent="0.35">
      <c r="A2542" t="s">
        <v>3043</v>
      </c>
      <c r="B2542">
        <v>2025</v>
      </c>
      <c r="C2542" t="s">
        <v>1398</v>
      </c>
      <c r="D2542" t="s">
        <v>76</v>
      </c>
      <c r="E2542" t="s">
        <v>118</v>
      </c>
      <c r="F2542" t="s">
        <v>127</v>
      </c>
      <c r="G2542" t="s">
        <v>130</v>
      </c>
      <c r="H2542" t="s">
        <v>285</v>
      </c>
      <c r="I2542" t="s">
        <v>333</v>
      </c>
      <c r="J2542" t="s">
        <v>286</v>
      </c>
      <c r="K2542" t="s">
        <v>57</v>
      </c>
    </row>
    <row r="2543" spans="1:11" x14ac:dyDescent="0.35">
      <c r="A2543" t="s">
        <v>3044</v>
      </c>
      <c r="B2543">
        <v>2025</v>
      </c>
      <c r="C2543" t="s">
        <v>1398</v>
      </c>
      <c r="D2543" t="s">
        <v>76</v>
      </c>
      <c r="E2543" t="s">
        <v>115</v>
      </c>
      <c r="F2543" t="s">
        <v>127</v>
      </c>
      <c r="G2543" t="s">
        <v>128</v>
      </c>
      <c r="H2543" t="s">
        <v>357</v>
      </c>
      <c r="I2543" t="s">
        <v>288</v>
      </c>
      <c r="J2543" t="s">
        <v>286</v>
      </c>
      <c r="K2543" t="s">
        <v>57</v>
      </c>
    </row>
    <row r="2544" spans="1:11" x14ac:dyDescent="0.35">
      <c r="A2544" t="s">
        <v>3045</v>
      </c>
      <c r="B2544">
        <v>2025</v>
      </c>
      <c r="C2544" t="s">
        <v>1398</v>
      </c>
      <c r="D2544" t="s">
        <v>85</v>
      </c>
      <c r="E2544" t="s">
        <v>120</v>
      </c>
      <c r="F2544" t="s">
        <v>127</v>
      </c>
      <c r="G2544" t="s">
        <v>132</v>
      </c>
      <c r="H2544" t="s">
        <v>357</v>
      </c>
      <c r="I2544" t="s">
        <v>77</v>
      </c>
      <c r="J2544" t="s">
        <v>288</v>
      </c>
      <c r="K2544" t="s">
        <v>57</v>
      </c>
    </row>
    <row r="2545" spans="1:11" x14ac:dyDescent="0.35">
      <c r="A2545" t="s">
        <v>3046</v>
      </c>
      <c r="B2545">
        <v>2025</v>
      </c>
      <c r="C2545" t="s">
        <v>1398</v>
      </c>
      <c r="D2545" t="s">
        <v>76</v>
      </c>
      <c r="E2545" t="s">
        <v>115</v>
      </c>
      <c r="F2545" t="s">
        <v>129</v>
      </c>
      <c r="G2545" t="s">
        <v>130</v>
      </c>
      <c r="H2545" t="s">
        <v>357</v>
      </c>
      <c r="I2545" t="s">
        <v>86</v>
      </c>
      <c r="J2545" t="s">
        <v>515</v>
      </c>
      <c r="K2545" t="s">
        <v>57</v>
      </c>
    </row>
    <row r="2546" spans="1:11" x14ac:dyDescent="0.35">
      <c r="A2546" t="s">
        <v>3047</v>
      </c>
      <c r="B2546">
        <v>2025</v>
      </c>
      <c r="C2546" t="s">
        <v>1398</v>
      </c>
      <c r="D2546" t="s">
        <v>76</v>
      </c>
      <c r="E2546" t="s">
        <v>107</v>
      </c>
      <c r="F2546" t="s">
        <v>125</v>
      </c>
      <c r="G2546" t="s">
        <v>128</v>
      </c>
      <c r="H2546" t="s">
        <v>285</v>
      </c>
      <c r="I2546" t="s">
        <v>77</v>
      </c>
      <c r="J2546" t="s">
        <v>286</v>
      </c>
      <c r="K2546" t="s">
        <v>57</v>
      </c>
    </row>
    <row r="2547" spans="1:11" x14ac:dyDescent="0.35">
      <c r="A2547" t="s">
        <v>3048</v>
      </c>
      <c r="B2547">
        <v>2025</v>
      </c>
      <c r="C2547" t="s">
        <v>1398</v>
      </c>
      <c r="D2547" t="s">
        <v>85</v>
      </c>
      <c r="E2547" t="s">
        <v>117</v>
      </c>
      <c r="F2547" t="s">
        <v>131</v>
      </c>
      <c r="G2547" t="s">
        <v>128</v>
      </c>
      <c r="H2547" t="s">
        <v>357</v>
      </c>
      <c r="I2547" t="s">
        <v>289</v>
      </c>
      <c r="J2547" t="s">
        <v>347</v>
      </c>
      <c r="K2547" t="s">
        <v>57</v>
      </c>
    </row>
    <row r="2548" spans="1:11" x14ac:dyDescent="0.35">
      <c r="A2548" t="s">
        <v>3049</v>
      </c>
      <c r="B2548">
        <v>2025</v>
      </c>
      <c r="C2548" t="s">
        <v>1398</v>
      </c>
      <c r="D2548" t="s">
        <v>76</v>
      </c>
      <c r="E2548" t="s">
        <v>115</v>
      </c>
      <c r="F2548" t="s">
        <v>125</v>
      </c>
      <c r="G2548" t="s">
        <v>126</v>
      </c>
      <c r="H2548" t="s">
        <v>285</v>
      </c>
      <c r="I2548" t="s">
        <v>289</v>
      </c>
      <c r="J2548" t="s">
        <v>286</v>
      </c>
      <c r="K2548" t="s">
        <v>57</v>
      </c>
    </row>
    <row r="2549" spans="1:11" x14ac:dyDescent="0.35">
      <c r="A2549" t="s">
        <v>3050</v>
      </c>
      <c r="B2549">
        <v>2025</v>
      </c>
      <c r="C2549" t="s">
        <v>1398</v>
      </c>
      <c r="D2549" t="s">
        <v>76</v>
      </c>
      <c r="E2549" t="s">
        <v>110</v>
      </c>
      <c r="F2549" t="s">
        <v>127</v>
      </c>
      <c r="G2549" t="s">
        <v>128</v>
      </c>
      <c r="H2549" t="s">
        <v>285</v>
      </c>
      <c r="I2549" t="s">
        <v>86</v>
      </c>
      <c r="J2549" t="s">
        <v>361</v>
      </c>
      <c r="K2549" t="s">
        <v>57</v>
      </c>
    </row>
    <row r="2550" spans="1:11" x14ac:dyDescent="0.35">
      <c r="A2550" t="s">
        <v>3051</v>
      </c>
      <c r="B2550">
        <v>2025</v>
      </c>
      <c r="C2550" t="s">
        <v>1398</v>
      </c>
      <c r="D2550" t="s">
        <v>85</v>
      </c>
      <c r="E2550" t="s">
        <v>117</v>
      </c>
      <c r="F2550" t="s">
        <v>288</v>
      </c>
      <c r="G2550" t="s">
        <v>132</v>
      </c>
      <c r="H2550" t="s">
        <v>357</v>
      </c>
      <c r="I2550" t="s">
        <v>288</v>
      </c>
      <c r="J2550" t="s">
        <v>288</v>
      </c>
      <c r="K2550" t="s">
        <v>57</v>
      </c>
    </row>
    <row r="2551" spans="1:11" x14ac:dyDescent="0.35">
      <c r="A2551" t="s">
        <v>3052</v>
      </c>
      <c r="B2551">
        <v>2025</v>
      </c>
      <c r="C2551" t="s">
        <v>1398</v>
      </c>
      <c r="D2551" t="s">
        <v>76</v>
      </c>
      <c r="E2551" t="s">
        <v>119</v>
      </c>
      <c r="F2551" t="s">
        <v>125</v>
      </c>
      <c r="G2551" t="s">
        <v>126</v>
      </c>
      <c r="H2551" t="s">
        <v>285</v>
      </c>
      <c r="I2551" t="s">
        <v>86</v>
      </c>
      <c r="J2551" t="s">
        <v>308</v>
      </c>
      <c r="K2551" t="s">
        <v>42</v>
      </c>
    </row>
    <row r="2552" spans="1:11" x14ac:dyDescent="0.35">
      <c r="A2552" t="s">
        <v>3053</v>
      </c>
      <c r="B2552">
        <v>2025</v>
      </c>
      <c r="C2552" t="s">
        <v>1398</v>
      </c>
      <c r="D2552" t="s">
        <v>85</v>
      </c>
      <c r="E2552" t="s">
        <v>120</v>
      </c>
      <c r="F2552" t="s">
        <v>129</v>
      </c>
      <c r="G2552" t="s">
        <v>128</v>
      </c>
      <c r="H2552" t="s">
        <v>305</v>
      </c>
      <c r="I2552" t="s">
        <v>77</v>
      </c>
      <c r="J2552" t="s">
        <v>286</v>
      </c>
      <c r="K2552" t="s">
        <v>57</v>
      </c>
    </row>
    <row r="2553" spans="1:11" x14ac:dyDescent="0.35">
      <c r="A2553" t="s">
        <v>3054</v>
      </c>
      <c r="B2553">
        <v>2025</v>
      </c>
      <c r="C2553" t="s">
        <v>1398</v>
      </c>
      <c r="D2553" t="s">
        <v>85</v>
      </c>
      <c r="E2553" t="s">
        <v>117</v>
      </c>
      <c r="F2553" t="s">
        <v>288</v>
      </c>
      <c r="G2553" t="s">
        <v>132</v>
      </c>
      <c r="H2553" t="s">
        <v>357</v>
      </c>
      <c r="I2553" t="s">
        <v>288</v>
      </c>
      <c r="J2553" t="s">
        <v>288</v>
      </c>
      <c r="K2553" t="s">
        <v>57</v>
      </c>
    </row>
    <row r="2554" spans="1:11" x14ac:dyDescent="0.35">
      <c r="A2554" t="s">
        <v>3055</v>
      </c>
      <c r="B2554">
        <v>2025</v>
      </c>
      <c r="C2554" t="s">
        <v>1398</v>
      </c>
      <c r="D2554" t="s">
        <v>76</v>
      </c>
      <c r="E2554" t="s">
        <v>119</v>
      </c>
      <c r="F2554" t="s">
        <v>125</v>
      </c>
      <c r="G2554" t="s">
        <v>128</v>
      </c>
      <c r="H2554" t="s">
        <v>357</v>
      </c>
      <c r="I2554" t="s">
        <v>1110</v>
      </c>
      <c r="J2554" t="s">
        <v>286</v>
      </c>
      <c r="K2554" t="s">
        <v>57</v>
      </c>
    </row>
    <row r="2555" spans="1:11" x14ac:dyDescent="0.35">
      <c r="A2555" t="s">
        <v>3056</v>
      </c>
      <c r="B2555">
        <v>2025</v>
      </c>
      <c r="C2555" t="s">
        <v>1398</v>
      </c>
      <c r="D2555" t="s">
        <v>85</v>
      </c>
      <c r="E2555" t="s">
        <v>344</v>
      </c>
      <c r="F2555" t="s">
        <v>129</v>
      </c>
      <c r="G2555" t="s">
        <v>128</v>
      </c>
      <c r="H2555" t="s">
        <v>357</v>
      </c>
      <c r="I2555" t="s">
        <v>77</v>
      </c>
      <c r="J2555" t="s">
        <v>286</v>
      </c>
      <c r="K2555" t="s">
        <v>57</v>
      </c>
    </row>
    <row r="2556" spans="1:11" x14ac:dyDescent="0.35">
      <c r="A2556" t="s">
        <v>3057</v>
      </c>
      <c r="B2556">
        <v>2025</v>
      </c>
      <c r="C2556" t="s">
        <v>1398</v>
      </c>
      <c r="D2556" t="s">
        <v>85</v>
      </c>
      <c r="E2556" t="s">
        <v>116</v>
      </c>
      <c r="F2556" t="s">
        <v>127</v>
      </c>
      <c r="G2556" t="s">
        <v>132</v>
      </c>
      <c r="H2556" t="s">
        <v>285</v>
      </c>
      <c r="I2556" t="s">
        <v>289</v>
      </c>
      <c r="J2556" t="s">
        <v>286</v>
      </c>
      <c r="K2556" t="s">
        <v>57</v>
      </c>
    </row>
    <row r="2557" spans="1:11" x14ac:dyDescent="0.35">
      <c r="A2557" t="s">
        <v>3058</v>
      </c>
      <c r="B2557">
        <v>2025</v>
      </c>
      <c r="C2557" t="s">
        <v>1398</v>
      </c>
      <c r="D2557" t="s">
        <v>85</v>
      </c>
      <c r="E2557" t="s">
        <v>377</v>
      </c>
      <c r="F2557" t="s">
        <v>127</v>
      </c>
      <c r="G2557" t="s">
        <v>126</v>
      </c>
      <c r="H2557" t="s">
        <v>357</v>
      </c>
      <c r="I2557" t="s">
        <v>77</v>
      </c>
      <c r="J2557" t="s">
        <v>288</v>
      </c>
      <c r="K2557" t="s">
        <v>57</v>
      </c>
    </row>
    <row r="2558" spans="1:11" x14ac:dyDescent="0.35">
      <c r="A2558" t="s">
        <v>3059</v>
      </c>
      <c r="B2558">
        <v>2025</v>
      </c>
      <c r="C2558" t="s">
        <v>1398</v>
      </c>
      <c r="D2558" t="s">
        <v>76</v>
      </c>
      <c r="E2558" t="s">
        <v>107</v>
      </c>
      <c r="F2558" t="s">
        <v>127</v>
      </c>
      <c r="G2558" t="s">
        <v>126</v>
      </c>
      <c r="H2558" t="s">
        <v>285</v>
      </c>
      <c r="I2558" t="s">
        <v>86</v>
      </c>
      <c r="J2558" t="s">
        <v>308</v>
      </c>
      <c r="K2558" t="s">
        <v>42</v>
      </c>
    </row>
    <row r="2559" spans="1:11" x14ac:dyDescent="0.35">
      <c r="A2559" t="s">
        <v>3060</v>
      </c>
      <c r="B2559">
        <v>2025</v>
      </c>
      <c r="C2559" t="s">
        <v>1398</v>
      </c>
      <c r="D2559" t="s">
        <v>85</v>
      </c>
      <c r="E2559" t="s">
        <v>120</v>
      </c>
      <c r="F2559" t="s">
        <v>131</v>
      </c>
      <c r="G2559" t="s">
        <v>130</v>
      </c>
      <c r="H2559" t="s">
        <v>357</v>
      </c>
      <c r="I2559" t="s">
        <v>3042</v>
      </c>
      <c r="J2559" t="s">
        <v>295</v>
      </c>
      <c r="K2559" t="s">
        <v>57</v>
      </c>
    </row>
    <row r="2560" spans="1:11" x14ac:dyDescent="0.35">
      <c r="A2560" t="s">
        <v>3061</v>
      </c>
      <c r="B2560">
        <v>2025</v>
      </c>
      <c r="C2560" t="s">
        <v>1398</v>
      </c>
      <c r="D2560" t="s">
        <v>76</v>
      </c>
      <c r="E2560" t="s">
        <v>113</v>
      </c>
      <c r="F2560" t="s">
        <v>125</v>
      </c>
      <c r="G2560" t="s">
        <v>128</v>
      </c>
      <c r="H2560" t="s">
        <v>285</v>
      </c>
      <c r="I2560" t="s">
        <v>86</v>
      </c>
      <c r="J2560" t="s">
        <v>308</v>
      </c>
      <c r="K2560" t="s">
        <v>42</v>
      </c>
    </row>
    <row r="2561" spans="1:11" x14ac:dyDescent="0.35">
      <c r="A2561" t="s">
        <v>3062</v>
      </c>
      <c r="B2561">
        <v>2025</v>
      </c>
      <c r="C2561" t="s">
        <v>1398</v>
      </c>
      <c r="D2561" t="s">
        <v>85</v>
      </c>
      <c r="E2561" t="s">
        <v>116</v>
      </c>
      <c r="F2561" t="s">
        <v>131</v>
      </c>
      <c r="G2561" t="s">
        <v>128</v>
      </c>
      <c r="H2561" t="s">
        <v>285</v>
      </c>
      <c r="I2561" t="s">
        <v>288</v>
      </c>
      <c r="J2561" t="s">
        <v>286</v>
      </c>
      <c r="K2561" t="s">
        <v>57</v>
      </c>
    </row>
    <row r="2562" spans="1:11" x14ac:dyDescent="0.35">
      <c r="A2562" t="s">
        <v>3063</v>
      </c>
      <c r="B2562">
        <v>2025</v>
      </c>
      <c r="C2562" t="s">
        <v>1398</v>
      </c>
      <c r="D2562" t="s">
        <v>76</v>
      </c>
      <c r="E2562" t="s">
        <v>110</v>
      </c>
      <c r="F2562" t="s">
        <v>129</v>
      </c>
      <c r="G2562" t="s">
        <v>128</v>
      </c>
      <c r="H2562" t="s">
        <v>285</v>
      </c>
      <c r="I2562" t="s">
        <v>86</v>
      </c>
      <c r="J2562" t="s">
        <v>286</v>
      </c>
      <c r="K2562" t="s">
        <v>57</v>
      </c>
    </row>
    <row r="2563" spans="1:11" x14ac:dyDescent="0.35">
      <c r="A2563" t="s">
        <v>3064</v>
      </c>
      <c r="B2563">
        <v>2025</v>
      </c>
      <c r="C2563" t="s">
        <v>1398</v>
      </c>
      <c r="D2563" t="s">
        <v>85</v>
      </c>
      <c r="E2563" t="s">
        <v>117</v>
      </c>
      <c r="F2563" t="s">
        <v>134</v>
      </c>
      <c r="G2563" t="s">
        <v>128</v>
      </c>
      <c r="H2563" t="s">
        <v>305</v>
      </c>
      <c r="I2563" t="s">
        <v>77</v>
      </c>
      <c r="J2563" t="s">
        <v>286</v>
      </c>
      <c r="K2563" t="s">
        <v>57</v>
      </c>
    </row>
    <row r="2564" spans="1:11" x14ac:dyDescent="0.35">
      <c r="A2564" t="s">
        <v>3065</v>
      </c>
      <c r="B2564">
        <v>2025</v>
      </c>
      <c r="C2564" t="s">
        <v>1398</v>
      </c>
      <c r="D2564" t="s">
        <v>85</v>
      </c>
      <c r="E2564" t="s">
        <v>117</v>
      </c>
      <c r="F2564" t="s">
        <v>127</v>
      </c>
      <c r="G2564" t="s">
        <v>128</v>
      </c>
      <c r="H2564" t="s">
        <v>357</v>
      </c>
      <c r="I2564" t="s">
        <v>86</v>
      </c>
      <c r="J2564" t="s">
        <v>3066</v>
      </c>
      <c r="K2564" t="s">
        <v>42</v>
      </c>
    </row>
    <row r="2565" spans="1:11" x14ac:dyDescent="0.35">
      <c r="A2565" t="s">
        <v>3067</v>
      </c>
      <c r="B2565">
        <v>2025</v>
      </c>
      <c r="C2565" t="s">
        <v>1398</v>
      </c>
      <c r="D2565" t="s">
        <v>76</v>
      </c>
      <c r="E2565" t="s">
        <v>115</v>
      </c>
      <c r="F2565" t="s">
        <v>131</v>
      </c>
      <c r="G2565" t="s">
        <v>132</v>
      </c>
      <c r="H2565" t="s">
        <v>357</v>
      </c>
      <c r="I2565" t="s">
        <v>77</v>
      </c>
      <c r="J2565" t="s">
        <v>286</v>
      </c>
      <c r="K2565" t="s">
        <v>57</v>
      </c>
    </row>
    <row r="2566" spans="1:11" x14ac:dyDescent="0.35">
      <c r="A2566" t="s">
        <v>3068</v>
      </c>
      <c r="B2566">
        <v>2025</v>
      </c>
      <c r="C2566" t="s">
        <v>1398</v>
      </c>
      <c r="D2566" t="s">
        <v>85</v>
      </c>
      <c r="E2566" t="s">
        <v>117</v>
      </c>
      <c r="F2566" t="s">
        <v>129</v>
      </c>
      <c r="G2566" t="s">
        <v>126</v>
      </c>
      <c r="H2566" t="s">
        <v>357</v>
      </c>
      <c r="I2566" t="s">
        <v>86</v>
      </c>
      <c r="J2566" t="s">
        <v>405</v>
      </c>
      <c r="K2566" t="s">
        <v>57</v>
      </c>
    </row>
    <row r="2567" spans="1:11" x14ac:dyDescent="0.35">
      <c r="A2567" t="s">
        <v>3069</v>
      </c>
      <c r="B2567">
        <v>2025</v>
      </c>
      <c r="C2567" t="s">
        <v>1398</v>
      </c>
      <c r="D2567" t="s">
        <v>76</v>
      </c>
      <c r="E2567" t="s">
        <v>360</v>
      </c>
      <c r="F2567" t="s">
        <v>129</v>
      </c>
      <c r="G2567" t="s">
        <v>128</v>
      </c>
      <c r="H2567" t="s">
        <v>357</v>
      </c>
      <c r="I2567" t="s">
        <v>77</v>
      </c>
      <c r="J2567" t="s">
        <v>326</v>
      </c>
      <c r="K2567" t="s">
        <v>57</v>
      </c>
    </row>
    <row r="2568" spans="1:11" x14ac:dyDescent="0.35">
      <c r="A2568" t="s">
        <v>3070</v>
      </c>
      <c r="B2568">
        <v>2025</v>
      </c>
      <c r="C2568" t="s">
        <v>1398</v>
      </c>
      <c r="D2568" t="s">
        <v>76</v>
      </c>
      <c r="E2568" t="s">
        <v>115</v>
      </c>
      <c r="F2568" t="s">
        <v>125</v>
      </c>
      <c r="G2568" t="s">
        <v>128</v>
      </c>
      <c r="H2568" t="s">
        <v>285</v>
      </c>
      <c r="I2568" t="s">
        <v>86</v>
      </c>
      <c r="J2568" t="s">
        <v>308</v>
      </c>
      <c r="K2568" t="s">
        <v>42</v>
      </c>
    </row>
    <row r="2569" spans="1:11" x14ac:dyDescent="0.35">
      <c r="A2569" t="s">
        <v>3071</v>
      </c>
      <c r="B2569">
        <v>2025</v>
      </c>
      <c r="C2569" t="s">
        <v>1398</v>
      </c>
      <c r="D2569" t="s">
        <v>85</v>
      </c>
      <c r="E2569" t="s">
        <v>117</v>
      </c>
      <c r="F2569" t="s">
        <v>134</v>
      </c>
      <c r="G2569" t="s">
        <v>128</v>
      </c>
      <c r="H2569" t="s">
        <v>305</v>
      </c>
      <c r="I2569" t="s">
        <v>289</v>
      </c>
      <c r="J2569" t="s">
        <v>464</v>
      </c>
      <c r="K2569" t="s">
        <v>42</v>
      </c>
    </row>
    <row r="2570" spans="1:11" x14ac:dyDescent="0.35">
      <c r="A2570" t="s">
        <v>3072</v>
      </c>
      <c r="B2570">
        <v>2025</v>
      </c>
      <c r="C2570" t="s">
        <v>1398</v>
      </c>
      <c r="D2570" t="s">
        <v>76</v>
      </c>
      <c r="E2570" t="s">
        <v>118</v>
      </c>
      <c r="F2570" t="s">
        <v>125</v>
      </c>
      <c r="G2570" t="s">
        <v>128</v>
      </c>
      <c r="H2570" t="s">
        <v>285</v>
      </c>
      <c r="I2570" t="s">
        <v>86</v>
      </c>
      <c r="J2570" t="s">
        <v>317</v>
      </c>
      <c r="K2570" t="s">
        <v>57</v>
      </c>
    </row>
    <row r="2571" spans="1:11" x14ac:dyDescent="0.35">
      <c r="A2571" t="s">
        <v>3073</v>
      </c>
      <c r="B2571">
        <v>2025</v>
      </c>
      <c r="C2571" t="s">
        <v>1398</v>
      </c>
      <c r="D2571" t="s">
        <v>76</v>
      </c>
      <c r="E2571" t="s">
        <v>109</v>
      </c>
      <c r="F2571" t="s">
        <v>127</v>
      </c>
      <c r="G2571" t="s">
        <v>126</v>
      </c>
      <c r="H2571" t="s">
        <v>285</v>
      </c>
      <c r="I2571" t="s">
        <v>77</v>
      </c>
      <c r="J2571" t="s">
        <v>288</v>
      </c>
      <c r="K2571" t="s">
        <v>57</v>
      </c>
    </row>
    <row r="2572" spans="1:11" x14ac:dyDescent="0.35">
      <c r="A2572" t="s">
        <v>3074</v>
      </c>
      <c r="B2572">
        <v>2025</v>
      </c>
      <c r="C2572" t="s">
        <v>1398</v>
      </c>
      <c r="D2572" t="s">
        <v>85</v>
      </c>
      <c r="E2572" t="s">
        <v>120</v>
      </c>
      <c r="F2572" t="s">
        <v>133</v>
      </c>
      <c r="G2572" t="s">
        <v>130</v>
      </c>
      <c r="H2572" t="s">
        <v>285</v>
      </c>
      <c r="I2572" t="s">
        <v>351</v>
      </c>
      <c r="J2572" t="s">
        <v>295</v>
      </c>
      <c r="K2572" t="s">
        <v>57</v>
      </c>
    </row>
    <row r="2573" spans="1:11" x14ac:dyDescent="0.35">
      <c r="A2573" t="s">
        <v>3075</v>
      </c>
      <c r="B2573">
        <v>2025</v>
      </c>
      <c r="C2573" t="s">
        <v>1398</v>
      </c>
      <c r="D2573" t="s">
        <v>76</v>
      </c>
      <c r="E2573" t="s">
        <v>109</v>
      </c>
      <c r="F2573" t="s">
        <v>129</v>
      </c>
      <c r="G2573" t="s">
        <v>130</v>
      </c>
      <c r="H2573" t="s">
        <v>285</v>
      </c>
      <c r="I2573" t="s">
        <v>333</v>
      </c>
      <c r="J2573" t="s">
        <v>286</v>
      </c>
      <c r="K2573" t="s">
        <v>57</v>
      </c>
    </row>
    <row r="2574" spans="1:11" x14ac:dyDescent="0.35">
      <c r="A2574" t="s">
        <v>3076</v>
      </c>
      <c r="B2574">
        <v>2025</v>
      </c>
      <c r="C2574" t="s">
        <v>1398</v>
      </c>
      <c r="D2574" t="s">
        <v>76</v>
      </c>
      <c r="E2574" t="s">
        <v>107</v>
      </c>
      <c r="F2574" t="s">
        <v>125</v>
      </c>
      <c r="G2574" t="s">
        <v>126</v>
      </c>
      <c r="H2574" t="s">
        <v>285</v>
      </c>
      <c r="I2574" t="s">
        <v>86</v>
      </c>
      <c r="J2574" t="s">
        <v>317</v>
      </c>
      <c r="K2574" t="s">
        <v>57</v>
      </c>
    </row>
    <row r="2575" spans="1:11" x14ac:dyDescent="0.35">
      <c r="A2575" t="s">
        <v>3077</v>
      </c>
      <c r="B2575">
        <v>2025</v>
      </c>
      <c r="C2575" t="s">
        <v>1398</v>
      </c>
      <c r="D2575" t="s">
        <v>85</v>
      </c>
      <c r="E2575" t="s">
        <v>117</v>
      </c>
      <c r="F2575" t="s">
        <v>125</v>
      </c>
      <c r="G2575" t="s">
        <v>132</v>
      </c>
      <c r="H2575" t="s">
        <v>357</v>
      </c>
      <c r="I2575" t="s">
        <v>426</v>
      </c>
      <c r="J2575" t="s">
        <v>686</v>
      </c>
      <c r="K2575" t="s">
        <v>57</v>
      </c>
    </row>
    <row r="2576" spans="1:11" x14ac:dyDescent="0.35">
      <c r="A2576" t="s">
        <v>3078</v>
      </c>
      <c r="B2576">
        <v>2025</v>
      </c>
      <c r="C2576" t="s">
        <v>1398</v>
      </c>
      <c r="D2576" t="s">
        <v>85</v>
      </c>
      <c r="E2576" t="s">
        <v>116</v>
      </c>
      <c r="F2576" t="s">
        <v>129</v>
      </c>
      <c r="G2576" t="s">
        <v>132</v>
      </c>
      <c r="H2576" t="s">
        <v>285</v>
      </c>
      <c r="I2576" t="s">
        <v>337</v>
      </c>
      <c r="J2576" t="s">
        <v>2683</v>
      </c>
      <c r="K2576" t="s">
        <v>42</v>
      </c>
    </row>
    <row r="2577" spans="1:11" x14ac:dyDescent="0.35">
      <c r="A2577" t="s">
        <v>3079</v>
      </c>
      <c r="B2577">
        <v>2025</v>
      </c>
      <c r="C2577" t="s">
        <v>1398</v>
      </c>
      <c r="D2577" t="s">
        <v>76</v>
      </c>
      <c r="E2577" t="s">
        <v>360</v>
      </c>
      <c r="F2577" t="s">
        <v>288</v>
      </c>
      <c r="G2577" t="s">
        <v>128</v>
      </c>
      <c r="H2577" t="s">
        <v>357</v>
      </c>
      <c r="I2577" t="s">
        <v>288</v>
      </c>
      <c r="J2577" t="s">
        <v>288</v>
      </c>
      <c r="K2577" t="s">
        <v>57</v>
      </c>
    </row>
    <row r="2578" spans="1:11" x14ac:dyDescent="0.35">
      <c r="A2578" t="s">
        <v>3080</v>
      </c>
      <c r="B2578">
        <v>2025</v>
      </c>
      <c r="C2578" t="s">
        <v>1398</v>
      </c>
      <c r="D2578" t="s">
        <v>85</v>
      </c>
      <c r="E2578" t="s">
        <v>377</v>
      </c>
      <c r="F2578" t="s">
        <v>133</v>
      </c>
      <c r="G2578" t="s">
        <v>128</v>
      </c>
      <c r="H2578" t="s">
        <v>297</v>
      </c>
      <c r="I2578" t="s">
        <v>77</v>
      </c>
      <c r="J2578" t="s">
        <v>409</v>
      </c>
      <c r="K2578" t="s">
        <v>57</v>
      </c>
    </row>
    <row r="2579" spans="1:11" x14ac:dyDescent="0.35">
      <c r="A2579" t="s">
        <v>3081</v>
      </c>
      <c r="B2579">
        <v>2025</v>
      </c>
      <c r="C2579" t="s">
        <v>1398</v>
      </c>
      <c r="D2579" t="s">
        <v>76</v>
      </c>
      <c r="E2579" t="s">
        <v>115</v>
      </c>
      <c r="F2579" t="s">
        <v>127</v>
      </c>
      <c r="G2579" t="s">
        <v>128</v>
      </c>
      <c r="H2579" t="s">
        <v>357</v>
      </c>
      <c r="I2579" t="s">
        <v>337</v>
      </c>
      <c r="J2579" t="s">
        <v>317</v>
      </c>
      <c r="K2579" t="s">
        <v>57</v>
      </c>
    </row>
    <row r="2580" spans="1:11" x14ac:dyDescent="0.35">
      <c r="A2580" t="s">
        <v>3082</v>
      </c>
      <c r="B2580">
        <v>2025</v>
      </c>
      <c r="C2580" t="s">
        <v>1398</v>
      </c>
      <c r="D2580" t="s">
        <v>76</v>
      </c>
      <c r="E2580" t="s">
        <v>107</v>
      </c>
      <c r="F2580" t="s">
        <v>125</v>
      </c>
      <c r="G2580" t="s">
        <v>132</v>
      </c>
      <c r="H2580" t="s">
        <v>285</v>
      </c>
      <c r="I2580" t="s">
        <v>1984</v>
      </c>
      <c r="J2580" t="s">
        <v>286</v>
      </c>
      <c r="K2580" t="s">
        <v>57</v>
      </c>
    </row>
    <row r="2581" spans="1:11" x14ac:dyDescent="0.35">
      <c r="A2581" t="s">
        <v>3083</v>
      </c>
      <c r="B2581">
        <v>2025</v>
      </c>
      <c r="C2581" t="s">
        <v>1398</v>
      </c>
      <c r="D2581" t="s">
        <v>85</v>
      </c>
      <c r="E2581" t="s">
        <v>116</v>
      </c>
      <c r="F2581" t="s">
        <v>288</v>
      </c>
      <c r="G2581" t="s">
        <v>126</v>
      </c>
      <c r="H2581" t="s">
        <v>285</v>
      </c>
      <c r="I2581" t="s">
        <v>86</v>
      </c>
      <c r="J2581" t="s">
        <v>306</v>
      </c>
      <c r="K2581" t="s">
        <v>57</v>
      </c>
    </row>
    <row r="2582" spans="1:11" x14ac:dyDescent="0.35">
      <c r="A2582" t="s">
        <v>3084</v>
      </c>
      <c r="B2582">
        <v>2025</v>
      </c>
      <c r="C2582" t="s">
        <v>1398</v>
      </c>
      <c r="D2582" t="s">
        <v>76</v>
      </c>
      <c r="E2582" t="s">
        <v>119</v>
      </c>
      <c r="F2582" t="s">
        <v>125</v>
      </c>
      <c r="G2582" t="s">
        <v>128</v>
      </c>
      <c r="H2582" t="s">
        <v>285</v>
      </c>
      <c r="I2582" t="s">
        <v>77</v>
      </c>
      <c r="J2582" t="s">
        <v>286</v>
      </c>
      <c r="K2582" t="s">
        <v>57</v>
      </c>
    </row>
    <row r="2583" spans="1:11" x14ac:dyDescent="0.35">
      <c r="A2583" t="s">
        <v>3085</v>
      </c>
      <c r="B2583">
        <v>2025</v>
      </c>
      <c r="C2583" t="s">
        <v>1398</v>
      </c>
      <c r="D2583" t="s">
        <v>76</v>
      </c>
      <c r="E2583" t="s">
        <v>111</v>
      </c>
      <c r="F2583" t="s">
        <v>125</v>
      </c>
      <c r="G2583" t="s">
        <v>126</v>
      </c>
      <c r="H2583" t="s">
        <v>285</v>
      </c>
      <c r="I2583" t="s">
        <v>86</v>
      </c>
      <c r="J2583" t="s">
        <v>288</v>
      </c>
      <c r="K2583" t="s">
        <v>57</v>
      </c>
    </row>
    <row r="2584" spans="1:11" x14ac:dyDescent="0.35">
      <c r="A2584" t="s">
        <v>3086</v>
      </c>
      <c r="B2584">
        <v>2025</v>
      </c>
      <c r="C2584" t="s">
        <v>1398</v>
      </c>
      <c r="D2584" t="s">
        <v>85</v>
      </c>
      <c r="E2584" t="s">
        <v>116</v>
      </c>
      <c r="F2584" t="s">
        <v>125</v>
      </c>
      <c r="G2584" t="s">
        <v>128</v>
      </c>
      <c r="H2584" t="s">
        <v>285</v>
      </c>
      <c r="I2584" t="s">
        <v>289</v>
      </c>
      <c r="J2584" t="s">
        <v>288</v>
      </c>
      <c r="K2584" t="s">
        <v>57</v>
      </c>
    </row>
    <row r="2585" spans="1:11" x14ac:dyDescent="0.35">
      <c r="A2585" t="s">
        <v>3087</v>
      </c>
      <c r="B2585">
        <v>2025</v>
      </c>
      <c r="C2585" t="s">
        <v>1398</v>
      </c>
      <c r="D2585" t="s">
        <v>76</v>
      </c>
      <c r="E2585" t="s">
        <v>107</v>
      </c>
      <c r="F2585" t="s">
        <v>125</v>
      </c>
      <c r="G2585" t="s">
        <v>126</v>
      </c>
      <c r="H2585" t="s">
        <v>285</v>
      </c>
      <c r="I2585" t="s">
        <v>86</v>
      </c>
      <c r="J2585" t="s">
        <v>286</v>
      </c>
      <c r="K2585" t="s">
        <v>57</v>
      </c>
    </row>
    <row r="2586" spans="1:11" x14ac:dyDescent="0.35">
      <c r="A2586" t="s">
        <v>3088</v>
      </c>
      <c r="B2586">
        <v>2025</v>
      </c>
      <c r="C2586" t="s">
        <v>1398</v>
      </c>
      <c r="D2586" t="s">
        <v>76</v>
      </c>
      <c r="E2586" t="s">
        <v>115</v>
      </c>
      <c r="F2586" t="s">
        <v>129</v>
      </c>
      <c r="G2586" t="s">
        <v>130</v>
      </c>
      <c r="H2586" t="s">
        <v>285</v>
      </c>
      <c r="I2586" t="s">
        <v>86</v>
      </c>
      <c r="J2586" t="s">
        <v>286</v>
      </c>
      <c r="K2586" t="s">
        <v>57</v>
      </c>
    </row>
    <row r="2587" spans="1:11" x14ac:dyDescent="0.35">
      <c r="A2587" t="s">
        <v>3089</v>
      </c>
      <c r="B2587">
        <v>2025</v>
      </c>
      <c r="C2587" t="s">
        <v>1398</v>
      </c>
      <c r="D2587" t="s">
        <v>76</v>
      </c>
      <c r="E2587" t="s">
        <v>115</v>
      </c>
      <c r="F2587" t="s">
        <v>127</v>
      </c>
      <c r="G2587" t="s">
        <v>130</v>
      </c>
      <c r="H2587" t="s">
        <v>357</v>
      </c>
      <c r="I2587" t="s">
        <v>1984</v>
      </c>
      <c r="J2587" t="s">
        <v>509</v>
      </c>
      <c r="K2587" t="s">
        <v>42</v>
      </c>
    </row>
    <row r="2588" spans="1:11" x14ac:dyDescent="0.35">
      <c r="A2588" t="s">
        <v>3090</v>
      </c>
      <c r="B2588">
        <v>2025</v>
      </c>
      <c r="C2588" t="s">
        <v>1398</v>
      </c>
      <c r="D2588" t="s">
        <v>76</v>
      </c>
      <c r="E2588" t="s">
        <v>360</v>
      </c>
      <c r="F2588" t="s">
        <v>127</v>
      </c>
      <c r="G2588" t="s">
        <v>128</v>
      </c>
      <c r="H2588" t="s">
        <v>357</v>
      </c>
      <c r="I2588" t="s">
        <v>86</v>
      </c>
      <c r="J2588" t="s">
        <v>286</v>
      </c>
      <c r="K2588" t="s">
        <v>57</v>
      </c>
    </row>
    <row r="2589" spans="1:11" x14ac:dyDescent="0.35">
      <c r="A2589" t="s">
        <v>3091</v>
      </c>
      <c r="B2589">
        <v>2025</v>
      </c>
      <c r="C2589" t="s">
        <v>1398</v>
      </c>
      <c r="D2589" t="s">
        <v>85</v>
      </c>
      <c r="E2589" t="s">
        <v>120</v>
      </c>
      <c r="F2589" t="s">
        <v>127</v>
      </c>
      <c r="G2589" t="s">
        <v>132</v>
      </c>
      <c r="H2589" t="s">
        <v>357</v>
      </c>
      <c r="I2589" t="s">
        <v>337</v>
      </c>
      <c r="J2589" t="s">
        <v>347</v>
      </c>
      <c r="K2589" t="s">
        <v>57</v>
      </c>
    </row>
    <row r="2590" spans="1:11" x14ac:dyDescent="0.35">
      <c r="A2590" t="s">
        <v>3092</v>
      </c>
      <c r="B2590">
        <v>2025</v>
      </c>
      <c r="C2590" t="s">
        <v>1398</v>
      </c>
      <c r="D2590" t="s">
        <v>76</v>
      </c>
      <c r="E2590" t="s">
        <v>107</v>
      </c>
      <c r="F2590" t="s">
        <v>125</v>
      </c>
      <c r="G2590" t="s">
        <v>126</v>
      </c>
      <c r="H2590" t="s">
        <v>285</v>
      </c>
      <c r="I2590" t="s">
        <v>77</v>
      </c>
      <c r="J2590" t="s">
        <v>1257</v>
      </c>
      <c r="K2590" t="s">
        <v>57</v>
      </c>
    </row>
    <row r="2591" spans="1:11" x14ac:dyDescent="0.35">
      <c r="A2591" t="s">
        <v>3093</v>
      </c>
      <c r="B2591">
        <v>2025</v>
      </c>
      <c r="C2591" t="s">
        <v>1398</v>
      </c>
      <c r="D2591" t="s">
        <v>76</v>
      </c>
      <c r="E2591" t="s">
        <v>360</v>
      </c>
      <c r="F2591" t="s">
        <v>133</v>
      </c>
      <c r="G2591" t="s">
        <v>132</v>
      </c>
      <c r="H2591" t="s">
        <v>357</v>
      </c>
      <c r="I2591" t="s">
        <v>433</v>
      </c>
      <c r="J2591" t="s">
        <v>288</v>
      </c>
      <c r="K2591" t="s">
        <v>57</v>
      </c>
    </row>
    <row r="2592" spans="1:11" x14ac:dyDescent="0.35">
      <c r="A2592" t="s">
        <v>3094</v>
      </c>
      <c r="B2592">
        <v>2025</v>
      </c>
      <c r="C2592" t="s">
        <v>1398</v>
      </c>
      <c r="D2592" t="s">
        <v>85</v>
      </c>
      <c r="E2592" t="s">
        <v>116</v>
      </c>
      <c r="F2592" t="s">
        <v>129</v>
      </c>
      <c r="G2592" t="s">
        <v>128</v>
      </c>
      <c r="H2592" t="s">
        <v>285</v>
      </c>
      <c r="I2592" t="s">
        <v>288</v>
      </c>
      <c r="J2592" t="s">
        <v>288</v>
      </c>
      <c r="K2592" t="s">
        <v>57</v>
      </c>
    </row>
    <row r="2593" spans="1:11" x14ac:dyDescent="0.35">
      <c r="A2593" t="s">
        <v>3095</v>
      </c>
      <c r="B2593">
        <v>2025</v>
      </c>
      <c r="C2593" t="s">
        <v>1398</v>
      </c>
      <c r="D2593" t="s">
        <v>85</v>
      </c>
      <c r="E2593" t="s">
        <v>117</v>
      </c>
      <c r="F2593" t="s">
        <v>127</v>
      </c>
      <c r="G2593" t="s">
        <v>128</v>
      </c>
      <c r="H2593" t="s">
        <v>357</v>
      </c>
      <c r="I2593" t="s">
        <v>288</v>
      </c>
      <c r="J2593" t="s">
        <v>347</v>
      </c>
      <c r="K2593" t="s">
        <v>57</v>
      </c>
    </row>
    <row r="2594" spans="1:11" x14ac:dyDescent="0.35">
      <c r="A2594" t="s">
        <v>3096</v>
      </c>
      <c r="B2594">
        <v>2025</v>
      </c>
      <c r="C2594" t="s">
        <v>1398</v>
      </c>
      <c r="D2594" t="s">
        <v>76</v>
      </c>
      <c r="E2594" t="s">
        <v>360</v>
      </c>
      <c r="F2594" t="s">
        <v>127</v>
      </c>
      <c r="G2594" t="s">
        <v>132</v>
      </c>
      <c r="H2594" t="s">
        <v>357</v>
      </c>
      <c r="I2594" t="s">
        <v>288</v>
      </c>
      <c r="J2594" t="s">
        <v>288</v>
      </c>
      <c r="K2594" t="s">
        <v>57</v>
      </c>
    </row>
    <row r="2595" spans="1:11" x14ac:dyDescent="0.35">
      <c r="A2595" t="s">
        <v>3097</v>
      </c>
      <c r="B2595">
        <v>2025</v>
      </c>
      <c r="C2595" t="s">
        <v>1398</v>
      </c>
      <c r="D2595" t="s">
        <v>76</v>
      </c>
      <c r="E2595" t="s">
        <v>109</v>
      </c>
      <c r="F2595" t="s">
        <v>127</v>
      </c>
      <c r="G2595" t="s">
        <v>128</v>
      </c>
      <c r="H2595" t="s">
        <v>285</v>
      </c>
      <c r="I2595" t="s">
        <v>77</v>
      </c>
      <c r="J2595" t="s">
        <v>286</v>
      </c>
      <c r="K2595" t="s">
        <v>57</v>
      </c>
    </row>
    <row r="2596" spans="1:11" x14ac:dyDescent="0.35">
      <c r="A2596" t="s">
        <v>3098</v>
      </c>
      <c r="B2596">
        <v>2025</v>
      </c>
      <c r="C2596" t="s">
        <v>1398</v>
      </c>
      <c r="D2596" t="s">
        <v>76</v>
      </c>
      <c r="E2596" t="s">
        <v>360</v>
      </c>
      <c r="F2596" t="s">
        <v>125</v>
      </c>
      <c r="G2596" t="s">
        <v>130</v>
      </c>
      <c r="H2596" t="s">
        <v>357</v>
      </c>
      <c r="I2596" t="s">
        <v>288</v>
      </c>
      <c r="J2596" t="s">
        <v>286</v>
      </c>
      <c r="K2596" t="s">
        <v>57</v>
      </c>
    </row>
    <row r="2597" spans="1:11" x14ac:dyDescent="0.35">
      <c r="A2597" t="s">
        <v>3099</v>
      </c>
      <c r="B2597">
        <v>2025</v>
      </c>
      <c r="C2597" t="s">
        <v>1398</v>
      </c>
      <c r="D2597" t="s">
        <v>85</v>
      </c>
      <c r="E2597" t="s">
        <v>115</v>
      </c>
      <c r="F2597" t="s">
        <v>131</v>
      </c>
      <c r="G2597" t="s">
        <v>126</v>
      </c>
      <c r="H2597" t="s">
        <v>357</v>
      </c>
      <c r="I2597" t="s">
        <v>77</v>
      </c>
      <c r="J2597" t="s">
        <v>3100</v>
      </c>
      <c r="K2597" t="s">
        <v>42</v>
      </c>
    </row>
    <row r="2598" spans="1:11" x14ac:dyDescent="0.35">
      <c r="A2598" t="s">
        <v>3101</v>
      </c>
      <c r="B2598">
        <v>2025</v>
      </c>
      <c r="C2598" t="s">
        <v>1398</v>
      </c>
      <c r="D2598" t="s">
        <v>85</v>
      </c>
      <c r="E2598" t="s">
        <v>120</v>
      </c>
      <c r="F2598" t="s">
        <v>129</v>
      </c>
      <c r="G2598" t="s">
        <v>128</v>
      </c>
      <c r="H2598" t="s">
        <v>305</v>
      </c>
      <c r="I2598" t="s">
        <v>426</v>
      </c>
      <c r="J2598" t="s">
        <v>286</v>
      </c>
      <c r="K2598" t="s">
        <v>57</v>
      </c>
    </row>
    <row r="2599" spans="1:11" x14ac:dyDescent="0.35">
      <c r="A2599" t="s">
        <v>3102</v>
      </c>
      <c r="B2599">
        <v>2025</v>
      </c>
      <c r="C2599" t="s">
        <v>1398</v>
      </c>
      <c r="D2599" t="s">
        <v>85</v>
      </c>
      <c r="E2599" t="s">
        <v>116</v>
      </c>
      <c r="F2599" t="s">
        <v>127</v>
      </c>
      <c r="G2599" t="s">
        <v>130</v>
      </c>
      <c r="H2599" t="s">
        <v>357</v>
      </c>
      <c r="I2599" t="s">
        <v>77</v>
      </c>
      <c r="J2599" t="s">
        <v>286</v>
      </c>
      <c r="K2599" t="s">
        <v>57</v>
      </c>
    </row>
    <row r="2600" spans="1:11" x14ac:dyDescent="0.35">
      <c r="A2600" t="s">
        <v>3103</v>
      </c>
      <c r="B2600">
        <v>2025</v>
      </c>
      <c r="C2600" t="s">
        <v>1398</v>
      </c>
      <c r="D2600" t="s">
        <v>85</v>
      </c>
      <c r="E2600" t="s">
        <v>120</v>
      </c>
      <c r="F2600" t="s">
        <v>133</v>
      </c>
      <c r="G2600" t="s">
        <v>126</v>
      </c>
      <c r="H2600" t="s">
        <v>305</v>
      </c>
      <c r="I2600" t="s">
        <v>333</v>
      </c>
      <c r="J2600" t="s">
        <v>317</v>
      </c>
      <c r="K2600" t="s">
        <v>57</v>
      </c>
    </row>
    <row r="2601" spans="1:11" x14ac:dyDescent="0.35">
      <c r="A2601" t="s">
        <v>3104</v>
      </c>
      <c r="B2601">
        <v>2025</v>
      </c>
      <c r="C2601" t="s">
        <v>1398</v>
      </c>
      <c r="D2601" t="s">
        <v>76</v>
      </c>
      <c r="E2601" t="s">
        <v>115</v>
      </c>
      <c r="F2601" t="s">
        <v>125</v>
      </c>
      <c r="G2601" t="s">
        <v>128</v>
      </c>
      <c r="H2601" t="s">
        <v>285</v>
      </c>
      <c r="I2601" t="s">
        <v>77</v>
      </c>
      <c r="J2601" t="s">
        <v>286</v>
      </c>
      <c r="K2601" t="s">
        <v>57</v>
      </c>
    </row>
    <row r="2602" spans="1:11" x14ac:dyDescent="0.35">
      <c r="A2602" t="s">
        <v>3105</v>
      </c>
      <c r="B2602">
        <v>2025</v>
      </c>
      <c r="C2602" t="s">
        <v>1398</v>
      </c>
      <c r="D2602" t="s">
        <v>76</v>
      </c>
      <c r="E2602" t="s">
        <v>360</v>
      </c>
      <c r="F2602" t="s">
        <v>129</v>
      </c>
      <c r="G2602" t="s">
        <v>130</v>
      </c>
      <c r="H2602" t="s">
        <v>357</v>
      </c>
      <c r="I2602" t="s">
        <v>289</v>
      </c>
      <c r="J2602" t="s">
        <v>317</v>
      </c>
      <c r="K2602" t="s">
        <v>57</v>
      </c>
    </row>
    <row r="2603" spans="1:11" x14ac:dyDescent="0.35">
      <c r="A2603" t="s">
        <v>3106</v>
      </c>
      <c r="B2603">
        <v>2025</v>
      </c>
      <c r="C2603" t="s">
        <v>1398</v>
      </c>
      <c r="D2603" t="s">
        <v>85</v>
      </c>
      <c r="E2603" t="s">
        <v>117</v>
      </c>
      <c r="F2603" t="s">
        <v>288</v>
      </c>
      <c r="G2603" t="s">
        <v>126</v>
      </c>
      <c r="H2603" t="s">
        <v>357</v>
      </c>
      <c r="I2603" t="s">
        <v>288</v>
      </c>
      <c r="J2603" t="s">
        <v>288</v>
      </c>
      <c r="K2603" t="s">
        <v>57</v>
      </c>
    </row>
    <row r="2604" spans="1:11" x14ac:dyDescent="0.35">
      <c r="A2604" t="s">
        <v>3107</v>
      </c>
      <c r="B2604">
        <v>2025</v>
      </c>
      <c r="C2604" t="s">
        <v>1398</v>
      </c>
      <c r="D2604" t="s">
        <v>85</v>
      </c>
      <c r="E2604" t="s">
        <v>117</v>
      </c>
      <c r="F2604" t="s">
        <v>127</v>
      </c>
      <c r="G2604" t="s">
        <v>128</v>
      </c>
      <c r="H2604" t="s">
        <v>357</v>
      </c>
      <c r="I2604" t="s">
        <v>289</v>
      </c>
      <c r="J2604" t="s">
        <v>347</v>
      </c>
      <c r="K2604" t="s">
        <v>57</v>
      </c>
    </row>
    <row r="2605" spans="1:11" x14ac:dyDescent="0.35">
      <c r="A2605" t="s">
        <v>3108</v>
      </c>
      <c r="B2605">
        <v>2025</v>
      </c>
      <c r="C2605" t="s">
        <v>1398</v>
      </c>
      <c r="D2605" t="s">
        <v>85</v>
      </c>
      <c r="E2605" t="s">
        <v>116</v>
      </c>
      <c r="F2605" t="s">
        <v>129</v>
      </c>
      <c r="G2605" t="s">
        <v>128</v>
      </c>
      <c r="H2605" t="s">
        <v>285</v>
      </c>
      <c r="I2605" t="s">
        <v>289</v>
      </c>
      <c r="J2605" t="s">
        <v>286</v>
      </c>
      <c r="K2605" t="s">
        <v>57</v>
      </c>
    </row>
    <row r="2606" spans="1:11" x14ac:dyDescent="0.35">
      <c r="A2606" t="s">
        <v>3109</v>
      </c>
      <c r="B2606">
        <v>2025</v>
      </c>
      <c r="C2606" t="s">
        <v>1398</v>
      </c>
      <c r="D2606" t="s">
        <v>85</v>
      </c>
      <c r="E2606" t="s">
        <v>377</v>
      </c>
      <c r="F2606" t="s">
        <v>125</v>
      </c>
      <c r="G2606" t="s">
        <v>128</v>
      </c>
      <c r="H2606" t="s">
        <v>357</v>
      </c>
      <c r="I2606" t="s">
        <v>77</v>
      </c>
      <c r="J2606" t="s">
        <v>295</v>
      </c>
      <c r="K2606" t="s">
        <v>57</v>
      </c>
    </row>
    <row r="2607" spans="1:11" x14ac:dyDescent="0.35">
      <c r="A2607" t="s">
        <v>3110</v>
      </c>
      <c r="B2607">
        <v>2025</v>
      </c>
      <c r="C2607" t="s">
        <v>1398</v>
      </c>
      <c r="D2607" t="s">
        <v>76</v>
      </c>
      <c r="E2607" t="s">
        <v>109</v>
      </c>
      <c r="F2607" t="s">
        <v>125</v>
      </c>
      <c r="G2607" t="s">
        <v>126</v>
      </c>
      <c r="H2607" t="s">
        <v>285</v>
      </c>
      <c r="I2607" t="s">
        <v>288</v>
      </c>
      <c r="J2607" t="s">
        <v>286</v>
      </c>
      <c r="K2607" t="s">
        <v>57</v>
      </c>
    </row>
    <row r="2608" spans="1:11" x14ac:dyDescent="0.35">
      <c r="A2608" t="s">
        <v>3111</v>
      </c>
      <c r="B2608">
        <v>2025</v>
      </c>
      <c r="C2608" t="s">
        <v>1398</v>
      </c>
      <c r="D2608" t="s">
        <v>85</v>
      </c>
      <c r="E2608" t="s">
        <v>117</v>
      </c>
      <c r="F2608" t="s">
        <v>127</v>
      </c>
      <c r="G2608" t="s">
        <v>128</v>
      </c>
      <c r="H2608" t="s">
        <v>357</v>
      </c>
      <c r="I2608" t="s">
        <v>289</v>
      </c>
      <c r="J2608" t="s">
        <v>417</v>
      </c>
      <c r="K2608" t="s">
        <v>42</v>
      </c>
    </row>
    <row r="2609" spans="1:11" x14ac:dyDescent="0.35">
      <c r="A2609" t="s">
        <v>3112</v>
      </c>
      <c r="B2609">
        <v>2025</v>
      </c>
      <c r="C2609" t="s">
        <v>1398</v>
      </c>
      <c r="D2609" t="s">
        <v>85</v>
      </c>
      <c r="E2609" t="s">
        <v>120</v>
      </c>
      <c r="F2609" t="s">
        <v>127</v>
      </c>
      <c r="G2609" t="s">
        <v>130</v>
      </c>
      <c r="H2609" t="s">
        <v>357</v>
      </c>
      <c r="I2609" t="s">
        <v>288</v>
      </c>
      <c r="J2609" t="s">
        <v>286</v>
      </c>
      <c r="K2609" t="s">
        <v>57</v>
      </c>
    </row>
    <row r="2610" spans="1:11" x14ac:dyDescent="0.35">
      <c r="A2610" t="s">
        <v>3113</v>
      </c>
      <c r="B2610">
        <v>2025</v>
      </c>
      <c r="C2610" t="s">
        <v>1398</v>
      </c>
      <c r="D2610" t="s">
        <v>76</v>
      </c>
      <c r="E2610" t="s">
        <v>109</v>
      </c>
      <c r="F2610" t="s">
        <v>131</v>
      </c>
      <c r="G2610" t="s">
        <v>128</v>
      </c>
      <c r="H2610" t="s">
        <v>285</v>
      </c>
      <c r="I2610" t="s">
        <v>77</v>
      </c>
      <c r="J2610" t="s">
        <v>286</v>
      </c>
      <c r="K2610" t="s">
        <v>57</v>
      </c>
    </row>
    <row r="2611" spans="1:11" x14ac:dyDescent="0.35">
      <c r="A2611" t="s">
        <v>3114</v>
      </c>
      <c r="B2611">
        <v>2025</v>
      </c>
      <c r="C2611" t="s">
        <v>1398</v>
      </c>
      <c r="D2611" t="s">
        <v>76</v>
      </c>
      <c r="E2611" t="s">
        <v>115</v>
      </c>
      <c r="F2611" t="s">
        <v>125</v>
      </c>
      <c r="G2611" t="s">
        <v>132</v>
      </c>
      <c r="H2611" t="s">
        <v>357</v>
      </c>
      <c r="I2611" t="s">
        <v>77</v>
      </c>
      <c r="J2611" t="s">
        <v>286</v>
      </c>
      <c r="K2611" t="s">
        <v>57</v>
      </c>
    </row>
    <row r="2612" spans="1:11" x14ac:dyDescent="0.35">
      <c r="A2612" t="s">
        <v>3115</v>
      </c>
      <c r="B2612">
        <v>2025</v>
      </c>
      <c r="C2612" t="s">
        <v>1398</v>
      </c>
      <c r="D2612" t="s">
        <v>85</v>
      </c>
      <c r="E2612" t="s">
        <v>377</v>
      </c>
      <c r="F2612" t="s">
        <v>127</v>
      </c>
      <c r="G2612" t="s">
        <v>128</v>
      </c>
      <c r="H2612" t="s">
        <v>357</v>
      </c>
      <c r="I2612" t="s">
        <v>77</v>
      </c>
      <c r="J2612" t="s">
        <v>286</v>
      </c>
      <c r="K2612" t="s">
        <v>57</v>
      </c>
    </row>
    <row r="2613" spans="1:11" x14ac:dyDescent="0.35">
      <c r="A2613" t="s">
        <v>3116</v>
      </c>
      <c r="B2613">
        <v>2025</v>
      </c>
      <c r="C2613" t="s">
        <v>1398</v>
      </c>
      <c r="D2613" t="s">
        <v>76</v>
      </c>
      <c r="E2613" t="s">
        <v>110</v>
      </c>
      <c r="F2613" t="s">
        <v>134</v>
      </c>
      <c r="G2613" t="s">
        <v>126</v>
      </c>
      <c r="H2613" t="s">
        <v>285</v>
      </c>
      <c r="I2613" t="s">
        <v>433</v>
      </c>
      <c r="J2613" t="s">
        <v>286</v>
      </c>
      <c r="K2613" t="s">
        <v>57</v>
      </c>
    </row>
    <row r="2614" spans="1:11" x14ac:dyDescent="0.35">
      <c r="A2614" t="s">
        <v>3117</v>
      </c>
      <c r="B2614">
        <v>2025</v>
      </c>
      <c r="C2614" t="s">
        <v>1398</v>
      </c>
      <c r="D2614" t="s">
        <v>76</v>
      </c>
      <c r="E2614" t="s">
        <v>115</v>
      </c>
      <c r="F2614" t="s">
        <v>125</v>
      </c>
      <c r="G2614" t="s">
        <v>132</v>
      </c>
      <c r="H2614" t="s">
        <v>285</v>
      </c>
      <c r="I2614" t="s">
        <v>86</v>
      </c>
      <c r="J2614" t="s">
        <v>317</v>
      </c>
      <c r="K2614" t="s">
        <v>57</v>
      </c>
    </row>
    <row r="2615" spans="1:11" x14ac:dyDescent="0.35">
      <c r="A2615" t="s">
        <v>3118</v>
      </c>
      <c r="B2615">
        <v>2025</v>
      </c>
      <c r="C2615" t="s">
        <v>1398</v>
      </c>
      <c r="D2615" t="s">
        <v>85</v>
      </c>
      <c r="E2615" t="s">
        <v>116</v>
      </c>
      <c r="F2615" t="s">
        <v>288</v>
      </c>
      <c r="G2615" t="s">
        <v>128</v>
      </c>
      <c r="H2615" t="s">
        <v>285</v>
      </c>
      <c r="I2615" t="s">
        <v>288</v>
      </c>
      <c r="J2615" t="s">
        <v>286</v>
      </c>
      <c r="K2615" t="s">
        <v>57</v>
      </c>
    </row>
    <row r="2616" spans="1:11" x14ac:dyDescent="0.35">
      <c r="A2616" t="s">
        <v>3119</v>
      </c>
      <c r="B2616">
        <v>2025</v>
      </c>
      <c r="C2616" t="s">
        <v>1398</v>
      </c>
      <c r="D2616" t="s">
        <v>76</v>
      </c>
      <c r="E2616" t="s">
        <v>107</v>
      </c>
      <c r="F2616" t="s">
        <v>125</v>
      </c>
      <c r="G2616" t="s">
        <v>128</v>
      </c>
      <c r="H2616" t="s">
        <v>285</v>
      </c>
      <c r="I2616" t="s">
        <v>86</v>
      </c>
      <c r="J2616" t="s">
        <v>317</v>
      </c>
      <c r="K2616" t="s">
        <v>57</v>
      </c>
    </row>
    <row r="2617" spans="1:11" x14ac:dyDescent="0.35">
      <c r="A2617" t="s">
        <v>3120</v>
      </c>
      <c r="B2617">
        <v>2025</v>
      </c>
      <c r="C2617" t="s">
        <v>1398</v>
      </c>
      <c r="D2617" t="s">
        <v>85</v>
      </c>
      <c r="E2617" t="s">
        <v>116</v>
      </c>
      <c r="F2617" t="s">
        <v>129</v>
      </c>
      <c r="G2617" t="s">
        <v>126</v>
      </c>
      <c r="H2617" t="s">
        <v>285</v>
      </c>
      <c r="I2617" t="s">
        <v>289</v>
      </c>
      <c r="J2617" t="s">
        <v>686</v>
      </c>
      <c r="K2617" t="s">
        <v>57</v>
      </c>
    </row>
    <row r="2618" spans="1:11" x14ac:dyDescent="0.35">
      <c r="A2618" t="s">
        <v>3121</v>
      </c>
      <c r="B2618">
        <v>2025</v>
      </c>
      <c r="C2618" t="s">
        <v>1398</v>
      </c>
      <c r="D2618" t="s">
        <v>76</v>
      </c>
      <c r="E2618" t="s">
        <v>119</v>
      </c>
      <c r="F2618" t="s">
        <v>129</v>
      </c>
      <c r="G2618" t="s">
        <v>128</v>
      </c>
      <c r="H2618" t="s">
        <v>285</v>
      </c>
      <c r="I2618" t="s">
        <v>86</v>
      </c>
      <c r="J2618" t="s">
        <v>286</v>
      </c>
      <c r="K2618" t="s">
        <v>57</v>
      </c>
    </row>
    <row r="2619" spans="1:11" x14ac:dyDescent="0.35">
      <c r="A2619" t="s">
        <v>3122</v>
      </c>
      <c r="B2619">
        <v>2025</v>
      </c>
      <c r="C2619" t="s">
        <v>1398</v>
      </c>
      <c r="D2619" t="s">
        <v>85</v>
      </c>
      <c r="E2619" t="s">
        <v>116</v>
      </c>
      <c r="F2619" t="s">
        <v>131</v>
      </c>
      <c r="G2619" t="s">
        <v>126</v>
      </c>
      <c r="H2619" t="s">
        <v>285</v>
      </c>
      <c r="I2619" t="s">
        <v>337</v>
      </c>
      <c r="J2619" t="s">
        <v>403</v>
      </c>
      <c r="K2619" t="s">
        <v>57</v>
      </c>
    </row>
    <row r="2620" spans="1:11" x14ac:dyDescent="0.35">
      <c r="A2620" t="s">
        <v>3123</v>
      </c>
      <c r="B2620">
        <v>2025</v>
      </c>
      <c r="C2620" t="s">
        <v>1398</v>
      </c>
      <c r="D2620" t="s">
        <v>85</v>
      </c>
      <c r="E2620" t="s">
        <v>116</v>
      </c>
      <c r="F2620" t="s">
        <v>129</v>
      </c>
      <c r="G2620" t="s">
        <v>126</v>
      </c>
      <c r="H2620" t="s">
        <v>285</v>
      </c>
      <c r="I2620" t="s">
        <v>289</v>
      </c>
      <c r="J2620" t="s">
        <v>288</v>
      </c>
      <c r="K2620" t="s">
        <v>57</v>
      </c>
    </row>
    <row r="2621" spans="1:11" x14ac:dyDescent="0.35">
      <c r="A2621" t="s">
        <v>3124</v>
      </c>
      <c r="B2621">
        <v>2025</v>
      </c>
      <c r="C2621" t="s">
        <v>1398</v>
      </c>
      <c r="D2621" t="s">
        <v>76</v>
      </c>
      <c r="E2621" t="s">
        <v>107</v>
      </c>
      <c r="F2621" t="s">
        <v>125</v>
      </c>
      <c r="G2621" t="s">
        <v>126</v>
      </c>
      <c r="H2621" t="s">
        <v>285</v>
      </c>
      <c r="I2621" t="s">
        <v>86</v>
      </c>
      <c r="J2621" t="s">
        <v>286</v>
      </c>
      <c r="K2621" t="s">
        <v>57</v>
      </c>
    </row>
    <row r="2622" spans="1:11" x14ac:dyDescent="0.35">
      <c r="A2622" t="s">
        <v>3125</v>
      </c>
      <c r="B2622">
        <v>2025</v>
      </c>
      <c r="C2622" t="s">
        <v>1398</v>
      </c>
      <c r="D2622" t="s">
        <v>85</v>
      </c>
      <c r="E2622" t="s">
        <v>117</v>
      </c>
      <c r="F2622" t="s">
        <v>127</v>
      </c>
      <c r="G2622" t="s">
        <v>130</v>
      </c>
      <c r="H2622" t="s">
        <v>305</v>
      </c>
      <c r="I2622" t="s">
        <v>86</v>
      </c>
      <c r="J2622" t="s">
        <v>317</v>
      </c>
      <c r="K2622" t="s">
        <v>57</v>
      </c>
    </row>
    <row r="2623" spans="1:11" x14ac:dyDescent="0.35">
      <c r="A2623" t="s">
        <v>3126</v>
      </c>
      <c r="B2623">
        <v>2025</v>
      </c>
      <c r="C2623" t="s">
        <v>1398</v>
      </c>
      <c r="D2623" t="s">
        <v>85</v>
      </c>
      <c r="E2623" t="s">
        <v>116</v>
      </c>
      <c r="F2623" t="s">
        <v>127</v>
      </c>
      <c r="G2623" t="s">
        <v>128</v>
      </c>
      <c r="H2623" t="s">
        <v>357</v>
      </c>
      <c r="I2623" t="s">
        <v>1077</v>
      </c>
      <c r="J2623" t="s">
        <v>286</v>
      </c>
      <c r="K2623" t="s">
        <v>57</v>
      </c>
    </row>
    <row r="2624" spans="1:11" x14ac:dyDescent="0.35">
      <c r="A2624" t="s">
        <v>3127</v>
      </c>
      <c r="B2624">
        <v>2025</v>
      </c>
      <c r="C2624" t="s">
        <v>1398</v>
      </c>
      <c r="D2624" t="s">
        <v>76</v>
      </c>
      <c r="E2624" t="s">
        <v>118</v>
      </c>
      <c r="F2624" t="s">
        <v>127</v>
      </c>
      <c r="G2624" t="s">
        <v>126</v>
      </c>
      <c r="H2624" t="s">
        <v>285</v>
      </c>
      <c r="I2624" t="s">
        <v>86</v>
      </c>
      <c r="J2624" t="s">
        <v>288</v>
      </c>
      <c r="K2624" t="s">
        <v>57</v>
      </c>
    </row>
    <row r="2625" spans="1:11" x14ac:dyDescent="0.35">
      <c r="A2625" t="s">
        <v>3128</v>
      </c>
      <c r="B2625">
        <v>2025</v>
      </c>
      <c r="C2625" t="s">
        <v>1398</v>
      </c>
      <c r="D2625" t="s">
        <v>76</v>
      </c>
      <c r="E2625" t="s">
        <v>360</v>
      </c>
      <c r="F2625" t="s">
        <v>125</v>
      </c>
      <c r="G2625" t="s">
        <v>128</v>
      </c>
      <c r="H2625" t="s">
        <v>357</v>
      </c>
      <c r="I2625" t="s">
        <v>86</v>
      </c>
      <c r="J2625" t="s">
        <v>312</v>
      </c>
      <c r="K2625" t="s">
        <v>42</v>
      </c>
    </row>
    <row r="2626" spans="1:11" x14ac:dyDescent="0.35">
      <c r="A2626" t="s">
        <v>3129</v>
      </c>
      <c r="B2626">
        <v>2025</v>
      </c>
      <c r="C2626" t="s">
        <v>1398</v>
      </c>
      <c r="D2626" t="s">
        <v>76</v>
      </c>
      <c r="E2626" t="s">
        <v>107</v>
      </c>
      <c r="F2626" t="s">
        <v>125</v>
      </c>
      <c r="G2626" t="s">
        <v>126</v>
      </c>
      <c r="H2626" t="s">
        <v>285</v>
      </c>
      <c r="I2626" t="s">
        <v>86</v>
      </c>
      <c r="J2626" t="s">
        <v>347</v>
      </c>
      <c r="K2626" t="s">
        <v>57</v>
      </c>
    </row>
    <row r="2627" spans="1:11" x14ac:dyDescent="0.35">
      <c r="A2627" t="s">
        <v>3130</v>
      </c>
      <c r="B2627">
        <v>2025</v>
      </c>
      <c r="C2627" t="s">
        <v>1398</v>
      </c>
      <c r="D2627" t="s">
        <v>85</v>
      </c>
      <c r="E2627" t="s">
        <v>116</v>
      </c>
      <c r="F2627" t="s">
        <v>129</v>
      </c>
      <c r="G2627" t="s">
        <v>126</v>
      </c>
      <c r="H2627" t="s">
        <v>285</v>
      </c>
      <c r="I2627" t="s">
        <v>77</v>
      </c>
      <c r="J2627" t="s">
        <v>286</v>
      </c>
      <c r="K2627" t="s">
        <v>57</v>
      </c>
    </row>
    <row r="2628" spans="1:11" x14ac:dyDescent="0.35">
      <c r="A2628" t="s">
        <v>3131</v>
      </c>
      <c r="B2628">
        <v>2025</v>
      </c>
      <c r="C2628" t="s">
        <v>1398</v>
      </c>
      <c r="D2628" t="s">
        <v>76</v>
      </c>
      <c r="E2628" t="s">
        <v>119</v>
      </c>
      <c r="F2628" t="s">
        <v>125</v>
      </c>
      <c r="G2628" t="s">
        <v>126</v>
      </c>
      <c r="H2628" t="s">
        <v>285</v>
      </c>
      <c r="I2628" t="s">
        <v>86</v>
      </c>
      <c r="J2628" t="s">
        <v>405</v>
      </c>
      <c r="K2628" t="s">
        <v>57</v>
      </c>
    </row>
    <row r="2629" spans="1:11" x14ac:dyDescent="0.35">
      <c r="A2629" t="s">
        <v>3132</v>
      </c>
      <c r="B2629">
        <v>2025</v>
      </c>
      <c r="C2629" t="s">
        <v>1398</v>
      </c>
      <c r="D2629" t="s">
        <v>85</v>
      </c>
      <c r="E2629" t="s">
        <v>117</v>
      </c>
      <c r="F2629" t="s">
        <v>134</v>
      </c>
      <c r="G2629" t="s">
        <v>128</v>
      </c>
      <c r="H2629" t="s">
        <v>305</v>
      </c>
      <c r="I2629" t="s">
        <v>289</v>
      </c>
      <c r="J2629" t="s">
        <v>286</v>
      </c>
      <c r="K2629" t="s">
        <v>57</v>
      </c>
    </row>
    <row r="2630" spans="1:11" x14ac:dyDescent="0.35">
      <c r="A2630" t="s">
        <v>3133</v>
      </c>
      <c r="B2630">
        <v>2025</v>
      </c>
      <c r="C2630" t="s">
        <v>1398</v>
      </c>
      <c r="D2630" t="s">
        <v>85</v>
      </c>
      <c r="E2630" t="s">
        <v>120</v>
      </c>
      <c r="F2630" t="s">
        <v>129</v>
      </c>
      <c r="G2630" t="s">
        <v>128</v>
      </c>
      <c r="H2630" t="s">
        <v>357</v>
      </c>
      <c r="I2630" t="s">
        <v>77</v>
      </c>
      <c r="J2630" t="s">
        <v>286</v>
      </c>
      <c r="K2630" t="s">
        <v>57</v>
      </c>
    </row>
    <row r="2631" spans="1:11" x14ac:dyDescent="0.35">
      <c r="A2631" t="s">
        <v>3134</v>
      </c>
      <c r="B2631">
        <v>2025</v>
      </c>
      <c r="C2631" t="s">
        <v>1398</v>
      </c>
      <c r="D2631" t="s">
        <v>85</v>
      </c>
      <c r="E2631" t="s">
        <v>116</v>
      </c>
      <c r="F2631" t="s">
        <v>131</v>
      </c>
      <c r="G2631" t="s">
        <v>126</v>
      </c>
      <c r="H2631" t="s">
        <v>285</v>
      </c>
      <c r="I2631" t="s">
        <v>289</v>
      </c>
      <c r="J2631" t="s">
        <v>288</v>
      </c>
      <c r="K2631" t="s">
        <v>57</v>
      </c>
    </row>
    <row r="2632" spans="1:11" x14ac:dyDescent="0.35">
      <c r="A2632" t="s">
        <v>3135</v>
      </c>
      <c r="B2632">
        <v>2025</v>
      </c>
      <c r="C2632" t="s">
        <v>1398</v>
      </c>
      <c r="D2632" t="s">
        <v>85</v>
      </c>
      <c r="E2632" t="s">
        <v>116</v>
      </c>
      <c r="F2632" t="s">
        <v>125</v>
      </c>
      <c r="G2632" t="s">
        <v>126</v>
      </c>
      <c r="H2632" t="s">
        <v>285</v>
      </c>
      <c r="I2632" t="s">
        <v>289</v>
      </c>
      <c r="J2632" t="s">
        <v>288</v>
      </c>
      <c r="K2632" t="s">
        <v>57</v>
      </c>
    </row>
    <row r="2633" spans="1:11" x14ac:dyDescent="0.35">
      <c r="A2633" t="s">
        <v>3136</v>
      </c>
      <c r="B2633">
        <v>2025</v>
      </c>
      <c r="C2633" t="s">
        <v>1398</v>
      </c>
      <c r="D2633" t="s">
        <v>76</v>
      </c>
      <c r="E2633" t="s">
        <v>110</v>
      </c>
      <c r="F2633" t="s">
        <v>125</v>
      </c>
      <c r="G2633" t="s">
        <v>130</v>
      </c>
      <c r="H2633" t="s">
        <v>285</v>
      </c>
      <c r="I2633" t="s">
        <v>288</v>
      </c>
      <c r="J2633" t="s">
        <v>288</v>
      </c>
      <c r="K2633" t="s">
        <v>57</v>
      </c>
    </row>
    <row r="2634" spans="1:11" x14ac:dyDescent="0.35">
      <c r="A2634" t="s">
        <v>3137</v>
      </c>
      <c r="B2634">
        <v>2025</v>
      </c>
      <c r="C2634" t="s">
        <v>1398</v>
      </c>
      <c r="D2634" t="s">
        <v>76</v>
      </c>
      <c r="E2634" t="s">
        <v>360</v>
      </c>
      <c r="F2634" t="s">
        <v>125</v>
      </c>
      <c r="G2634" t="s">
        <v>132</v>
      </c>
      <c r="H2634" t="s">
        <v>357</v>
      </c>
      <c r="I2634" t="s">
        <v>1984</v>
      </c>
      <c r="J2634" t="s">
        <v>308</v>
      </c>
      <c r="K2634" t="s">
        <v>42</v>
      </c>
    </row>
    <row r="2635" spans="1:11" x14ac:dyDescent="0.35">
      <c r="A2635" t="s">
        <v>3138</v>
      </c>
      <c r="B2635">
        <v>2025</v>
      </c>
      <c r="C2635" t="s">
        <v>1398</v>
      </c>
      <c r="D2635" t="s">
        <v>85</v>
      </c>
      <c r="E2635" t="s">
        <v>120</v>
      </c>
      <c r="F2635" t="s">
        <v>129</v>
      </c>
      <c r="G2635" t="s">
        <v>128</v>
      </c>
      <c r="H2635" t="s">
        <v>285</v>
      </c>
      <c r="I2635" t="s">
        <v>333</v>
      </c>
      <c r="J2635" t="s">
        <v>286</v>
      </c>
      <c r="K2635" t="s">
        <v>57</v>
      </c>
    </row>
    <row r="2636" spans="1:11" x14ac:dyDescent="0.35">
      <c r="A2636" t="s">
        <v>3139</v>
      </c>
      <c r="B2636">
        <v>2025</v>
      </c>
      <c r="C2636" t="s">
        <v>1398</v>
      </c>
      <c r="D2636" t="s">
        <v>76</v>
      </c>
      <c r="E2636" t="s">
        <v>360</v>
      </c>
      <c r="F2636" t="s">
        <v>125</v>
      </c>
      <c r="G2636" t="s">
        <v>128</v>
      </c>
      <c r="H2636" t="s">
        <v>357</v>
      </c>
      <c r="I2636" t="s">
        <v>86</v>
      </c>
      <c r="J2636" t="s">
        <v>308</v>
      </c>
      <c r="K2636" t="s">
        <v>42</v>
      </c>
    </row>
    <row r="2637" spans="1:11" x14ac:dyDescent="0.35">
      <c r="A2637" t="s">
        <v>3140</v>
      </c>
      <c r="B2637">
        <v>2025</v>
      </c>
      <c r="C2637" t="s">
        <v>1398</v>
      </c>
      <c r="D2637" t="s">
        <v>76</v>
      </c>
      <c r="E2637" t="s">
        <v>119</v>
      </c>
      <c r="F2637" t="s">
        <v>288</v>
      </c>
      <c r="G2637" t="s">
        <v>132</v>
      </c>
      <c r="H2637" t="s">
        <v>285</v>
      </c>
      <c r="I2637" t="s">
        <v>86</v>
      </c>
      <c r="J2637" t="s">
        <v>288</v>
      </c>
      <c r="K2637" t="s">
        <v>57</v>
      </c>
    </row>
    <row r="2638" spans="1:11" x14ac:dyDescent="0.35">
      <c r="A2638" t="s">
        <v>3141</v>
      </c>
      <c r="B2638">
        <v>2025</v>
      </c>
      <c r="C2638" t="s">
        <v>1398</v>
      </c>
      <c r="D2638" t="s">
        <v>85</v>
      </c>
      <c r="E2638" t="s">
        <v>120</v>
      </c>
      <c r="F2638" t="s">
        <v>131</v>
      </c>
      <c r="G2638" t="s">
        <v>128</v>
      </c>
      <c r="H2638" t="s">
        <v>305</v>
      </c>
      <c r="I2638" t="s">
        <v>77</v>
      </c>
      <c r="J2638" t="s">
        <v>308</v>
      </c>
      <c r="K2638" t="s">
        <v>42</v>
      </c>
    </row>
    <row r="2639" spans="1:11" x14ac:dyDescent="0.35">
      <c r="A2639" t="s">
        <v>270</v>
      </c>
      <c r="B2639">
        <v>2025</v>
      </c>
      <c r="C2639" t="s">
        <v>1398</v>
      </c>
      <c r="D2639" t="s">
        <v>85</v>
      </c>
      <c r="E2639" t="s">
        <v>116</v>
      </c>
      <c r="F2639" t="s">
        <v>127</v>
      </c>
      <c r="G2639" t="s">
        <v>128</v>
      </c>
      <c r="H2639" t="s">
        <v>285</v>
      </c>
      <c r="I2639" t="s">
        <v>77</v>
      </c>
      <c r="J2639" t="s">
        <v>286</v>
      </c>
      <c r="K2639" t="s">
        <v>57</v>
      </c>
    </row>
    <row r="2640" spans="1:11" x14ac:dyDescent="0.35">
      <c r="A2640" t="s">
        <v>3142</v>
      </c>
      <c r="B2640">
        <v>2025</v>
      </c>
      <c r="C2640" t="s">
        <v>1398</v>
      </c>
      <c r="D2640" t="s">
        <v>85</v>
      </c>
      <c r="E2640" t="s">
        <v>117</v>
      </c>
      <c r="F2640" t="s">
        <v>129</v>
      </c>
      <c r="G2640" t="s">
        <v>128</v>
      </c>
      <c r="H2640" t="s">
        <v>305</v>
      </c>
      <c r="I2640" t="s">
        <v>288</v>
      </c>
      <c r="J2640" t="s">
        <v>288</v>
      </c>
      <c r="K2640" t="s">
        <v>57</v>
      </c>
    </row>
    <row r="2641" spans="1:11" x14ac:dyDescent="0.35">
      <c r="A2641" t="s">
        <v>3143</v>
      </c>
      <c r="B2641">
        <v>2025</v>
      </c>
      <c r="C2641" t="s">
        <v>1398</v>
      </c>
      <c r="D2641" t="s">
        <v>76</v>
      </c>
      <c r="E2641" t="s">
        <v>119</v>
      </c>
      <c r="F2641" t="s">
        <v>129</v>
      </c>
      <c r="G2641" t="s">
        <v>128</v>
      </c>
      <c r="H2641" t="s">
        <v>285</v>
      </c>
      <c r="I2641" t="s">
        <v>86</v>
      </c>
      <c r="J2641" t="s">
        <v>286</v>
      </c>
      <c r="K2641" t="s">
        <v>57</v>
      </c>
    </row>
    <row r="2642" spans="1:11" x14ac:dyDescent="0.35">
      <c r="A2642" t="s">
        <v>3144</v>
      </c>
      <c r="B2642">
        <v>2025</v>
      </c>
      <c r="C2642" t="s">
        <v>1398</v>
      </c>
      <c r="D2642" t="s">
        <v>76</v>
      </c>
      <c r="E2642" t="s">
        <v>110</v>
      </c>
      <c r="F2642" t="s">
        <v>127</v>
      </c>
      <c r="G2642" t="s">
        <v>132</v>
      </c>
      <c r="H2642" t="s">
        <v>285</v>
      </c>
      <c r="I2642" t="s">
        <v>3145</v>
      </c>
      <c r="J2642" t="s">
        <v>3146</v>
      </c>
      <c r="K2642" t="s">
        <v>42</v>
      </c>
    </row>
    <row r="2643" spans="1:11" x14ac:dyDescent="0.35">
      <c r="A2643" t="s">
        <v>3147</v>
      </c>
      <c r="B2643">
        <v>2025</v>
      </c>
      <c r="C2643" t="s">
        <v>1398</v>
      </c>
      <c r="D2643" t="s">
        <v>85</v>
      </c>
      <c r="E2643" t="s">
        <v>116</v>
      </c>
      <c r="F2643" t="s">
        <v>129</v>
      </c>
      <c r="G2643" t="s">
        <v>128</v>
      </c>
      <c r="H2643" t="s">
        <v>285</v>
      </c>
      <c r="I2643" t="s">
        <v>77</v>
      </c>
      <c r="J2643" t="s">
        <v>286</v>
      </c>
      <c r="K2643" t="s">
        <v>57</v>
      </c>
    </row>
    <row r="2644" spans="1:11" x14ac:dyDescent="0.35">
      <c r="A2644" t="s">
        <v>3148</v>
      </c>
      <c r="B2644">
        <v>2025</v>
      </c>
      <c r="C2644" t="s">
        <v>1398</v>
      </c>
      <c r="D2644" t="s">
        <v>85</v>
      </c>
      <c r="E2644" t="s">
        <v>120</v>
      </c>
      <c r="F2644" t="s">
        <v>127</v>
      </c>
      <c r="G2644" t="s">
        <v>128</v>
      </c>
      <c r="H2644" t="s">
        <v>357</v>
      </c>
      <c r="I2644" t="s">
        <v>289</v>
      </c>
      <c r="J2644" t="s">
        <v>347</v>
      </c>
      <c r="K2644" t="s">
        <v>57</v>
      </c>
    </row>
    <row r="2645" spans="1:11" x14ac:dyDescent="0.35">
      <c r="A2645" t="s">
        <v>3149</v>
      </c>
      <c r="B2645">
        <v>2025</v>
      </c>
      <c r="C2645" t="s">
        <v>1398</v>
      </c>
      <c r="D2645" t="s">
        <v>85</v>
      </c>
      <c r="E2645" t="s">
        <v>120</v>
      </c>
      <c r="F2645" t="s">
        <v>134</v>
      </c>
      <c r="G2645" t="s">
        <v>128</v>
      </c>
      <c r="H2645" t="s">
        <v>357</v>
      </c>
      <c r="I2645" t="s">
        <v>289</v>
      </c>
      <c r="J2645" t="s">
        <v>566</v>
      </c>
      <c r="K2645" t="s">
        <v>42</v>
      </c>
    </row>
    <row r="2646" spans="1:11" x14ac:dyDescent="0.35">
      <c r="A2646" t="s">
        <v>3150</v>
      </c>
      <c r="B2646">
        <v>2025</v>
      </c>
      <c r="C2646" t="s">
        <v>1398</v>
      </c>
      <c r="D2646" t="s">
        <v>85</v>
      </c>
      <c r="E2646" t="s">
        <v>116</v>
      </c>
      <c r="F2646" t="s">
        <v>125</v>
      </c>
      <c r="G2646" t="s">
        <v>128</v>
      </c>
      <c r="H2646" t="s">
        <v>285</v>
      </c>
      <c r="I2646" t="s">
        <v>77</v>
      </c>
      <c r="J2646" t="s">
        <v>286</v>
      </c>
      <c r="K2646" t="s">
        <v>57</v>
      </c>
    </row>
    <row r="2647" spans="1:11" x14ac:dyDescent="0.35">
      <c r="A2647" t="s">
        <v>3151</v>
      </c>
      <c r="B2647">
        <v>2025</v>
      </c>
      <c r="C2647" t="s">
        <v>1398</v>
      </c>
      <c r="D2647" t="s">
        <v>76</v>
      </c>
      <c r="E2647" t="s">
        <v>113</v>
      </c>
      <c r="F2647" t="s">
        <v>127</v>
      </c>
      <c r="G2647" t="s">
        <v>132</v>
      </c>
      <c r="H2647" t="s">
        <v>285</v>
      </c>
      <c r="I2647" t="s">
        <v>86</v>
      </c>
      <c r="J2647" t="s">
        <v>317</v>
      </c>
      <c r="K2647" t="s">
        <v>57</v>
      </c>
    </row>
    <row r="2648" spans="1:11" x14ac:dyDescent="0.35">
      <c r="A2648" t="s">
        <v>3152</v>
      </c>
      <c r="B2648">
        <v>2025</v>
      </c>
      <c r="C2648" t="s">
        <v>1398</v>
      </c>
      <c r="D2648" t="s">
        <v>76</v>
      </c>
      <c r="E2648" t="s">
        <v>108</v>
      </c>
      <c r="F2648" t="s">
        <v>125</v>
      </c>
      <c r="G2648" t="s">
        <v>128</v>
      </c>
      <c r="H2648" t="s">
        <v>285</v>
      </c>
      <c r="I2648" t="s">
        <v>428</v>
      </c>
      <c r="J2648" t="s">
        <v>286</v>
      </c>
      <c r="K2648" t="s">
        <v>57</v>
      </c>
    </row>
    <row r="2649" spans="1:11" x14ac:dyDescent="0.35">
      <c r="A2649" t="s">
        <v>3153</v>
      </c>
      <c r="B2649">
        <v>2025</v>
      </c>
      <c r="C2649" t="s">
        <v>1398</v>
      </c>
      <c r="D2649" t="s">
        <v>85</v>
      </c>
      <c r="E2649" t="s">
        <v>377</v>
      </c>
      <c r="F2649" t="s">
        <v>131</v>
      </c>
      <c r="G2649" t="s">
        <v>128</v>
      </c>
      <c r="H2649" t="s">
        <v>305</v>
      </c>
      <c r="I2649" t="s">
        <v>86</v>
      </c>
      <c r="J2649" t="s">
        <v>3154</v>
      </c>
      <c r="K2649" t="s">
        <v>42</v>
      </c>
    </row>
    <row r="2650" spans="1:11" x14ac:dyDescent="0.35">
      <c r="A2650" t="s">
        <v>3155</v>
      </c>
      <c r="B2650">
        <v>2025</v>
      </c>
      <c r="C2650" t="s">
        <v>1398</v>
      </c>
      <c r="D2650" t="s">
        <v>76</v>
      </c>
      <c r="E2650" t="s">
        <v>108</v>
      </c>
      <c r="F2650" t="s">
        <v>125</v>
      </c>
      <c r="G2650" t="s">
        <v>130</v>
      </c>
      <c r="H2650" t="s">
        <v>285</v>
      </c>
      <c r="I2650" t="s">
        <v>77</v>
      </c>
      <c r="J2650" t="s">
        <v>286</v>
      </c>
      <c r="K2650" t="s">
        <v>57</v>
      </c>
    </row>
    <row r="2651" spans="1:11" x14ac:dyDescent="0.35">
      <c r="A2651" t="s">
        <v>3156</v>
      </c>
      <c r="B2651">
        <v>2025</v>
      </c>
      <c r="C2651" t="s">
        <v>1398</v>
      </c>
      <c r="D2651" t="s">
        <v>76</v>
      </c>
      <c r="E2651" t="s">
        <v>111</v>
      </c>
      <c r="F2651" t="s">
        <v>125</v>
      </c>
      <c r="G2651" t="s">
        <v>132</v>
      </c>
      <c r="H2651" t="s">
        <v>285</v>
      </c>
      <c r="I2651" t="s">
        <v>86</v>
      </c>
      <c r="J2651" t="s">
        <v>288</v>
      </c>
      <c r="K2651" t="s">
        <v>57</v>
      </c>
    </row>
    <row r="2652" spans="1:11" x14ac:dyDescent="0.35">
      <c r="A2652" t="s">
        <v>3157</v>
      </c>
      <c r="B2652">
        <v>2025</v>
      </c>
      <c r="C2652" t="s">
        <v>1398</v>
      </c>
      <c r="D2652" t="s">
        <v>76</v>
      </c>
      <c r="E2652" t="s">
        <v>107</v>
      </c>
      <c r="F2652" t="s">
        <v>125</v>
      </c>
      <c r="G2652" t="s">
        <v>126</v>
      </c>
      <c r="H2652" t="s">
        <v>285</v>
      </c>
      <c r="I2652" t="s">
        <v>86</v>
      </c>
      <c r="J2652" t="s">
        <v>3158</v>
      </c>
      <c r="K2652" t="s">
        <v>42</v>
      </c>
    </row>
    <row r="2653" spans="1:11" x14ac:dyDescent="0.35">
      <c r="A2653" t="s">
        <v>3159</v>
      </c>
      <c r="B2653">
        <v>2025</v>
      </c>
      <c r="C2653" t="s">
        <v>1398</v>
      </c>
      <c r="D2653" t="s">
        <v>76</v>
      </c>
      <c r="E2653" t="s">
        <v>115</v>
      </c>
      <c r="F2653" t="s">
        <v>125</v>
      </c>
      <c r="G2653" t="s">
        <v>132</v>
      </c>
      <c r="H2653" t="s">
        <v>285</v>
      </c>
      <c r="I2653" t="s">
        <v>3160</v>
      </c>
      <c r="J2653" t="s">
        <v>286</v>
      </c>
      <c r="K2653" t="s">
        <v>57</v>
      </c>
    </row>
    <row r="2654" spans="1:11" x14ac:dyDescent="0.35">
      <c r="A2654" t="s">
        <v>3161</v>
      </c>
      <c r="B2654">
        <v>2025</v>
      </c>
      <c r="C2654" t="s">
        <v>1398</v>
      </c>
      <c r="D2654" t="s">
        <v>76</v>
      </c>
      <c r="E2654" t="s">
        <v>118</v>
      </c>
      <c r="F2654" t="s">
        <v>131</v>
      </c>
      <c r="G2654" t="s">
        <v>128</v>
      </c>
      <c r="H2654" t="s">
        <v>285</v>
      </c>
      <c r="I2654" t="s">
        <v>86</v>
      </c>
      <c r="J2654" t="s">
        <v>317</v>
      </c>
      <c r="K2654" t="s">
        <v>57</v>
      </c>
    </row>
    <row r="2655" spans="1:11" x14ac:dyDescent="0.35">
      <c r="A2655" t="s">
        <v>3162</v>
      </c>
      <c r="B2655">
        <v>2025</v>
      </c>
      <c r="C2655" t="s">
        <v>1398</v>
      </c>
      <c r="D2655" t="s">
        <v>76</v>
      </c>
      <c r="E2655" t="s">
        <v>107</v>
      </c>
      <c r="F2655" t="s">
        <v>125</v>
      </c>
      <c r="G2655" t="s">
        <v>128</v>
      </c>
      <c r="H2655" t="s">
        <v>285</v>
      </c>
      <c r="I2655" t="s">
        <v>77</v>
      </c>
      <c r="J2655" t="s">
        <v>347</v>
      </c>
      <c r="K2655" t="s">
        <v>57</v>
      </c>
    </row>
    <row r="2656" spans="1:11" x14ac:dyDescent="0.35">
      <c r="A2656" t="s">
        <v>3163</v>
      </c>
      <c r="B2656">
        <v>2025</v>
      </c>
      <c r="C2656" t="s">
        <v>1398</v>
      </c>
      <c r="D2656" t="s">
        <v>85</v>
      </c>
      <c r="E2656" t="s">
        <v>116</v>
      </c>
      <c r="F2656" t="s">
        <v>129</v>
      </c>
      <c r="G2656" t="s">
        <v>126</v>
      </c>
      <c r="H2656" t="s">
        <v>285</v>
      </c>
      <c r="I2656" t="s">
        <v>289</v>
      </c>
      <c r="J2656" t="s">
        <v>286</v>
      </c>
      <c r="K2656" t="s">
        <v>57</v>
      </c>
    </row>
    <row r="2657" spans="1:11" x14ac:dyDescent="0.35">
      <c r="A2657" t="s">
        <v>3164</v>
      </c>
      <c r="B2657">
        <v>2025</v>
      </c>
      <c r="C2657" t="s">
        <v>1398</v>
      </c>
      <c r="D2657" t="s">
        <v>85</v>
      </c>
      <c r="E2657" t="s">
        <v>116</v>
      </c>
      <c r="F2657" t="s">
        <v>127</v>
      </c>
      <c r="G2657" t="s">
        <v>132</v>
      </c>
      <c r="H2657" t="s">
        <v>285</v>
      </c>
      <c r="I2657" t="s">
        <v>289</v>
      </c>
      <c r="J2657" t="s">
        <v>286</v>
      </c>
      <c r="K2657" t="s">
        <v>57</v>
      </c>
    </row>
    <row r="2658" spans="1:11" x14ac:dyDescent="0.35">
      <c r="A2658" t="s">
        <v>3165</v>
      </c>
      <c r="B2658">
        <v>2025</v>
      </c>
      <c r="C2658" t="s">
        <v>1398</v>
      </c>
      <c r="D2658" t="s">
        <v>85</v>
      </c>
      <c r="E2658" t="s">
        <v>116</v>
      </c>
      <c r="F2658" t="s">
        <v>129</v>
      </c>
      <c r="G2658" t="s">
        <v>128</v>
      </c>
      <c r="H2658" t="s">
        <v>285</v>
      </c>
      <c r="I2658" t="s">
        <v>289</v>
      </c>
      <c r="J2658" t="s">
        <v>286</v>
      </c>
      <c r="K2658" t="s">
        <v>57</v>
      </c>
    </row>
    <row r="2659" spans="1:11" x14ac:dyDescent="0.35">
      <c r="A2659" t="s">
        <v>3166</v>
      </c>
      <c r="B2659">
        <v>2025</v>
      </c>
      <c r="C2659" t="s">
        <v>1398</v>
      </c>
      <c r="D2659" t="s">
        <v>76</v>
      </c>
      <c r="E2659" t="s">
        <v>107</v>
      </c>
      <c r="F2659" t="s">
        <v>129</v>
      </c>
      <c r="G2659" t="s">
        <v>130</v>
      </c>
      <c r="H2659" t="s">
        <v>285</v>
      </c>
      <c r="I2659" t="s">
        <v>638</v>
      </c>
      <c r="J2659" t="s">
        <v>288</v>
      </c>
      <c r="K2659" t="s">
        <v>57</v>
      </c>
    </row>
    <row r="2660" spans="1:11" x14ac:dyDescent="0.35">
      <c r="A2660" t="s">
        <v>3167</v>
      </c>
      <c r="B2660">
        <v>2025</v>
      </c>
      <c r="C2660" t="s">
        <v>1398</v>
      </c>
      <c r="D2660" t="s">
        <v>85</v>
      </c>
      <c r="E2660" t="s">
        <v>120</v>
      </c>
      <c r="F2660" t="s">
        <v>131</v>
      </c>
      <c r="G2660" t="s">
        <v>128</v>
      </c>
      <c r="H2660" t="s">
        <v>357</v>
      </c>
      <c r="I2660" t="s">
        <v>407</v>
      </c>
      <c r="J2660" t="s">
        <v>288</v>
      </c>
      <c r="K2660" t="s">
        <v>57</v>
      </c>
    </row>
    <row r="2661" spans="1:11" x14ac:dyDescent="0.35">
      <c r="A2661" t="s">
        <v>3168</v>
      </c>
      <c r="B2661">
        <v>2025</v>
      </c>
      <c r="C2661" t="s">
        <v>1398</v>
      </c>
      <c r="D2661" t="s">
        <v>76</v>
      </c>
      <c r="E2661" t="s">
        <v>118</v>
      </c>
      <c r="F2661" t="s">
        <v>127</v>
      </c>
      <c r="G2661" t="s">
        <v>132</v>
      </c>
      <c r="H2661" t="s">
        <v>285</v>
      </c>
      <c r="I2661" t="s">
        <v>86</v>
      </c>
      <c r="J2661" t="s">
        <v>317</v>
      </c>
      <c r="K2661" t="s">
        <v>57</v>
      </c>
    </row>
    <row r="2662" spans="1:11" x14ac:dyDescent="0.35">
      <c r="A2662" t="s">
        <v>3169</v>
      </c>
      <c r="B2662">
        <v>2025</v>
      </c>
      <c r="C2662" t="s">
        <v>1398</v>
      </c>
      <c r="D2662" t="s">
        <v>76</v>
      </c>
      <c r="E2662" t="s">
        <v>111</v>
      </c>
      <c r="F2662" t="s">
        <v>125</v>
      </c>
      <c r="G2662" t="s">
        <v>128</v>
      </c>
      <c r="H2662" t="s">
        <v>285</v>
      </c>
      <c r="I2662" t="s">
        <v>86</v>
      </c>
      <c r="J2662" t="s">
        <v>288</v>
      </c>
      <c r="K2662" t="s">
        <v>57</v>
      </c>
    </row>
    <row r="2663" spans="1:11" x14ac:dyDescent="0.35">
      <c r="A2663" t="s">
        <v>3170</v>
      </c>
      <c r="B2663">
        <v>2025</v>
      </c>
      <c r="C2663" t="s">
        <v>1398</v>
      </c>
      <c r="D2663" t="s">
        <v>85</v>
      </c>
      <c r="E2663" t="s">
        <v>116</v>
      </c>
      <c r="F2663" t="s">
        <v>125</v>
      </c>
      <c r="G2663" t="s">
        <v>132</v>
      </c>
      <c r="H2663" t="s">
        <v>357</v>
      </c>
      <c r="I2663" t="s">
        <v>86</v>
      </c>
      <c r="J2663" t="s">
        <v>288</v>
      </c>
      <c r="K2663" t="s">
        <v>57</v>
      </c>
    </row>
    <row r="2664" spans="1:11" x14ac:dyDescent="0.35">
      <c r="A2664" t="s">
        <v>3171</v>
      </c>
      <c r="B2664">
        <v>2025</v>
      </c>
      <c r="C2664" t="s">
        <v>1398</v>
      </c>
      <c r="D2664" t="s">
        <v>85</v>
      </c>
      <c r="E2664" t="s">
        <v>120</v>
      </c>
      <c r="F2664" t="s">
        <v>127</v>
      </c>
      <c r="G2664" t="s">
        <v>132</v>
      </c>
      <c r="H2664" t="s">
        <v>285</v>
      </c>
      <c r="I2664" t="s">
        <v>77</v>
      </c>
      <c r="J2664" t="s">
        <v>317</v>
      </c>
      <c r="K2664" t="s">
        <v>57</v>
      </c>
    </row>
    <row r="2665" spans="1:11" x14ac:dyDescent="0.35">
      <c r="A2665" t="s">
        <v>3172</v>
      </c>
      <c r="B2665">
        <v>2025</v>
      </c>
      <c r="C2665" t="s">
        <v>1398</v>
      </c>
      <c r="D2665" t="s">
        <v>85</v>
      </c>
      <c r="E2665" t="s">
        <v>116</v>
      </c>
      <c r="F2665" t="s">
        <v>131</v>
      </c>
      <c r="G2665" t="s">
        <v>126</v>
      </c>
      <c r="H2665" t="s">
        <v>305</v>
      </c>
      <c r="I2665" t="s">
        <v>535</v>
      </c>
      <c r="J2665" t="s">
        <v>286</v>
      </c>
      <c r="K2665" t="s">
        <v>57</v>
      </c>
    </row>
    <row r="2666" spans="1:11" x14ac:dyDescent="0.35">
      <c r="A2666" t="s">
        <v>3173</v>
      </c>
      <c r="B2666">
        <v>2025</v>
      </c>
      <c r="C2666" t="s">
        <v>1398</v>
      </c>
      <c r="D2666" t="s">
        <v>76</v>
      </c>
      <c r="E2666" t="s">
        <v>115</v>
      </c>
      <c r="F2666" t="s">
        <v>125</v>
      </c>
      <c r="G2666" t="s">
        <v>132</v>
      </c>
      <c r="H2666" t="s">
        <v>285</v>
      </c>
      <c r="I2666" t="s">
        <v>333</v>
      </c>
      <c r="J2666" t="s">
        <v>3174</v>
      </c>
      <c r="K2666" t="s">
        <v>42</v>
      </c>
    </row>
    <row r="2667" spans="1:11" x14ac:dyDescent="0.35">
      <c r="A2667" t="s">
        <v>3175</v>
      </c>
      <c r="B2667">
        <v>2025</v>
      </c>
      <c r="C2667" t="s">
        <v>1398</v>
      </c>
      <c r="D2667" t="s">
        <v>76</v>
      </c>
      <c r="E2667" t="s">
        <v>119</v>
      </c>
      <c r="F2667" t="s">
        <v>127</v>
      </c>
      <c r="G2667" t="s">
        <v>128</v>
      </c>
      <c r="H2667" t="s">
        <v>285</v>
      </c>
      <c r="I2667" t="s">
        <v>289</v>
      </c>
      <c r="J2667" t="s">
        <v>286</v>
      </c>
      <c r="K2667" t="s">
        <v>57</v>
      </c>
    </row>
    <row r="2668" spans="1:11" x14ac:dyDescent="0.35">
      <c r="A2668" t="s">
        <v>3176</v>
      </c>
      <c r="B2668">
        <v>2025</v>
      </c>
      <c r="C2668" t="s">
        <v>1398</v>
      </c>
      <c r="D2668" t="s">
        <v>85</v>
      </c>
      <c r="E2668" t="s">
        <v>120</v>
      </c>
      <c r="F2668" t="s">
        <v>131</v>
      </c>
      <c r="G2668" t="s">
        <v>130</v>
      </c>
      <c r="H2668" t="s">
        <v>357</v>
      </c>
      <c r="I2668" t="s">
        <v>77</v>
      </c>
      <c r="J2668" t="s">
        <v>286</v>
      </c>
      <c r="K2668" t="s">
        <v>57</v>
      </c>
    </row>
    <row r="2669" spans="1:11" x14ac:dyDescent="0.35">
      <c r="A2669" t="s">
        <v>3177</v>
      </c>
      <c r="B2669">
        <v>2025</v>
      </c>
      <c r="C2669" t="s">
        <v>1398</v>
      </c>
      <c r="D2669" t="s">
        <v>76</v>
      </c>
      <c r="E2669" t="s">
        <v>115</v>
      </c>
      <c r="F2669" t="s">
        <v>129</v>
      </c>
      <c r="G2669" t="s">
        <v>126</v>
      </c>
      <c r="H2669" t="s">
        <v>357</v>
      </c>
      <c r="I2669" t="s">
        <v>1077</v>
      </c>
      <c r="J2669" t="s">
        <v>286</v>
      </c>
      <c r="K2669" t="s">
        <v>57</v>
      </c>
    </row>
    <row r="2670" spans="1:11" x14ac:dyDescent="0.35">
      <c r="A2670" t="s">
        <v>3178</v>
      </c>
      <c r="B2670">
        <v>2025</v>
      </c>
      <c r="C2670" t="s">
        <v>1398</v>
      </c>
      <c r="D2670" t="s">
        <v>85</v>
      </c>
      <c r="E2670" t="s">
        <v>116</v>
      </c>
      <c r="F2670" t="s">
        <v>127</v>
      </c>
      <c r="G2670" t="s">
        <v>126</v>
      </c>
      <c r="H2670" t="s">
        <v>285</v>
      </c>
      <c r="I2670" t="s">
        <v>289</v>
      </c>
      <c r="J2670" t="s">
        <v>295</v>
      </c>
      <c r="K2670" t="s">
        <v>57</v>
      </c>
    </row>
    <row r="2671" spans="1:11" x14ac:dyDescent="0.35">
      <c r="A2671" t="s">
        <v>3179</v>
      </c>
      <c r="B2671">
        <v>2025</v>
      </c>
      <c r="C2671" t="s">
        <v>1398</v>
      </c>
      <c r="D2671" t="s">
        <v>85</v>
      </c>
      <c r="E2671" t="s">
        <v>116</v>
      </c>
      <c r="F2671" t="s">
        <v>127</v>
      </c>
      <c r="G2671" t="s">
        <v>128</v>
      </c>
      <c r="H2671" t="s">
        <v>285</v>
      </c>
      <c r="I2671" t="s">
        <v>289</v>
      </c>
      <c r="J2671" t="s">
        <v>286</v>
      </c>
      <c r="K2671" t="s">
        <v>57</v>
      </c>
    </row>
    <row r="2672" spans="1:11" x14ac:dyDescent="0.35">
      <c r="A2672" t="s">
        <v>3180</v>
      </c>
      <c r="B2672">
        <v>2025</v>
      </c>
      <c r="C2672" t="s">
        <v>1398</v>
      </c>
      <c r="D2672" t="s">
        <v>76</v>
      </c>
      <c r="E2672" t="s">
        <v>118</v>
      </c>
      <c r="F2672" t="s">
        <v>131</v>
      </c>
      <c r="G2672" t="s">
        <v>128</v>
      </c>
      <c r="H2672" t="s">
        <v>357</v>
      </c>
      <c r="I2672" t="s">
        <v>86</v>
      </c>
      <c r="J2672" t="s">
        <v>317</v>
      </c>
      <c r="K2672" t="s">
        <v>57</v>
      </c>
    </row>
    <row r="2673" spans="1:11" x14ac:dyDescent="0.35">
      <c r="A2673" t="s">
        <v>3181</v>
      </c>
      <c r="B2673">
        <v>2025</v>
      </c>
      <c r="C2673" t="s">
        <v>1398</v>
      </c>
      <c r="D2673" t="s">
        <v>76</v>
      </c>
      <c r="E2673" t="s">
        <v>115</v>
      </c>
      <c r="F2673" t="s">
        <v>129</v>
      </c>
      <c r="G2673" t="s">
        <v>130</v>
      </c>
      <c r="H2673" t="s">
        <v>357</v>
      </c>
      <c r="I2673" t="s">
        <v>426</v>
      </c>
      <c r="J2673" t="s">
        <v>286</v>
      </c>
      <c r="K2673" t="s">
        <v>57</v>
      </c>
    </row>
    <row r="2674" spans="1:11" x14ac:dyDescent="0.35">
      <c r="A2674" t="s">
        <v>3182</v>
      </c>
      <c r="B2674">
        <v>2025</v>
      </c>
      <c r="C2674" t="s">
        <v>1398</v>
      </c>
      <c r="D2674" t="s">
        <v>85</v>
      </c>
      <c r="E2674" t="s">
        <v>116</v>
      </c>
      <c r="F2674" t="s">
        <v>129</v>
      </c>
      <c r="G2674" t="s">
        <v>128</v>
      </c>
      <c r="H2674" t="s">
        <v>285</v>
      </c>
      <c r="I2674" t="s">
        <v>77</v>
      </c>
      <c r="J2674" t="s">
        <v>286</v>
      </c>
      <c r="K2674" t="s">
        <v>57</v>
      </c>
    </row>
    <row r="2675" spans="1:11" x14ac:dyDescent="0.35">
      <c r="A2675" t="s">
        <v>3183</v>
      </c>
      <c r="B2675">
        <v>2025</v>
      </c>
      <c r="C2675" t="s">
        <v>1398</v>
      </c>
      <c r="D2675" t="s">
        <v>85</v>
      </c>
      <c r="E2675" t="s">
        <v>116</v>
      </c>
      <c r="F2675" t="s">
        <v>129</v>
      </c>
      <c r="G2675" t="s">
        <v>128</v>
      </c>
      <c r="H2675" t="s">
        <v>285</v>
      </c>
      <c r="I2675" t="s">
        <v>77</v>
      </c>
      <c r="J2675" t="s">
        <v>286</v>
      </c>
      <c r="K2675" t="s">
        <v>57</v>
      </c>
    </row>
    <row r="2676" spans="1:11" x14ac:dyDescent="0.35">
      <c r="A2676" t="s">
        <v>3184</v>
      </c>
      <c r="B2676">
        <v>2025</v>
      </c>
      <c r="C2676" t="s">
        <v>1398</v>
      </c>
      <c r="D2676" t="s">
        <v>85</v>
      </c>
      <c r="E2676" t="s">
        <v>116</v>
      </c>
      <c r="F2676" t="s">
        <v>127</v>
      </c>
      <c r="G2676" t="s">
        <v>128</v>
      </c>
      <c r="H2676" t="s">
        <v>285</v>
      </c>
      <c r="I2676" t="s">
        <v>77</v>
      </c>
      <c r="J2676" t="s">
        <v>286</v>
      </c>
      <c r="K2676" t="s">
        <v>57</v>
      </c>
    </row>
    <row r="2677" spans="1:11" x14ac:dyDescent="0.35">
      <c r="A2677" t="s">
        <v>3185</v>
      </c>
      <c r="B2677">
        <v>2025</v>
      </c>
      <c r="C2677" t="s">
        <v>1398</v>
      </c>
      <c r="D2677" t="s">
        <v>85</v>
      </c>
      <c r="E2677" t="s">
        <v>120</v>
      </c>
      <c r="F2677" t="s">
        <v>131</v>
      </c>
      <c r="G2677" t="s">
        <v>128</v>
      </c>
      <c r="H2677" t="s">
        <v>357</v>
      </c>
      <c r="I2677" t="s">
        <v>288</v>
      </c>
      <c r="J2677" t="s">
        <v>288</v>
      </c>
      <c r="K2677" t="s">
        <v>57</v>
      </c>
    </row>
    <row r="2678" spans="1:11" x14ac:dyDescent="0.35">
      <c r="A2678" t="s">
        <v>3186</v>
      </c>
      <c r="B2678">
        <v>2025</v>
      </c>
      <c r="C2678" t="s">
        <v>1398</v>
      </c>
      <c r="D2678" t="s">
        <v>85</v>
      </c>
      <c r="E2678" t="s">
        <v>116</v>
      </c>
      <c r="F2678" t="s">
        <v>127</v>
      </c>
      <c r="G2678" t="s">
        <v>128</v>
      </c>
      <c r="H2678" t="s">
        <v>285</v>
      </c>
      <c r="I2678" t="s">
        <v>289</v>
      </c>
      <c r="J2678" t="s">
        <v>286</v>
      </c>
      <c r="K2678" t="s">
        <v>57</v>
      </c>
    </row>
    <row r="2679" spans="1:11" x14ac:dyDescent="0.35">
      <c r="A2679" t="s">
        <v>3187</v>
      </c>
      <c r="B2679">
        <v>2025</v>
      </c>
      <c r="C2679" t="s">
        <v>1398</v>
      </c>
      <c r="D2679" t="s">
        <v>76</v>
      </c>
      <c r="E2679" t="s">
        <v>107</v>
      </c>
      <c r="F2679" t="s">
        <v>125</v>
      </c>
      <c r="G2679" t="s">
        <v>132</v>
      </c>
      <c r="H2679" t="s">
        <v>285</v>
      </c>
      <c r="I2679" t="s">
        <v>288</v>
      </c>
      <c r="J2679" t="s">
        <v>286</v>
      </c>
      <c r="K2679" t="s">
        <v>57</v>
      </c>
    </row>
    <row r="2680" spans="1:11" x14ac:dyDescent="0.35">
      <c r="A2680" t="s">
        <v>3188</v>
      </c>
      <c r="B2680">
        <v>2025</v>
      </c>
      <c r="C2680" t="s">
        <v>1398</v>
      </c>
      <c r="D2680" t="s">
        <v>76</v>
      </c>
      <c r="E2680" t="s">
        <v>119</v>
      </c>
      <c r="F2680" t="s">
        <v>125</v>
      </c>
      <c r="G2680" t="s">
        <v>132</v>
      </c>
      <c r="H2680" t="s">
        <v>357</v>
      </c>
      <c r="I2680" t="s">
        <v>1627</v>
      </c>
      <c r="J2680" t="s">
        <v>288</v>
      </c>
      <c r="K2680" t="s">
        <v>57</v>
      </c>
    </row>
    <row r="2681" spans="1:11" x14ac:dyDescent="0.35">
      <c r="A2681" t="s">
        <v>3189</v>
      </c>
      <c r="B2681">
        <v>2025</v>
      </c>
      <c r="C2681" t="s">
        <v>1398</v>
      </c>
      <c r="D2681" t="s">
        <v>76</v>
      </c>
      <c r="E2681" t="s">
        <v>119</v>
      </c>
      <c r="F2681" t="s">
        <v>125</v>
      </c>
      <c r="G2681" t="s">
        <v>132</v>
      </c>
      <c r="H2681" t="s">
        <v>357</v>
      </c>
      <c r="I2681" t="s">
        <v>499</v>
      </c>
      <c r="J2681" t="s">
        <v>286</v>
      </c>
      <c r="K2681" t="s">
        <v>57</v>
      </c>
    </row>
    <row r="2682" spans="1:11" x14ac:dyDescent="0.35">
      <c r="A2682" t="s">
        <v>3190</v>
      </c>
      <c r="B2682">
        <v>2025</v>
      </c>
      <c r="C2682" t="s">
        <v>1398</v>
      </c>
      <c r="D2682" t="s">
        <v>76</v>
      </c>
      <c r="E2682" t="s">
        <v>113</v>
      </c>
      <c r="F2682" t="s">
        <v>127</v>
      </c>
      <c r="G2682" t="s">
        <v>128</v>
      </c>
      <c r="H2682" t="s">
        <v>285</v>
      </c>
      <c r="I2682" t="s">
        <v>77</v>
      </c>
      <c r="J2682" t="s">
        <v>286</v>
      </c>
      <c r="K2682" t="s">
        <v>57</v>
      </c>
    </row>
    <row r="2683" spans="1:11" x14ac:dyDescent="0.35">
      <c r="A2683" t="s">
        <v>3191</v>
      </c>
      <c r="B2683">
        <v>2025</v>
      </c>
      <c r="C2683" t="s">
        <v>1398</v>
      </c>
      <c r="D2683" t="s">
        <v>76</v>
      </c>
      <c r="E2683" t="s">
        <v>115</v>
      </c>
      <c r="F2683" t="s">
        <v>125</v>
      </c>
      <c r="G2683" t="s">
        <v>132</v>
      </c>
      <c r="H2683" t="s">
        <v>357</v>
      </c>
      <c r="I2683" t="s">
        <v>288</v>
      </c>
      <c r="J2683" t="s">
        <v>405</v>
      </c>
      <c r="K2683" t="s">
        <v>57</v>
      </c>
    </row>
    <row r="2684" spans="1:11" x14ac:dyDescent="0.35">
      <c r="A2684" t="s">
        <v>3192</v>
      </c>
      <c r="B2684">
        <v>2025</v>
      </c>
      <c r="C2684" t="s">
        <v>1398</v>
      </c>
      <c r="D2684" t="s">
        <v>76</v>
      </c>
      <c r="E2684" t="s">
        <v>115</v>
      </c>
      <c r="F2684" t="s">
        <v>129</v>
      </c>
      <c r="G2684" t="s">
        <v>128</v>
      </c>
      <c r="H2684" t="s">
        <v>285</v>
      </c>
      <c r="I2684" t="s">
        <v>77</v>
      </c>
      <c r="J2684" t="s">
        <v>447</v>
      </c>
      <c r="K2684" t="s">
        <v>57</v>
      </c>
    </row>
    <row r="2685" spans="1:11" x14ac:dyDescent="0.35">
      <c r="A2685" t="s">
        <v>3193</v>
      </c>
      <c r="B2685">
        <v>2025</v>
      </c>
      <c r="C2685" t="s">
        <v>1398</v>
      </c>
      <c r="D2685" t="s">
        <v>85</v>
      </c>
      <c r="E2685" t="s">
        <v>116</v>
      </c>
      <c r="F2685" t="s">
        <v>129</v>
      </c>
      <c r="G2685" t="s">
        <v>128</v>
      </c>
      <c r="H2685" t="s">
        <v>357</v>
      </c>
      <c r="I2685" t="s">
        <v>289</v>
      </c>
      <c r="J2685" t="s">
        <v>1447</v>
      </c>
      <c r="K2685" t="s">
        <v>42</v>
      </c>
    </row>
    <row r="2686" spans="1:11" x14ac:dyDescent="0.35">
      <c r="A2686" t="s">
        <v>3194</v>
      </c>
      <c r="B2686">
        <v>2025</v>
      </c>
      <c r="C2686" t="s">
        <v>1398</v>
      </c>
      <c r="D2686" t="s">
        <v>76</v>
      </c>
      <c r="E2686" t="s">
        <v>115</v>
      </c>
      <c r="F2686" t="s">
        <v>129</v>
      </c>
      <c r="G2686" t="s">
        <v>130</v>
      </c>
      <c r="H2686" t="s">
        <v>285</v>
      </c>
      <c r="I2686" t="s">
        <v>77</v>
      </c>
      <c r="J2686" t="s">
        <v>286</v>
      </c>
      <c r="K2686" t="s">
        <v>57</v>
      </c>
    </row>
    <row r="2687" spans="1:11" x14ac:dyDescent="0.35">
      <c r="A2687" t="s">
        <v>3195</v>
      </c>
      <c r="B2687">
        <v>2025</v>
      </c>
      <c r="C2687" t="s">
        <v>1398</v>
      </c>
      <c r="D2687" t="s">
        <v>76</v>
      </c>
      <c r="E2687" t="s">
        <v>115</v>
      </c>
      <c r="F2687" t="s">
        <v>131</v>
      </c>
      <c r="G2687" t="s">
        <v>132</v>
      </c>
      <c r="H2687" t="s">
        <v>357</v>
      </c>
      <c r="I2687" t="s">
        <v>756</v>
      </c>
      <c r="J2687" t="s">
        <v>981</v>
      </c>
      <c r="K2687" t="s">
        <v>42</v>
      </c>
    </row>
    <row r="2688" spans="1:11" x14ac:dyDescent="0.35">
      <c r="A2688" t="s">
        <v>3196</v>
      </c>
      <c r="B2688">
        <v>2025</v>
      </c>
      <c r="C2688" t="s">
        <v>1398</v>
      </c>
      <c r="D2688" t="s">
        <v>85</v>
      </c>
      <c r="E2688" t="s">
        <v>120</v>
      </c>
      <c r="F2688" t="s">
        <v>125</v>
      </c>
      <c r="G2688" t="s">
        <v>130</v>
      </c>
      <c r="H2688" t="s">
        <v>357</v>
      </c>
      <c r="I2688" t="s">
        <v>86</v>
      </c>
      <c r="J2688" t="s">
        <v>317</v>
      </c>
      <c r="K2688" t="s">
        <v>57</v>
      </c>
    </row>
    <row r="2689" spans="1:11" x14ac:dyDescent="0.35">
      <c r="A2689" t="s">
        <v>3197</v>
      </c>
      <c r="B2689">
        <v>2025</v>
      </c>
      <c r="C2689" t="s">
        <v>1398</v>
      </c>
      <c r="D2689" t="s">
        <v>76</v>
      </c>
      <c r="E2689" t="s">
        <v>115</v>
      </c>
      <c r="F2689" t="s">
        <v>127</v>
      </c>
      <c r="G2689" t="s">
        <v>130</v>
      </c>
      <c r="H2689" t="s">
        <v>357</v>
      </c>
      <c r="I2689" t="s">
        <v>86</v>
      </c>
      <c r="J2689" t="s">
        <v>3198</v>
      </c>
      <c r="K2689" t="s">
        <v>57</v>
      </c>
    </row>
    <row r="2690" spans="1:11" x14ac:dyDescent="0.35">
      <c r="A2690" t="s">
        <v>3199</v>
      </c>
      <c r="B2690">
        <v>2025</v>
      </c>
      <c r="C2690" t="s">
        <v>1398</v>
      </c>
      <c r="D2690" t="s">
        <v>76</v>
      </c>
      <c r="E2690" t="s">
        <v>360</v>
      </c>
      <c r="F2690" t="s">
        <v>131</v>
      </c>
      <c r="G2690" t="s">
        <v>126</v>
      </c>
      <c r="H2690" t="s">
        <v>357</v>
      </c>
      <c r="I2690" t="s">
        <v>426</v>
      </c>
      <c r="J2690" t="s">
        <v>286</v>
      </c>
      <c r="K2690" t="s">
        <v>57</v>
      </c>
    </row>
    <row r="2691" spans="1:11" x14ac:dyDescent="0.35">
      <c r="A2691" t="s">
        <v>3200</v>
      </c>
      <c r="B2691">
        <v>2025</v>
      </c>
      <c r="C2691" t="s">
        <v>1398</v>
      </c>
      <c r="D2691" t="s">
        <v>76</v>
      </c>
      <c r="E2691" t="s">
        <v>113</v>
      </c>
      <c r="F2691" t="s">
        <v>127</v>
      </c>
      <c r="G2691" t="s">
        <v>130</v>
      </c>
      <c r="H2691" t="s">
        <v>305</v>
      </c>
      <c r="I2691" t="s">
        <v>461</v>
      </c>
      <c r="J2691" t="s">
        <v>288</v>
      </c>
      <c r="K2691" t="s">
        <v>57</v>
      </c>
    </row>
    <row r="2692" spans="1:11" x14ac:dyDescent="0.35">
      <c r="A2692" t="s">
        <v>3201</v>
      </c>
      <c r="B2692">
        <v>2025</v>
      </c>
      <c r="C2692" t="s">
        <v>1398</v>
      </c>
      <c r="D2692" t="s">
        <v>76</v>
      </c>
      <c r="E2692" t="s">
        <v>111</v>
      </c>
      <c r="F2692" t="s">
        <v>125</v>
      </c>
      <c r="G2692" t="s">
        <v>132</v>
      </c>
      <c r="H2692" t="s">
        <v>285</v>
      </c>
      <c r="I2692" t="s">
        <v>289</v>
      </c>
      <c r="J2692" t="s">
        <v>312</v>
      </c>
      <c r="K2692" t="s">
        <v>42</v>
      </c>
    </row>
    <row r="2693" spans="1:11" x14ac:dyDescent="0.35">
      <c r="A2693" t="s">
        <v>3202</v>
      </c>
      <c r="B2693">
        <v>2025</v>
      </c>
      <c r="C2693" t="s">
        <v>1398</v>
      </c>
      <c r="D2693" t="s">
        <v>85</v>
      </c>
      <c r="E2693" t="s">
        <v>116</v>
      </c>
      <c r="F2693" t="s">
        <v>129</v>
      </c>
      <c r="G2693" t="s">
        <v>130</v>
      </c>
      <c r="H2693" t="s">
        <v>285</v>
      </c>
      <c r="I2693" t="s">
        <v>77</v>
      </c>
      <c r="J2693" t="s">
        <v>286</v>
      </c>
      <c r="K2693" t="s">
        <v>57</v>
      </c>
    </row>
    <row r="2694" spans="1:11" x14ac:dyDescent="0.35">
      <c r="A2694" t="s">
        <v>3203</v>
      </c>
      <c r="B2694">
        <v>2025</v>
      </c>
      <c r="C2694" t="s">
        <v>1398</v>
      </c>
      <c r="D2694" t="s">
        <v>76</v>
      </c>
      <c r="E2694" t="s">
        <v>360</v>
      </c>
      <c r="F2694" t="s">
        <v>127</v>
      </c>
      <c r="G2694" t="s">
        <v>126</v>
      </c>
      <c r="H2694" t="s">
        <v>357</v>
      </c>
      <c r="I2694" t="s">
        <v>77</v>
      </c>
      <c r="J2694" t="s">
        <v>447</v>
      </c>
      <c r="K2694" t="s">
        <v>57</v>
      </c>
    </row>
    <row r="2695" spans="1:11" x14ac:dyDescent="0.35">
      <c r="A2695" t="s">
        <v>3204</v>
      </c>
      <c r="B2695">
        <v>2025</v>
      </c>
      <c r="C2695" t="s">
        <v>1398</v>
      </c>
      <c r="D2695" t="s">
        <v>85</v>
      </c>
      <c r="E2695" t="s">
        <v>120</v>
      </c>
      <c r="F2695" t="s">
        <v>125</v>
      </c>
      <c r="G2695" t="s">
        <v>128</v>
      </c>
      <c r="H2695" t="s">
        <v>357</v>
      </c>
      <c r="I2695" t="s">
        <v>86</v>
      </c>
      <c r="J2695" t="s">
        <v>295</v>
      </c>
      <c r="K2695" t="s">
        <v>57</v>
      </c>
    </row>
    <row r="2696" spans="1:11" x14ac:dyDescent="0.35">
      <c r="A2696" t="s">
        <v>3205</v>
      </c>
      <c r="B2696">
        <v>2025</v>
      </c>
      <c r="C2696" t="s">
        <v>1398</v>
      </c>
      <c r="D2696" t="s">
        <v>85</v>
      </c>
      <c r="E2696" t="s">
        <v>120</v>
      </c>
      <c r="F2696" t="s">
        <v>129</v>
      </c>
      <c r="G2696" t="s">
        <v>128</v>
      </c>
      <c r="H2696" t="s">
        <v>357</v>
      </c>
      <c r="I2696" t="s">
        <v>333</v>
      </c>
      <c r="J2696" t="s">
        <v>286</v>
      </c>
      <c r="K2696" t="s">
        <v>57</v>
      </c>
    </row>
    <row r="2697" spans="1:11" x14ac:dyDescent="0.35">
      <c r="A2697" t="s">
        <v>3206</v>
      </c>
      <c r="B2697">
        <v>2025</v>
      </c>
      <c r="C2697" t="s">
        <v>1398</v>
      </c>
      <c r="D2697" t="s">
        <v>85</v>
      </c>
      <c r="E2697" t="s">
        <v>120</v>
      </c>
      <c r="F2697" t="s">
        <v>125</v>
      </c>
      <c r="G2697" t="s">
        <v>130</v>
      </c>
      <c r="H2697" t="s">
        <v>357</v>
      </c>
      <c r="I2697" t="s">
        <v>86</v>
      </c>
      <c r="J2697" t="s">
        <v>3207</v>
      </c>
      <c r="K2697" t="s">
        <v>42</v>
      </c>
    </row>
    <row r="2698" spans="1:11" x14ac:dyDescent="0.35">
      <c r="A2698" t="s">
        <v>3208</v>
      </c>
      <c r="B2698">
        <v>2025</v>
      </c>
      <c r="C2698" t="s">
        <v>1398</v>
      </c>
      <c r="D2698" t="s">
        <v>85</v>
      </c>
      <c r="E2698" t="s">
        <v>120</v>
      </c>
      <c r="F2698" t="s">
        <v>125</v>
      </c>
      <c r="G2698" t="s">
        <v>128</v>
      </c>
      <c r="H2698" t="s">
        <v>357</v>
      </c>
      <c r="I2698" t="s">
        <v>86</v>
      </c>
      <c r="J2698" t="s">
        <v>295</v>
      </c>
      <c r="K2698" t="s">
        <v>57</v>
      </c>
    </row>
    <row r="2699" spans="1:11" x14ac:dyDescent="0.35">
      <c r="A2699" t="s">
        <v>3209</v>
      </c>
      <c r="B2699">
        <v>2025</v>
      </c>
      <c r="C2699" t="s">
        <v>1398</v>
      </c>
      <c r="D2699" t="s">
        <v>85</v>
      </c>
      <c r="E2699" t="s">
        <v>120</v>
      </c>
      <c r="F2699" t="s">
        <v>125</v>
      </c>
      <c r="G2699" t="s">
        <v>128</v>
      </c>
      <c r="H2699" t="s">
        <v>285</v>
      </c>
      <c r="I2699" t="s">
        <v>86</v>
      </c>
      <c r="J2699" t="s">
        <v>295</v>
      </c>
      <c r="K2699" t="s">
        <v>57</v>
      </c>
    </row>
    <row r="2700" spans="1:11" x14ac:dyDescent="0.35">
      <c r="A2700" t="s">
        <v>3210</v>
      </c>
      <c r="B2700">
        <v>2025</v>
      </c>
      <c r="C2700" t="s">
        <v>1398</v>
      </c>
      <c r="D2700" t="s">
        <v>85</v>
      </c>
      <c r="E2700" t="s">
        <v>120</v>
      </c>
      <c r="F2700" t="s">
        <v>125</v>
      </c>
      <c r="G2700" t="s">
        <v>132</v>
      </c>
      <c r="H2700" t="s">
        <v>285</v>
      </c>
      <c r="I2700" t="s">
        <v>86</v>
      </c>
      <c r="J2700" t="s">
        <v>409</v>
      </c>
      <c r="K2700" t="s">
        <v>57</v>
      </c>
    </row>
    <row r="2701" spans="1:11" x14ac:dyDescent="0.35">
      <c r="A2701" t="s">
        <v>3211</v>
      </c>
      <c r="B2701">
        <v>2025</v>
      </c>
      <c r="C2701" t="s">
        <v>1398</v>
      </c>
      <c r="D2701" t="s">
        <v>76</v>
      </c>
      <c r="E2701" t="s">
        <v>108</v>
      </c>
      <c r="F2701" t="s">
        <v>125</v>
      </c>
      <c r="G2701" t="s">
        <v>128</v>
      </c>
      <c r="H2701" t="s">
        <v>285</v>
      </c>
      <c r="I2701" t="s">
        <v>77</v>
      </c>
      <c r="J2701" t="s">
        <v>286</v>
      </c>
      <c r="K2701" t="s">
        <v>57</v>
      </c>
    </row>
    <row r="2702" spans="1:11" x14ac:dyDescent="0.35">
      <c r="A2702" t="s">
        <v>3212</v>
      </c>
      <c r="B2702">
        <v>2025</v>
      </c>
      <c r="C2702" t="s">
        <v>1398</v>
      </c>
      <c r="D2702" t="s">
        <v>85</v>
      </c>
      <c r="E2702" t="s">
        <v>116</v>
      </c>
      <c r="F2702" t="s">
        <v>127</v>
      </c>
      <c r="G2702" t="s">
        <v>128</v>
      </c>
      <c r="H2702" t="s">
        <v>357</v>
      </c>
      <c r="I2702" t="s">
        <v>289</v>
      </c>
      <c r="J2702" t="s">
        <v>317</v>
      </c>
      <c r="K2702" t="s">
        <v>57</v>
      </c>
    </row>
    <row r="2703" spans="1:11" x14ac:dyDescent="0.35">
      <c r="A2703" t="s">
        <v>3213</v>
      </c>
      <c r="B2703">
        <v>2025</v>
      </c>
      <c r="C2703" t="s">
        <v>1398</v>
      </c>
      <c r="D2703" t="s">
        <v>76</v>
      </c>
      <c r="E2703" t="s">
        <v>115</v>
      </c>
      <c r="F2703" t="s">
        <v>131</v>
      </c>
      <c r="G2703" t="s">
        <v>128</v>
      </c>
      <c r="H2703" t="s">
        <v>285</v>
      </c>
      <c r="I2703" t="s">
        <v>289</v>
      </c>
      <c r="J2703" t="s">
        <v>286</v>
      </c>
      <c r="K2703" t="s">
        <v>57</v>
      </c>
    </row>
    <row r="2704" spans="1:11" x14ac:dyDescent="0.35">
      <c r="A2704" t="s">
        <v>3214</v>
      </c>
      <c r="B2704">
        <v>2025</v>
      </c>
      <c r="C2704" t="s">
        <v>1398</v>
      </c>
      <c r="D2704" t="s">
        <v>85</v>
      </c>
      <c r="E2704" t="s">
        <v>117</v>
      </c>
      <c r="F2704" t="s">
        <v>131</v>
      </c>
      <c r="G2704" t="s">
        <v>130</v>
      </c>
      <c r="H2704" t="s">
        <v>357</v>
      </c>
      <c r="I2704" t="s">
        <v>86</v>
      </c>
      <c r="J2704" t="s">
        <v>347</v>
      </c>
      <c r="K2704" t="s">
        <v>57</v>
      </c>
    </row>
    <row r="2705" spans="1:11" x14ac:dyDescent="0.35">
      <c r="A2705" t="s">
        <v>3215</v>
      </c>
      <c r="B2705">
        <v>2025</v>
      </c>
      <c r="C2705" t="s">
        <v>1398</v>
      </c>
      <c r="D2705" t="s">
        <v>85</v>
      </c>
      <c r="E2705" t="s">
        <v>116</v>
      </c>
      <c r="F2705" t="s">
        <v>129</v>
      </c>
      <c r="G2705" t="s">
        <v>130</v>
      </c>
      <c r="H2705" t="s">
        <v>285</v>
      </c>
      <c r="I2705" t="s">
        <v>77</v>
      </c>
      <c r="J2705" t="s">
        <v>286</v>
      </c>
      <c r="K2705" t="s">
        <v>57</v>
      </c>
    </row>
    <row r="2706" spans="1:11" x14ac:dyDescent="0.35">
      <c r="A2706" t="s">
        <v>3216</v>
      </c>
      <c r="B2706">
        <v>2025</v>
      </c>
      <c r="C2706" t="s">
        <v>1398</v>
      </c>
      <c r="D2706" t="s">
        <v>85</v>
      </c>
      <c r="E2706" t="s">
        <v>120</v>
      </c>
      <c r="F2706" t="s">
        <v>125</v>
      </c>
      <c r="G2706" t="s">
        <v>126</v>
      </c>
      <c r="H2706" t="s">
        <v>285</v>
      </c>
      <c r="I2706" t="s">
        <v>86</v>
      </c>
      <c r="J2706" t="s">
        <v>317</v>
      </c>
      <c r="K2706" t="s">
        <v>57</v>
      </c>
    </row>
    <row r="2707" spans="1:11" x14ac:dyDescent="0.35">
      <c r="A2707" t="s">
        <v>3217</v>
      </c>
      <c r="B2707">
        <v>2025</v>
      </c>
      <c r="C2707" t="s">
        <v>1398</v>
      </c>
      <c r="D2707" t="s">
        <v>76</v>
      </c>
      <c r="E2707" t="s">
        <v>119</v>
      </c>
      <c r="F2707" t="s">
        <v>125</v>
      </c>
      <c r="G2707" t="s">
        <v>126</v>
      </c>
      <c r="H2707" t="s">
        <v>285</v>
      </c>
      <c r="I2707" t="s">
        <v>86</v>
      </c>
      <c r="J2707" t="s">
        <v>286</v>
      </c>
      <c r="K2707" t="s">
        <v>57</v>
      </c>
    </row>
    <row r="2708" spans="1:11" x14ac:dyDescent="0.35">
      <c r="A2708" t="s">
        <v>3218</v>
      </c>
      <c r="B2708">
        <v>2025</v>
      </c>
      <c r="C2708" t="s">
        <v>1398</v>
      </c>
      <c r="D2708" t="s">
        <v>76</v>
      </c>
      <c r="E2708" t="s">
        <v>115</v>
      </c>
      <c r="F2708" t="s">
        <v>125</v>
      </c>
      <c r="G2708" t="s">
        <v>132</v>
      </c>
      <c r="H2708" t="s">
        <v>285</v>
      </c>
      <c r="I2708" t="s">
        <v>77</v>
      </c>
      <c r="J2708" t="s">
        <v>286</v>
      </c>
      <c r="K2708" t="s">
        <v>57</v>
      </c>
    </row>
    <row r="2709" spans="1:11" x14ac:dyDescent="0.35">
      <c r="A2709" t="s">
        <v>3219</v>
      </c>
      <c r="B2709">
        <v>2025</v>
      </c>
      <c r="C2709" t="s">
        <v>1398</v>
      </c>
      <c r="D2709" t="s">
        <v>76</v>
      </c>
      <c r="E2709" t="s">
        <v>110</v>
      </c>
      <c r="F2709" t="s">
        <v>129</v>
      </c>
      <c r="G2709" t="s">
        <v>130</v>
      </c>
      <c r="H2709" t="s">
        <v>285</v>
      </c>
      <c r="I2709" t="s">
        <v>86</v>
      </c>
      <c r="J2709" t="s">
        <v>317</v>
      </c>
      <c r="K2709" t="s">
        <v>57</v>
      </c>
    </row>
    <row r="2710" spans="1:11" x14ac:dyDescent="0.35">
      <c r="A2710" t="s">
        <v>3220</v>
      </c>
      <c r="B2710">
        <v>2025</v>
      </c>
      <c r="C2710" t="s">
        <v>1398</v>
      </c>
      <c r="D2710" t="s">
        <v>85</v>
      </c>
      <c r="E2710" t="s">
        <v>117</v>
      </c>
      <c r="F2710" t="s">
        <v>129</v>
      </c>
      <c r="G2710" t="s">
        <v>132</v>
      </c>
      <c r="H2710" t="s">
        <v>357</v>
      </c>
      <c r="I2710" t="s">
        <v>86</v>
      </c>
      <c r="J2710" t="s">
        <v>409</v>
      </c>
      <c r="K2710" t="s">
        <v>57</v>
      </c>
    </row>
    <row r="2711" spans="1:11" x14ac:dyDescent="0.35">
      <c r="A2711" t="s">
        <v>3221</v>
      </c>
      <c r="B2711">
        <v>2025</v>
      </c>
      <c r="C2711" t="s">
        <v>1398</v>
      </c>
      <c r="D2711" t="s">
        <v>76</v>
      </c>
      <c r="E2711" t="s">
        <v>119</v>
      </c>
      <c r="F2711" t="s">
        <v>125</v>
      </c>
      <c r="G2711" t="s">
        <v>128</v>
      </c>
      <c r="H2711" t="s">
        <v>285</v>
      </c>
      <c r="I2711" t="s">
        <v>86</v>
      </c>
      <c r="J2711" t="s">
        <v>286</v>
      </c>
      <c r="K2711" t="s">
        <v>57</v>
      </c>
    </row>
    <row r="2712" spans="1:11" x14ac:dyDescent="0.35">
      <c r="A2712" t="s">
        <v>3222</v>
      </c>
      <c r="B2712">
        <v>2025</v>
      </c>
      <c r="C2712" t="s">
        <v>1398</v>
      </c>
      <c r="D2712" t="s">
        <v>76</v>
      </c>
      <c r="E2712" t="s">
        <v>107</v>
      </c>
      <c r="F2712" t="s">
        <v>125</v>
      </c>
      <c r="G2712" t="s">
        <v>126</v>
      </c>
      <c r="H2712" t="s">
        <v>285</v>
      </c>
      <c r="I2712" t="s">
        <v>86</v>
      </c>
      <c r="J2712" t="s">
        <v>308</v>
      </c>
      <c r="K2712" t="s">
        <v>42</v>
      </c>
    </row>
    <row r="2713" spans="1:11" x14ac:dyDescent="0.35">
      <c r="A2713" t="s">
        <v>3223</v>
      </c>
      <c r="B2713">
        <v>2025</v>
      </c>
      <c r="C2713" t="s">
        <v>1398</v>
      </c>
      <c r="D2713" t="s">
        <v>76</v>
      </c>
      <c r="E2713" t="s">
        <v>107</v>
      </c>
      <c r="F2713" t="s">
        <v>125</v>
      </c>
      <c r="G2713" t="s">
        <v>126</v>
      </c>
      <c r="H2713" t="s">
        <v>285</v>
      </c>
      <c r="I2713" t="s">
        <v>77</v>
      </c>
      <c r="J2713" t="s">
        <v>286</v>
      </c>
      <c r="K2713" t="s">
        <v>57</v>
      </c>
    </row>
    <row r="2714" spans="1:11" x14ac:dyDescent="0.35">
      <c r="A2714" t="s">
        <v>3224</v>
      </c>
      <c r="B2714">
        <v>2025</v>
      </c>
      <c r="C2714" t="s">
        <v>1398</v>
      </c>
      <c r="D2714" t="s">
        <v>85</v>
      </c>
      <c r="E2714" t="s">
        <v>116</v>
      </c>
      <c r="F2714" t="s">
        <v>133</v>
      </c>
      <c r="G2714" t="s">
        <v>128</v>
      </c>
      <c r="H2714" t="s">
        <v>285</v>
      </c>
      <c r="I2714" t="s">
        <v>77</v>
      </c>
      <c r="J2714" t="s">
        <v>286</v>
      </c>
      <c r="K2714" t="s">
        <v>57</v>
      </c>
    </row>
    <row r="2715" spans="1:11" x14ac:dyDescent="0.35">
      <c r="A2715" t="s">
        <v>3225</v>
      </c>
      <c r="B2715">
        <v>2025</v>
      </c>
      <c r="C2715" t="s">
        <v>1398</v>
      </c>
      <c r="D2715" t="s">
        <v>76</v>
      </c>
      <c r="E2715" t="s">
        <v>360</v>
      </c>
      <c r="F2715" t="s">
        <v>129</v>
      </c>
      <c r="G2715" t="s">
        <v>130</v>
      </c>
      <c r="H2715" t="s">
        <v>305</v>
      </c>
      <c r="I2715" t="s">
        <v>77</v>
      </c>
      <c r="J2715" t="s">
        <v>286</v>
      </c>
      <c r="K2715" t="s">
        <v>57</v>
      </c>
    </row>
    <row r="2716" spans="1:11" x14ac:dyDescent="0.35">
      <c r="A2716" t="s">
        <v>3226</v>
      </c>
      <c r="B2716">
        <v>2025</v>
      </c>
      <c r="C2716" t="s">
        <v>1398</v>
      </c>
      <c r="D2716" t="s">
        <v>85</v>
      </c>
      <c r="E2716" t="s">
        <v>117</v>
      </c>
      <c r="F2716" t="s">
        <v>127</v>
      </c>
      <c r="G2716" t="s">
        <v>128</v>
      </c>
      <c r="H2716" t="s">
        <v>357</v>
      </c>
      <c r="I2716" t="s">
        <v>86</v>
      </c>
      <c r="J2716" t="s">
        <v>566</v>
      </c>
      <c r="K2716" t="s">
        <v>42</v>
      </c>
    </row>
    <row r="2717" spans="1:11" x14ac:dyDescent="0.35">
      <c r="A2717" t="s">
        <v>3227</v>
      </c>
      <c r="B2717">
        <v>2025</v>
      </c>
      <c r="C2717" t="s">
        <v>1398</v>
      </c>
      <c r="D2717" t="s">
        <v>85</v>
      </c>
      <c r="E2717" t="s">
        <v>120</v>
      </c>
      <c r="F2717" t="s">
        <v>131</v>
      </c>
      <c r="G2717" t="s">
        <v>128</v>
      </c>
      <c r="H2717" t="s">
        <v>357</v>
      </c>
      <c r="I2717" t="s">
        <v>756</v>
      </c>
      <c r="J2717" t="s">
        <v>295</v>
      </c>
      <c r="K2717" t="s">
        <v>57</v>
      </c>
    </row>
    <row r="2718" spans="1:11" x14ac:dyDescent="0.35">
      <c r="A2718" t="s">
        <v>261</v>
      </c>
      <c r="B2718">
        <v>2025</v>
      </c>
      <c r="C2718" t="s">
        <v>1398</v>
      </c>
      <c r="D2718" t="s">
        <v>85</v>
      </c>
      <c r="E2718" t="s">
        <v>120</v>
      </c>
      <c r="F2718" t="s">
        <v>127</v>
      </c>
      <c r="G2718" t="s">
        <v>128</v>
      </c>
      <c r="H2718" t="s">
        <v>357</v>
      </c>
      <c r="I2718" t="s">
        <v>86</v>
      </c>
      <c r="J2718" t="s">
        <v>347</v>
      </c>
      <c r="K2718" t="s">
        <v>57</v>
      </c>
    </row>
    <row r="2719" spans="1:11" x14ac:dyDescent="0.35">
      <c r="A2719" t="s">
        <v>3228</v>
      </c>
      <c r="B2719">
        <v>2025</v>
      </c>
      <c r="C2719" t="s">
        <v>1398</v>
      </c>
      <c r="D2719" t="s">
        <v>85</v>
      </c>
      <c r="E2719" t="s">
        <v>117</v>
      </c>
      <c r="F2719" t="s">
        <v>288</v>
      </c>
      <c r="G2719" t="s">
        <v>128</v>
      </c>
      <c r="H2719" t="s">
        <v>305</v>
      </c>
      <c r="I2719" t="s">
        <v>288</v>
      </c>
      <c r="J2719" t="s">
        <v>288</v>
      </c>
      <c r="K2719" t="s">
        <v>57</v>
      </c>
    </row>
    <row r="2720" spans="1:11" x14ac:dyDescent="0.35">
      <c r="A2720" t="s">
        <v>3229</v>
      </c>
      <c r="B2720">
        <v>2025</v>
      </c>
      <c r="C2720" t="s">
        <v>1398</v>
      </c>
      <c r="D2720" t="s">
        <v>76</v>
      </c>
      <c r="E2720" t="s">
        <v>107</v>
      </c>
      <c r="F2720" t="s">
        <v>125</v>
      </c>
      <c r="G2720" t="s">
        <v>128</v>
      </c>
      <c r="H2720" t="s">
        <v>285</v>
      </c>
      <c r="I2720" t="s">
        <v>86</v>
      </c>
      <c r="J2720" t="s">
        <v>317</v>
      </c>
      <c r="K2720" t="s">
        <v>57</v>
      </c>
    </row>
    <row r="2721" spans="1:11" x14ac:dyDescent="0.35">
      <c r="A2721" t="s">
        <v>3230</v>
      </c>
      <c r="B2721">
        <v>2025</v>
      </c>
      <c r="C2721" t="s">
        <v>1398</v>
      </c>
      <c r="D2721" t="s">
        <v>76</v>
      </c>
      <c r="E2721" t="s">
        <v>110</v>
      </c>
      <c r="F2721" t="s">
        <v>127</v>
      </c>
      <c r="G2721" t="s">
        <v>126</v>
      </c>
      <c r="H2721" t="s">
        <v>285</v>
      </c>
      <c r="I2721" t="s">
        <v>535</v>
      </c>
      <c r="J2721" t="s">
        <v>288</v>
      </c>
      <c r="K2721" t="s">
        <v>57</v>
      </c>
    </row>
    <row r="2722" spans="1:11" x14ac:dyDescent="0.35">
      <c r="A2722" t="s">
        <v>3231</v>
      </c>
      <c r="B2722">
        <v>2025</v>
      </c>
      <c r="C2722" t="s">
        <v>1398</v>
      </c>
      <c r="D2722" t="s">
        <v>85</v>
      </c>
      <c r="E2722" t="s">
        <v>116</v>
      </c>
      <c r="F2722" t="s">
        <v>129</v>
      </c>
      <c r="G2722" t="s">
        <v>128</v>
      </c>
      <c r="H2722" t="s">
        <v>285</v>
      </c>
      <c r="I2722" t="s">
        <v>77</v>
      </c>
      <c r="J2722" t="s">
        <v>286</v>
      </c>
      <c r="K2722" t="s">
        <v>57</v>
      </c>
    </row>
    <row r="2723" spans="1:11" x14ac:dyDescent="0.35">
      <c r="A2723" t="s">
        <v>3232</v>
      </c>
      <c r="B2723">
        <v>2025</v>
      </c>
      <c r="C2723" t="s">
        <v>1398</v>
      </c>
      <c r="D2723" t="s">
        <v>76</v>
      </c>
      <c r="E2723" t="s">
        <v>107</v>
      </c>
      <c r="F2723" t="s">
        <v>125</v>
      </c>
      <c r="G2723" t="s">
        <v>128</v>
      </c>
      <c r="H2723" t="s">
        <v>285</v>
      </c>
      <c r="I2723" t="s">
        <v>86</v>
      </c>
      <c r="J2723" t="s">
        <v>462</v>
      </c>
      <c r="K2723" t="s">
        <v>42</v>
      </c>
    </row>
    <row r="2724" spans="1:11" x14ac:dyDescent="0.35">
      <c r="A2724" t="s">
        <v>3233</v>
      </c>
      <c r="B2724">
        <v>2025</v>
      </c>
      <c r="C2724" t="s">
        <v>1398</v>
      </c>
      <c r="D2724" t="s">
        <v>85</v>
      </c>
      <c r="E2724" t="s">
        <v>116</v>
      </c>
      <c r="F2724" t="s">
        <v>125</v>
      </c>
      <c r="G2724" t="s">
        <v>128</v>
      </c>
      <c r="H2724" t="s">
        <v>285</v>
      </c>
      <c r="I2724" t="s">
        <v>289</v>
      </c>
      <c r="J2724" t="s">
        <v>412</v>
      </c>
      <c r="K2724" t="s">
        <v>57</v>
      </c>
    </row>
    <row r="2725" spans="1:11" x14ac:dyDescent="0.35">
      <c r="A2725" t="s">
        <v>3234</v>
      </c>
      <c r="B2725">
        <v>2025</v>
      </c>
      <c r="C2725" t="s">
        <v>1398</v>
      </c>
      <c r="D2725" t="s">
        <v>76</v>
      </c>
      <c r="E2725" t="s">
        <v>107</v>
      </c>
      <c r="F2725" t="s">
        <v>125</v>
      </c>
      <c r="G2725" t="s">
        <v>128</v>
      </c>
      <c r="H2725" t="s">
        <v>285</v>
      </c>
      <c r="I2725" t="s">
        <v>77</v>
      </c>
      <c r="J2725" t="s">
        <v>286</v>
      </c>
      <c r="K2725" t="s">
        <v>57</v>
      </c>
    </row>
    <row r="2726" spans="1:11" x14ac:dyDescent="0.35">
      <c r="A2726" t="s">
        <v>3235</v>
      </c>
      <c r="B2726">
        <v>2025</v>
      </c>
      <c r="C2726" t="s">
        <v>1398</v>
      </c>
      <c r="D2726" t="s">
        <v>76</v>
      </c>
      <c r="E2726" t="s">
        <v>109</v>
      </c>
      <c r="F2726" t="s">
        <v>125</v>
      </c>
      <c r="G2726" t="s">
        <v>128</v>
      </c>
      <c r="H2726" t="s">
        <v>285</v>
      </c>
      <c r="I2726" t="s">
        <v>77</v>
      </c>
      <c r="J2726" t="s">
        <v>288</v>
      </c>
      <c r="K2726" t="s">
        <v>57</v>
      </c>
    </row>
    <row r="2727" spans="1:11" x14ac:dyDescent="0.35">
      <c r="A2727" t="s">
        <v>3236</v>
      </c>
      <c r="B2727">
        <v>2025</v>
      </c>
      <c r="C2727" t="s">
        <v>1398</v>
      </c>
      <c r="D2727" t="s">
        <v>76</v>
      </c>
      <c r="E2727" t="s">
        <v>113</v>
      </c>
      <c r="F2727" t="s">
        <v>125</v>
      </c>
      <c r="G2727" t="s">
        <v>128</v>
      </c>
      <c r="H2727" t="s">
        <v>285</v>
      </c>
      <c r="I2727" t="s">
        <v>77</v>
      </c>
      <c r="J2727" t="s">
        <v>409</v>
      </c>
      <c r="K2727" t="s">
        <v>57</v>
      </c>
    </row>
    <row r="2728" spans="1:11" x14ac:dyDescent="0.35">
      <c r="A2728" t="s">
        <v>3237</v>
      </c>
      <c r="B2728">
        <v>2025</v>
      </c>
      <c r="C2728" t="s">
        <v>1398</v>
      </c>
      <c r="D2728" t="s">
        <v>85</v>
      </c>
      <c r="E2728" t="s">
        <v>116</v>
      </c>
      <c r="F2728" t="s">
        <v>129</v>
      </c>
      <c r="G2728" t="s">
        <v>128</v>
      </c>
      <c r="H2728" t="s">
        <v>285</v>
      </c>
      <c r="I2728" t="s">
        <v>289</v>
      </c>
      <c r="J2728" t="s">
        <v>286</v>
      </c>
      <c r="K2728" t="s">
        <v>57</v>
      </c>
    </row>
    <row r="2729" spans="1:11" x14ac:dyDescent="0.35">
      <c r="A2729" t="s">
        <v>3238</v>
      </c>
      <c r="B2729">
        <v>2025</v>
      </c>
      <c r="C2729" t="s">
        <v>1398</v>
      </c>
      <c r="D2729" t="s">
        <v>85</v>
      </c>
      <c r="E2729" t="s">
        <v>116</v>
      </c>
      <c r="F2729" t="s">
        <v>129</v>
      </c>
      <c r="G2729" t="s">
        <v>128</v>
      </c>
      <c r="H2729" t="s">
        <v>285</v>
      </c>
      <c r="I2729" t="s">
        <v>289</v>
      </c>
      <c r="J2729" t="s">
        <v>286</v>
      </c>
      <c r="K2729" t="s">
        <v>57</v>
      </c>
    </row>
    <row r="2730" spans="1:11" x14ac:dyDescent="0.35">
      <c r="A2730" t="s">
        <v>3239</v>
      </c>
      <c r="B2730">
        <v>2025</v>
      </c>
      <c r="C2730" t="s">
        <v>1398</v>
      </c>
      <c r="D2730" t="s">
        <v>85</v>
      </c>
      <c r="E2730" t="s">
        <v>116</v>
      </c>
      <c r="F2730" t="s">
        <v>133</v>
      </c>
      <c r="G2730" t="s">
        <v>128</v>
      </c>
      <c r="H2730" t="s">
        <v>285</v>
      </c>
      <c r="I2730" t="s">
        <v>731</v>
      </c>
      <c r="J2730" t="s">
        <v>286</v>
      </c>
      <c r="K2730" t="s">
        <v>57</v>
      </c>
    </row>
    <row r="2731" spans="1:11" x14ac:dyDescent="0.35">
      <c r="A2731" t="s">
        <v>3240</v>
      </c>
      <c r="B2731">
        <v>2025</v>
      </c>
      <c r="C2731" t="s">
        <v>1398</v>
      </c>
      <c r="D2731" t="s">
        <v>76</v>
      </c>
      <c r="E2731" t="s">
        <v>119</v>
      </c>
      <c r="F2731" t="s">
        <v>125</v>
      </c>
      <c r="G2731" t="s">
        <v>128</v>
      </c>
      <c r="H2731" t="s">
        <v>285</v>
      </c>
      <c r="I2731" t="s">
        <v>86</v>
      </c>
      <c r="J2731" t="s">
        <v>286</v>
      </c>
      <c r="K2731" t="s">
        <v>57</v>
      </c>
    </row>
    <row r="2732" spans="1:11" x14ac:dyDescent="0.35">
      <c r="A2732" t="s">
        <v>3241</v>
      </c>
      <c r="B2732">
        <v>2025</v>
      </c>
      <c r="C2732" t="s">
        <v>1398</v>
      </c>
      <c r="D2732" t="s">
        <v>76</v>
      </c>
      <c r="E2732" t="s">
        <v>115</v>
      </c>
      <c r="F2732" t="s">
        <v>127</v>
      </c>
      <c r="G2732" t="s">
        <v>128</v>
      </c>
      <c r="H2732" t="s">
        <v>357</v>
      </c>
      <c r="I2732" t="s">
        <v>77</v>
      </c>
      <c r="J2732" t="s">
        <v>3242</v>
      </c>
      <c r="K2732" t="s">
        <v>42</v>
      </c>
    </row>
    <row r="2733" spans="1:11" x14ac:dyDescent="0.35">
      <c r="A2733" t="s">
        <v>3243</v>
      </c>
      <c r="B2733">
        <v>2025</v>
      </c>
      <c r="C2733" t="s">
        <v>1398</v>
      </c>
      <c r="D2733" t="s">
        <v>85</v>
      </c>
      <c r="E2733" t="s">
        <v>117</v>
      </c>
      <c r="F2733" t="s">
        <v>127</v>
      </c>
      <c r="G2733" t="s">
        <v>126</v>
      </c>
      <c r="H2733" t="s">
        <v>357</v>
      </c>
      <c r="I2733" t="s">
        <v>86</v>
      </c>
      <c r="J2733" t="s">
        <v>286</v>
      </c>
      <c r="K2733" t="s">
        <v>57</v>
      </c>
    </row>
    <row r="2734" spans="1:11" x14ac:dyDescent="0.35">
      <c r="A2734" t="s">
        <v>3244</v>
      </c>
      <c r="B2734">
        <v>2025</v>
      </c>
      <c r="C2734" t="s">
        <v>1398</v>
      </c>
      <c r="D2734" t="s">
        <v>76</v>
      </c>
      <c r="E2734" t="s">
        <v>107</v>
      </c>
      <c r="F2734" t="s">
        <v>125</v>
      </c>
      <c r="G2734" t="s">
        <v>128</v>
      </c>
      <c r="H2734" t="s">
        <v>285</v>
      </c>
      <c r="I2734" t="s">
        <v>288</v>
      </c>
      <c r="J2734" t="s">
        <v>288</v>
      </c>
      <c r="K2734" t="s">
        <v>57</v>
      </c>
    </row>
    <row r="2735" spans="1:11" x14ac:dyDescent="0.35">
      <c r="A2735" t="s">
        <v>3245</v>
      </c>
      <c r="B2735">
        <v>2025</v>
      </c>
      <c r="C2735" t="s">
        <v>1398</v>
      </c>
      <c r="D2735" t="s">
        <v>76</v>
      </c>
      <c r="E2735" t="s">
        <v>119</v>
      </c>
      <c r="F2735" t="s">
        <v>125</v>
      </c>
      <c r="G2735" t="s">
        <v>128</v>
      </c>
      <c r="H2735" t="s">
        <v>305</v>
      </c>
      <c r="I2735" t="s">
        <v>77</v>
      </c>
      <c r="J2735" t="s">
        <v>288</v>
      </c>
      <c r="K2735" t="s">
        <v>57</v>
      </c>
    </row>
    <row r="2736" spans="1:11" x14ac:dyDescent="0.35">
      <c r="A2736" t="s">
        <v>3246</v>
      </c>
      <c r="B2736">
        <v>2025</v>
      </c>
      <c r="C2736" t="s">
        <v>1398</v>
      </c>
      <c r="D2736" t="s">
        <v>85</v>
      </c>
      <c r="E2736" t="s">
        <v>117</v>
      </c>
      <c r="F2736" t="s">
        <v>125</v>
      </c>
      <c r="G2736" t="s">
        <v>126</v>
      </c>
      <c r="H2736" t="s">
        <v>357</v>
      </c>
      <c r="I2736" t="s">
        <v>86</v>
      </c>
      <c r="J2736" t="s">
        <v>405</v>
      </c>
      <c r="K2736" t="s">
        <v>57</v>
      </c>
    </row>
    <row r="2737" spans="1:11" x14ac:dyDescent="0.35">
      <c r="A2737" t="s">
        <v>3247</v>
      </c>
      <c r="B2737">
        <v>2025</v>
      </c>
      <c r="C2737" t="s">
        <v>1398</v>
      </c>
      <c r="D2737" t="s">
        <v>85</v>
      </c>
      <c r="E2737" t="s">
        <v>120</v>
      </c>
      <c r="F2737" t="s">
        <v>134</v>
      </c>
      <c r="G2737" t="s">
        <v>132</v>
      </c>
      <c r="H2737" t="s">
        <v>305</v>
      </c>
      <c r="I2737" t="s">
        <v>86</v>
      </c>
      <c r="J2737" t="s">
        <v>3248</v>
      </c>
      <c r="K2737" t="s">
        <v>42</v>
      </c>
    </row>
    <row r="2738" spans="1:11" x14ac:dyDescent="0.35">
      <c r="A2738" t="s">
        <v>3249</v>
      </c>
      <c r="B2738">
        <v>2025</v>
      </c>
      <c r="C2738" t="s">
        <v>1398</v>
      </c>
      <c r="D2738" t="s">
        <v>76</v>
      </c>
      <c r="E2738" t="s">
        <v>115</v>
      </c>
      <c r="F2738" t="s">
        <v>125</v>
      </c>
      <c r="G2738" t="s">
        <v>132</v>
      </c>
      <c r="H2738" t="s">
        <v>357</v>
      </c>
      <c r="I2738" t="s">
        <v>77</v>
      </c>
      <c r="J2738" t="s">
        <v>286</v>
      </c>
      <c r="K2738" t="s">
        <v>57</v>
      </c>
    </row>
    <row r="2739" spans="1:11" x14ac:dyDescent="0.35">
      <c r="A2739" t="s">
        <v>3250</v>
      </c>
      <c r="B2739">
        <v>2025</v>
      </c>
      <c r="C2739" t="s">
        <v>1398</v>
      </c>
      <c r="D2739" t="s">
        <v>76</v>
      </c>
      <c r="E2739" t="s">
        <v>115</v>
      </c>
      <c r="F2739" t="s">
        <v>125</v>
      </c>
      <c r="G2739" t="s">
        <v>128</v>
      </c>
      <c r="H2739" t="s">
        <v>357</v>
      </c>
      <c r="I2739" t="s">
        <v>289</v>
      </c>
      <c r="J2739" t="s">
        <v>288</v>
      </c>
      <c r="K2739" t="s">
        <v>57</v>
      </c>
    </row>
    <row r="2740" spans="1:11" x14ac:dyDescent="0.35">
      <c r="A2740" t="s">
        <v>3251</v>
      </c>
      <c r="B2740">
        <v>2025</v>
      </c>
      <c r="C2740" t="s">
        <v>1398</v>
      </c>
      <c r="D2740" t="s">
        <v>76</v>
      </c>
      <c r="E2740" t="s">
        <v>109</v>
      </c>
      <c r="F2740" t="s">
        <v>129</v>
      </c>
      <c r="G2740" t="s">
        <v>126</v>
      </c>
      <c r="H2740" t="s">
        <v>285</v>
      </c>
      <c r="I2740" t="s">
        <v>77</v>
      </c>
      <c r="J2740" t="s">
        <v>288</v>
      </c>
      <c r="K2740" t="s">
        <v>57</v>
      </c>
    </row>
    <row r="2741" spans="1:11" x14ac:dyDescent="0.35">
      <c r="A2741" t="s">
        <v>3252</v>
      </c>
      <c r="B2741">
        <v>2025</v>
      </c>
      <c r="C2741" t="s">
        <v>1398</v>
      </c>
      <c r="D2741" t="s">
        <v>85</v>
      </c>
      <c r="E2741" t="s">
        <v>116</v>
      </c>
      <c r="F2741" t="s">
        <v>127</v>
      </c>
      <c r="G2741" t="s">
        <v>126</v>
      </c>
      <c r="H2741" t="s">
        <v>285</v>
      </c>
      <c r="I2741" t="s">
        <v>77</v>
      </c>
      <c r="J2741" t="s">
        <v>286</v>
      </c>
      <c r="K2741" t="s">
        <v>57</v>
      </c>
    </row>
    <row r="2742" spans="1:11" x14ac:dyDescent="0.35">
      <c r="A2742" t="s">
        <v>3253</v>
      </c>
      <c r="B2742">
        <v>2025</v>
      </c>
      <c r="C2742" t="s">
        <v>1398</v>
      </c>
      <c r="D2742" t="s">
        <v>76</v>
      </c>
      <c r="E2742" t="s">
        <v>107</v>
      </c>
      <c r="F2742" t="s">
        <v>125</v>
      </c>
      <c r="G2742" t="s">
        <v>130</v>
      </c>
      <c r="H2742" t="s">
        <v>285</v>
      </c>
      <c r="I2742" t="s">
        <v>86</v>
      </c>
      <c r="J2742" t="s">
        <v>286</v>
      </c>
      <c r="K2742" t="s">
        <v>57</v>
      </c>
    </row>
    <row r="2743" spans="1:11" x14ac:dyDescent="0.35">
      <c r="A2743" t="s">
        <v>3254</v>
      </c>
      <c r="B2743">
        <v>2025</v>
      </c>
      <c r="C2743" t="s">
        <v>1398</v>
      </c>
      <c r="D2743" t="s">
        <v>85</v>
      </c>
      <c r="E2743" t="s">
        <v>116</v>
      </c>
      <c r="F2743" t="s">
        <v>127</v>
      </c>
      <c r="G2743" t="s">
        <v>132</v>
      </c>
      <c r="H2743" t="s">
        <v>305</v>
      </c>
      <c r="I2743" t="s">
        <v>86</v>
      </c>
      <c r="J2743" t="s">
        <v>405</v>
      </c>
      <c r="K2743" t="s">
        <v>57</v>
      </c>
    </row>
    <row r="2744" spans="1:11" x14ac:dyDescent="0.35">
      <c r="A2744" t="s">
        <v>3255</v>
      </c>
      <c r="B2744">
        <v>2025</v>
      </c>
      <c r="C2744" t="s">
        <v>1398</v>
      </c>
      <c r="D2744" t="s">
        <v>85</v>
      </c>
      <c r="E2744" t="s">
        <v>117</v>
      </c>
      <c r="F2744" t="s">
        <v>129</v>
      </c>
      <c r="G2744" t="s">
        <v>128</v>
      </c>
      <c r="H2744" t="s">
        <v>305</v>
      </c>
      <c r="I2744" t="s">
        <v>337</v>
      </c>
      <c r="J2744" t="s">
        <v>3256</v>
      </c>
      <c r="K2744" t="s">
        <v>42</v>
      </c>
    </row>
    <row r="2745" spans="1:11" x14ac:dyDescent="0.35">
      <c r="A2745" t="s">
        <v>3257</v>
      </c>
      <c r="B2745">
        <v>2025</v>
      </c>
      <c r="C2745" t="s">
        <v>1398</v>
      </c>
      <c r="D2745" t="s">
        <v>85</v>
      </c>
      <c r="E2745" t="s">
        <v>117</v>
      </c>
      <c r="F2745" t="s">
        <v>131</v>
      </c>
      <c r="G2745" t="s">
        <v>128</v>
      </c>
      <c r="H2745" t="s">
        <v>357</v>
      </c>
      <c r="I2745" t="s">
        <v>86</v>
      </c>
      <c r="J2745" t="s">
        <v>347</v>
      </c>
      <c r="K2745" t="s">
        <v>57</v>
      </c>
    </row>
    <row r="2746" spans="1:11" x14ac:dyDescent="0.35">
      <c r="A2746" t="s">
        <v>3258</v>
      </c>
      <c r="B2746">
        <v>2025</v>
      </c>
      <c r="C2746" t="s">
        <v>1398</v>
      </c>
      <c r="D2746" t="s">
        <v>85</v>
      </c>
      <c r="E2746" t="s">
        <v>117</v>
      </c>
      <c r="F2746" t="s">
        <v>131</v>
      </c>
      <c r="G2746" t="s">
        <v>128</v>
      </c>
      <c r="H2746" t="s">
        <v>357</v>
      </c>
      <c r="I2746" t="s">
        <v>86</v>
      </c>
      <c r="J2746" t="s">
        <v>317</v>
      </c>
      <c r="K2746" t="s">
        <v>57</v>
      </c>
    </row>
    <row r="2747" spans="1:11" x14ac:dyDescent="0.35">
      <c r="A2747" t="s">
        <v>3259</v>
      </c>
      <c r="B2747">
        <v>2025</v>
      </c>
      <c r="C2747" t="s">
        <v>1398</v>
      </c>
      <c r="D2747" t="s">
        <v>76</v>
      </c>
      <c r="E2747" t="s">
        <v>107</v>
      </c>
      <c r="F2747" t="s">
        <v>125</v>
      </c>
      <c r="G2747" t="s">
        <v>126</v>
      </c>
      <c r="H2747" t="s">
        <v>285</v>
      </c>
      <c r="I2747" t="s">
        <v>77</v>
      </c>
      <c r="J2747" t="s">
        <v>286</v>
      </c>
      <c r="K2747" t="s">
        <v>57</v>
      </c>
    </row>
    <row r="2748" spans="1:11" x14ac:dyDescent="0.35">
      <c r="A2748" t="s">
        <v>3260</v>
      </c>
      <c r="B2748">
        <v>2025</v>
      </c>
      <c r="C2748" t="s">
        <v>1398</v>
      </c>
      <c r="D2748" t="s">
        <v>76</v>
      </c>
      <c r="E2748" t="s">
        <v>115</v>
      </c>
      <c r="F2748" t="s">
        <v>125</v>
      </c>
      <c r="G2748" t="s">
        <v>130</v>
      </c>
      <c r="H2748" t="s">
        <v>285</v>
      </c>
      <c r="I2748" t="s">
        <v>77</v>
      </c>
      <c r="J2748" t="s">
        <v>286</v>
      </c>
      <c r="K2748" t="s">
        <v>57</v>
      </c>
    </row>
    <row r="2749" spans="1:11" x14ac:dyDescent="0.35">
      <c r="A2749" t="s">
        <v>3261</v>
      </c>
      <c r="B2749">
        <v>2025</v>
      </c>
      <c r="C2749" t="s">
        <v>1398</v>
      </c>
      <c r="D2749" t="s">
        <v>85</v>
      </c>
      <c r="E2749" t="s">
        <v>116</v>
      </c>
      <c r="F2749" t="s">
        <v>129</v>
      </c>
      <c r="G2749" t="s">
        <v>128</v>
      </c>
      <c r="H2749" t="s">
        <v>285</v>
      </c>
      <c r="I2749" t="s">
        <v>77</v>
      </c>
      <c r="J2749" t="s">
        <v>361</v>
      </c>
      <c r="K2749" t="s">
        <v>57</v>
      </c>
    </row>
    <row r="2750" spans="1:11" x14ac:dyDescent="0.35">
      <c r="A2750" t="s">
        <v>3262</v>
      </c>
      <c r="B2750">
        <v>2025</v>
      </c>
      <c r="C2750" t="s">
        <v>1398</v>
      </c>
      <c r="D2750" t="s">
        <v>76</v>
      </c>
      <c r="E2750" t="s">
        <v>115</v>
      </c>
      <c r="F2750" t="s">
        <v>125</v>
      </c>
      <c r="G2750" t="s">
        <v>126</v>
      </c>
      <c r="H2750" t="s">
        <v>357</v>
      </c>
      <c r="I2750" t="s">
        <v>289</v>
      </c>
      <c r="J2750" t="s">
        <v>737</v>
      </c>
      <c r="K2750" t="s">
        <v>57</v>
      </c>
    </row>
    <row r="2751" spans="1:11" x14ac:dyDescent="0.35">
      <c r="A2751" t="s">
        <v>3263</v>
      </c>
      <c r="B2751">
        <v>2025</v>
      </c>
      <c r="C2751" t="s">
        <v>1398</v>
      </c>
      <c r="D2751" t="s">
        <v>85</v>
      </c>
      <c r="E2751" t="s">
        <v>116</v>
      </c>
      <c r="F2751" t="s">
        <v>125</v>
      </c>
      <c r="G2751" t="s">
        <v>132</v>
      </c>
      <c r="H2751" t="s">
        <v>285</v>
      </c>
      <c r="I2751" t="s">
        <v>86</v>
      </c>
      <c r="J2751" t="s">
        <v>317</v>
      </c>
      <c r="K2751" t="s">
        <v>57</v>
      </c>
    </row>
    <row r="2752" spans="1:11" x14ac:dyDescent="0.35">
      <c r="A2752" t="s">
        <v>3264</v>
      </c>
      <c r="B2752">
        <v>2025</v>
      </c>
      <c r="C2752" t="s">
        <v>1398</v>
      </c>
      <c r="D2752" t="s">
        <v>76</v>
      </c>
      <c r="E2752" t="s">
        <v>115</v>
      </c>
      <c r="F2752" t="s">
        <v>134</v>
      </c>
      <c r="G2752" t="s">
        <v>128</v>
      </c>
      <c r="H2752" t="s">
        <v>357</v>
      </c>
      <c r="I2752" t="s">
        <v>77</v>
      </c>
      <c r="J2752" t="s">
        <v>286</v>
      </c>
      <c r="K2752" t="s">
        <v>57</v>
      </c>
    </row>
    <row r="2753" spans="1:11" x14ac:dyDescent="0.35">
      <c r="A2753" t="s">
        <v>3265</v>
      </c>
      <c r="B2753">
        <v>2025</v>
      </c>
      <c r="C2753" t="s">
        <v>1398</v>
      </c>
      <c r="D2753" t="s">
        <v>85</v>
      </c>
      <c r="E2753" t="s">
        <v>116</v>
      </c>
      <c r="F2753" t="s">
        <v>129</v>
      </c>
      <c r="G2753" t="s">
        <v>128</v>
      </c>
      <c r="H2753" t="s">
        <v>285</v>
      </c>
      <c r="I2753" t="s">
        <v>289</v>
      </c>
      <c r="J2753" t="s">
        <v>317</v>
      </c>
      <c r="K2753" t="s">
        <v>57</v>
      </c>
    </row>
    <row r="2754" spans="1:11" x14ac:dyDescent="0.35">
      <c r="A2754" t="s">
        <v>3266</v>
      </c>
      <c r="B2754">
        <v>2025</v>
      </c>
      <c r="C2754" t="s">
        <v>1398</v>
      </c>
      <c r="D2754" t="s">
        <v>85</v>
      </c>
      <c r="E2754" t="s">
        <v>117</v>
      </c>
      <c r="F2754" t="s">
        <v>127</v>
      </c>
      <c r="G2754" t="s">
        <v>128</v>
      </c>
      <c r="H2754" t="s">
        <v>357</v>
      </c>
      <c r="I2754" t="s">
        <v>86</v>
      </c>
      <c r="J2754" t="s">
        <v>317</v>
      </c>
      <c r="K2754" t="s">
        <v>57</v>
      </c>
    </row>
    <row r="2755" spans="1:11" x14ac:dyDescent="0.35">
      <c r="A2755" t="s">
        <v>3267</v>
      </c>
      <c r="B2755">
        <v>2025</v>
      </c>
      <c r="C2755" t="s">
        <v>1398</v>
      </c>
      <c r="D2755" t="s">
        <v>76</v>
      </c>
      <c r="E2755" t="s">
        <v>119</v>
      </c>
      <c r="F2755" t="s">
        <v>125</v>
      </c>
      <c r="G2755" t="s">
        <v>126</v>
      </c>
      <c r="H2755" t="s">
        <v>285</v>
      </c>
      <c r="I2755" t="s">
        <v>86</v>
      </c>
      <c r="J2755" t="s">
        <v>308</v>
      </c>
      <c r="K2755" t="s">
        <v>42</v>
      </c>
    </row>
    <row r="2756" spans="1:11" x14ac:dyDescent="0.35">
      <c r="A2756" t="s">
        <v>3268</v>
      </c>
      <c r="B2756">
        <v>2025</v>
      </c>
      <c r="C2756" t="s">
        <v>1398</v>
      </c>
      <c r="D2756" t="s">
        <v>85</v>
      </c>
      <c r="E2756" t="s">
        <v>120</v>
      </c>
      <c r="F2756" t="s">
        <v>127</v>
      </c>
      <c r="G2756" t="s">
        <v>132</v>
      </c>
      <c r="H2756" t="s">
        <v>357</v>
      </c>
      <c r="I2756" t="s">
        <v>426</v>
      </c>
      <c r="J2756" t="s">
        <v>447</v>
      </c>
      <c r="K2756" t="s">
        <v>57</v>
      </c>
    </row>
    <row r="2757" spans="1:11" x14ac:dyDescent="0.35">
      <c r="A2757" t="s">
        <v>3269</v>
      </c>
      <c r="B2757">
        <v>2025</v>
      </c>
      <c r="C2757" t="s">
        <v>1398</v>
      </c>
      <c r="D2757" t="s">
        <v>76</v>
      </c>
      <c r="E2757" t="s">
        <v>114</v>
      </c>
      <c r="F2757" t="s">
        <v>131</v>
      </c>
      <c r="G2757" t="s">
        <v>132</v>
      </c>
      <c r="H2757" t="s">
        <v>357</v>
      </c>
      <c r="I2757" t="s">
        <v>77</v>
      </c>
      <c r="J2757" t="s">
        <v>447</v>
      </c>
      <c r="K2757" t="s">
        <v>57</v>
      </c>
    </row>
    <row r="2758" spans="1:11" x14ac:dyDescent="0.35">
      <c r="A2758" t="s">
        <v>3270</v>
      </c>
      <c r="B2758">
        <v>2025</v>
      </c>
      <c r="C2758" t="s">
        <v>1398</v>
      </c>
      <c r="D2758" t="s">
        <v>76</v>
      </c>
      <c r="E2758" t="s">
        <v>111</v>
      </c>
      <c r="F2758" t="s">
        <v>125</v>
      </c>
      <c r="G2758" t="s">
        <v>130</v>
      </c>
      <c r="H2758" t="s">
        <v>285</v>
      </c>
      <c r="I2758" t="s">
        <v>77</v>
      </c>
      <c r="J2758" t="s">
        <v>286</v>
      </c>
      <c r="K2758" t="s">
        <v>57</v>
      </c>
    </row>
    <row r="2759" spans="1:11" x14ac:dyDescent="0.35">
      <c r="A2759" t="s">
        <v>3271</v>
      </c>
      <c r="B2759">
        <v>2025</v>
      </c>
      <c r="C2759" t="s">
        <v>1398</v>
      </c>
      <c r="D2759" t="s">
        <v>85</v>
      </c>
      <c r="E2759" t="s">
        <v>120</v>
      </c>
      <c r="F2759" t="s">
        <v>129</v>
      </c>
      <c r="G2759" t="s">
        <v>132</v>
      </c>
      <c r="H2759" t="s">
        <v>305</v>
      </c>
      <c r="I2759" t="s">
        <v>86</v>
      </c>
      <c r="J2759" t="s">
        <v>317</v>
      </c>
      <c r="K2759" t="s">
        <v>57</v>
      </c>
    </row>
    <row r="2760" spans="1:11" x14ac:dyDescent="0.35">
      <c r="A2760" t="s">
        <v>3272</v>
      </c>
      <c r="B2760">
        <v>2025</v>
      </c>
      <c r="C2760" t="s">
        <v>1398</v>
      </c>
      <c r="D2760" t="s">
        <v>85</v>
      </c>
      <c r="E2760" t="s">
        <v>116</v>
      </c>
      <c r="F2760" t="s">
        <v>131</v>
      </c>
      <c r="G2760" t="s">
        <v>128</v>
      </c>
      <c r="H2760" t="s">
        <v>285</v>
      </c>
      <c r="I2760" t="s">
        <v>289</v>
      </c>
      <c r="J2760" t="s">
        <v>286</v>
      </c>
      <c r="K2760" t="s">
        <v>57</v>
      </c>
    </row>
    <row r="2761" spans="1:11" x14ac:dyDescent="0.35">
      <c r="A2761" t="s">
        <v>3273</v>
      </c>
      <c r="B2761">
        <v>2025</v>
      </c>
      <c r="C2761" t="s">
        <v>1398</v>
      </c>
      <c r="D2761" t="s">
        <v>85</v>
      </c>
      <c r="E2761" t="s">
        <v>120</v>
      </c>
      <c r="F2761" t="s">
        <v>133</v>
      </c>
      <c r="G2761" t="s">
        <v>126</v>
      </c>
      <c r="H2761" t="s">
        <v>357</v>
      </c>
      <c r="I2761" t="s">
        <v>333</v>
      </c>
      <c r="J2761" t="s">
        <v>317</v>
      </c>
      <c r="K2761" t="s">
        <v>57</v>
      </c>
    </row>
    <row r="2762" spans="1:11" x14ac:dyDescent="0.35">
      <c r="A2762" t="s">
        <v>3274</v>
      </c>
      <c r="B2762">
        <v>2025</v>
      </c>
      <c r="C2762" t="s">
        <v>1398</v>
      </c>
      <c r="D2762" t="s">
        <v>85</v>
      </c>
      <c r="E2762" t="s">
        <v>117</v>
      </c>
      <c r="F2762" t="s">
        <v>133</v>
      </c>
      <c r="G2762" t="s">
        <v>128</v>
      </c>
      <c r="H2762" t="s">
        <v>305</v>
      </c>
      <c r="I2762" t="s">
        <v>289</v>
      </c>
      <c r="J2762" t="s">
        <v>326</v>
      </c>
      <c r="K2762" t="s">
        <v>57</v>
      </c>
    </row>
    <row r="2763" spans="1:11" x14ac:dyDescent="0.35">
      <c r="A2763" t="s">
        <v>3275</v>
      </c>
      <c r="B2763">
        <v>2025</v>
      </c>
      <c r="C2763" t="s">
        <v>1398</v>
      </c>
      <c r="D2763" t="s">
        <v>85</v>
      </c>
      <c r="E2763" t="s">
        <v>116</v>
      </c>
      <c r="F2763" t="s">
        <v>131</v>
      </c>
      <c r="G2763" t="s">
        <v>126</v>
      </c>
      <c r="H2763" t="s">
        <v>285</v>
      </c>
      <c r="I2763" t="s">
        <v>77</v>
      </c>
      <c r="J2763" t="s">
        <v>286</v>
      </c>
      <c r="K2763" t="s">
        <v>57</v>
      </c>
    </row>
    <row r="2764" spans="1:11" x14ac:dyDescent="0.35">
      <c r="A2764" t="s">
        <v>3276</v>
      </c>
      <c r="B2764">
        <v>2025</v>
      </c>
      <c r="C2764" t="s">
        <v>1398</v>
      </c>
      <c r="D2764" t="s">
        <v>76</v>
      </c>
      <c r="E2764" t="s">
        <v>110</v>
      </c>
      <c r="F2764" t="s">
        <v>125</v>
      </c>
      <c r="G2764" t="s">
        <v>132</v>
      </c>
      <c r="H2764" t="s">
        <v>285</v>
      </c>
      <c r="I2764" t="s">
        <v>77</v>
      </c>
      <c r="J2764" t="s">
        <v>286</v>
      </c>
      <c r="K2764" t="s">
        <v>57</v>
      </c>
    </row>
    <row r="2765" spans="1:11" x14ac:dyDescent="0.35">
      <c r="A2765" t="s">
        <v>3277</v>
      </c>
      <c r="B2765">
        <v>2025</v>
      </c>
      <c r="C2765" t="s">
        <v>1398</v>
      </c>
      <c r="D2765" t="s">
        <v>76</v>
      </c>
      <c r="E2765" t="s">
        <v>107</v>
      </c>
      <c r="F2765" t="s">
        <v>125</v>
      </c>
      <c r="G2765" t="s">
        <v>126</v>
      </c>
      <c r="H2765" t="s">
        <v>285</v>
      </c>
      <c r="I2765" t="s">
        <v>86</v>
      </c>
      <c r="J2765" t="s">
        <v>288</v>
      </c>
      <c r="K2765" t="s">
        <v>57</v>
      </c>
    </row>
    <row r="2766" spans="1:11" x14ac:dyDescent="0.35">
      <c r="A2766" t="s">
        <v>3278</v>
      </c>
      <c r="B2766">
        <v>2025</v>
      </c>
      <c r="C2766" t="s">
        <v>1398</v>
      </c>
      <c r="D2766" t="s">
        <v>85</v>
      </c>
      <c r="E2766" t="s">
        <v>116</v>
      </c>
      <c r="F2766" t="s">
        <v>129</v>
      </c>
      <c r="G2766" t="s">
        <v>128</v>
      </c>
      <c r="H2766" t="s">
        <v>285</v>
      </c>
      <c r="I2766" t="s">
        <v>289</v>
      </c>
      <c r="J2766" t="s">
        <v>286</v>
      </c>
      <c r="K2766" t="s">
        <v>57</v>
      </c>
    </row>
    <row r="2767" spans="1:11" x14ac:dyDescent="0.35">
      <c r="A2767" t="s">
        <v>3279</v>
      </c>
      <c r="B2767">
        <v>2025</v>
      </c>
      <c r="C2767" t="s">
        <v>1398</v>
      </c>
      <c r="D2767" t="s">
        <v>85</v>
      </c>
      <c r="E2767" t="s">
        <v>116</v>
      </c>
      <c r="F2767" t="s">
        <v>129</v>
      </c>
      <c r="G2767" t="s">
        <v>128</v>
      </c>
      <c r="H2767" t="s">
        <v>285</v>
      </c>
      <c r="I2767" t="s">
        <v>289</v>
      </c>
      <c r="J2767" t="s">
        <v>895</v>
      </c>
      <c r="K2767" t="s">
        <v>42</v>
      </c>
    </row>
    <row r="2768" spans="1:11" x14ac:dyDescent="0.35">
      <c r="A2768" t="s">
        <v>3280</v>
      </c>
      <c r="B2768">
        <v>2025</v>
      </c>
      <c r="C2768" t="s">
        <v>1398</v>
      </c>
      <c r="D2768" t="s">
        <v>85</v>
      </c>
      <c r="E2768" t="s">
        <v>120</v>
      </c>
      <c r="F2768" t="s">
        <v>125</v>
      </c>
      <c r="G2768" t="s">
        <v>132</v>
      </c>
      <c r="H2768" t="s">
        <v>357</v>
      </c>
      <c r="I2768" t="s">
        <v>426</v>
      </c>
      <c r="J2768" t="s">
        <v>447</v>
      </c>
      <c r="K2768" t="s">
        <v>57</v>
      </c>
    </row>
    <row r="2769" spans="1:11" x14ac:dyDescent="0.35">
      <c r="A2769" t="s">
        <v>3281</v>
      </c>
      <c r="B2769">
        <v>2025</v>
      </c>
      <c r="C2769" t="s">
        <v>1398</v>
      </c>
      <c r="D2769" t="s">
        <v>85</v>
      </c>
      <c r="E2769" t="s">
        <v>120</v>
      </c>
      <c r="F2769" t="s">
        <v>127</v>
      </c>
      <c r="G2769" t="s">
        <v>132</v>
      </c>
      <c r="H2769" t="s">
        <v>357</v>
      </c>
      <c r="I2769" t="s">
        <v>426</v>
      </c>
      <c r="J2769" t="s">
        <v>447</v>
      </c>
      <c r="K2769" t="s">
        <v>57</v>
      </c>
    </row>
    <row r="2770" spans="1:11" x14ac:dyDescent="0.35">
      <c r="A2770" t="s">
        <v>3282</v>
      </c>
      <c r="B2770">
        <v>2025</v>
      </c>
      <c r="C2770" t="s">
        <v>1398</v>
      </c>
      <c r="D2770" t="s">
        <v>85</v>
      </c>
      <c r="E2770" t="s">
        <v>120</v>
      </c>
      <c r="F2770" t="s">
        <v>127</v>
      </c>
      <c r="G2770" t="s">
        <v>132</v>
      </c>
      <c r="H2770" t="s">
        <v>305</v>
      </c>
      <c r="I2770" t="s">
        <v>86</v>
      </c>
      <c r="J2770" t="s">
        <v>288</v>
      </c>
      <c r="K2770" t="s">
        <v>57</v>
      </c>
    </row>
    <row r="2771" spans="1:11" x14ac:dyDescent="0.35">
      <c r="A2771" t="s">
        <v>3283</v>
      </c>
      <c r="B2771">
        <v>2025</v>
      </c>
      <c r="C2771" t="s">
        <v>1398</v>
      </c>
      <c r="D2771" t="s">
        <v>85</v>
      </c>
      <c r="E2771" t="s">
        <v>120</v>
      </c>
      <c r="F2771" t="s">
        <v>129</v>
      </c>
      <c r="G2771" t="s">
        <v>128</v>
      </c>
      <c r="H2771" t="s">
        <v>357</v>
      </c>
      <c r="I2771" t="s">
        <v>86</v>
      </c>
      <c r="J2771" t="s">
        <v>286</v>
      </c>
      <c r="K2771" t="s">
        <v>57</v>
      </c>
    </row>
    <row r="2772" spans="1:11" x14ac:dyDescent="0.35">
      <c r="A2772" t="s">
        <v>3284</v>
      </c>
      <c r="B2772">
        <v>2025</v>
      </c>
      <c r="C2772" t="s">
        <v>1398</v>
      </c>
      <c r="D2772" t="s">
        <v>76</v>
      </c>
      <c r="E2772" t="s">
        <v>107</v>
      </c>
      <c r="F2772" t="s">
        <v>125</v>
      </c>
      <c r="G2772" t="s">
        <v>126</v>
      </c>
      <c r="H2772" t="s">
        <v>285</v>
      </c>
      <c r="I2772" t="s">
        <v>86</v>
      </c>
      <c r="J2772" t="s">
        <v>317</v>
      </c>
      <c r="K2772" t="s">
        <v>57</v>
      </c>
    </row>
    <row r="2773" spans="1:11" x14ac:dyDescent="0.35">
      <c r="A2773" t="s">
        <v>3285</v>
      </c>
      <c r="B2773">
        <v>2025</v>
      </c>
      <c r="C2773" t="s">
        <v>1398</v>
      </c>
      <c r="D2773" t="s">
        <v>85</v>
      </c>
      <c r="E2773" t="s">
        <v>117</v>
      </c>
      <c r="F2773" t="s">
        <v>127</v>
      </c>
      <c r="G2773" t="s">
        <v>128</v>
      </c>
      <c r="H2773" t="s">
        <v>357</v>
      </c>
      <c r="I2773" t="s">
        <v>86</v>
      </c>
      <c r="J2773" t="s">
        <v>288</v>
      </c>
      <c r="K2773" t="s">
        <v>57</v>
      </c>
    </row>
    <row r="2774" spans="1:11" x14ac:dyDescent="0.35">
      <c r="A2774" t="s">
        <v>3286</v>
      </c>
      <c r="B2774">
        <v>2025</v>
      </c>
      <c r="C2774" t="s">
        <v>1398</v>
      </c>
      <c r="D2774" t="s">
        <v>85</v>
      </c>
      <c r="E2774" t="s">
        <v>117</v>
      </c>
      <c r="F2774" t="s">
        <v>127</v>
      </c>
      <c r="G2774" t="s">
        <v>128</v>
      </c>
      <c r="H2774" t="s">
        <v>357</v>
      </c>
      <c r="I2774" t="s">
        <v>86</v>
      </c>
      <c r="J2774" t="s">
        <v>288</v>
      </c>
      <c r="K2774" t="s">
        <v>57</v>
      </c>
    </row>
    <row r="2775" spans="1:11" x14ac:dyDescent="0.35">
      <c r="A2775" t="s">
        <v>3287</v>
      </c>
      <c r="B2775">
        <v>2025</v>
      </c>
      <c r="C2775" t="s">
        <v>1398</v>
      </c>
      <c r="D2775" t="s">
        <v>76</v>
      </c>
      <c r="E2775" t="s">
        <v>118</v>
      </c>
      <c r="F2775" t="s">
        <v>129</v>
      </c>
      <c r="G2775" t="s">
        <v>128</v>
      </c>
      <c r="H2775" t="s">
        <v>285</v>
      </c>
      <c r="I2775" t="s">
        <v>86</v>
      </c>
      <c r="J2775" t="s">
        <v>367</v>
      </c>
      <c r="K2775" t="s">
        <v>42</v>
      </c>
    </row>
    <row r="2776" spans="1:11" x14ac:dyDescent="0.35">
      <c r="A2776" t="s">
        <v>3288</v>
      </c>
      <c r="B2776">
        <v>2025</v>
      </c>
      <c r="C2776" t="s">
        <v>1398</v>
      </c>
      <c r="D2776" t="s">
        <v>85</v>
      </c>
      <c r="E2776" t="s">
        <v>116</v>
      </c>
      <c r="F2776" t="s">
        <v>129</v>
      </c>
      <c r="G2776" t="s">
        <v>132</v>
      </c>
      <c r="H2776" t="s">
        <v>357</v>
      </c>
      <c r="I2776" t="s">
        <v>731</v>
      </c>
      <c r="J2776" t="s">
        <v>1257</v>
      </c>
      <c r="K2776" t="s">
        <v>57</v>
      </c>
    </row>
    <row r="2777" spans="1:11" x14ac:dyDescent="0.35">
      <c r="A2777" t="s">
        <v>3289</v>
      </c>
      <c r="B2777">
        <v>2025</v>
      </c>
      <c r="C2777" t="s">
        <v>1398</v>
      </c>
      <c r="D2777" t="s">
        <v>85</v>
      </c>
      <c r="E2777" t="s">
        <v>116</v>
      </c>
      <c r="F2777" t="s">
        <v>129</v>
      </c>
      <c r="G2777" t="s">
        <v>128</v>
      </c>
      <c r="H2777" t="s">
        <v>285</v>
      </c>
      <c r="I2777" t="s">
        <v>288</v>
      </c>
      <c r="J2777" t="s">
        <v>288</v>
      </c>
      <c r="K2777" t="s">
        <v>57</v>
      </c>
    </row>
    <row r="2778" spans="1:11" x14ac:dyDescent="0.35">
      <c r="A2778" t="s">
        <v>3290</v>
      </c>
      <c r="B2778">
        <v>2025</v>
      </c>
      <c r="C2778" t="s">
        <v>1398</v>
      </c>
      <c r="D2778" t="s">
        <v>76</v>
      </c>
      <c r="E2778" t="s">
        <v>107</v>
      </c>
      <c r="F2778" t="s">
        <v>125</v>
      </c>
      <c r="G2778" t="s">
        <v>130</v>
      </c>
      <c r="H2778" t="s">
        <v>285</v>
      </c>
      <c r="I2778" t="s">
        <v>86</v>
      </c>
      <c r="J2778" t="s">
        <v>347</v>
      </c>
      <c r="K2778" t="s">
        <v>57</v>
      </c>
    </row>
    <row r="2779" spans="1:11" x14ac:dyDescent="0.35">
      <c r="A2779" t="s">
        <v>3291</v>
      </c>
      <c r="B2779">
        <v>2025</v>
      </c>
      <c r="C2779" t="s">
        <v>1398</v>
      </c>
      <c r="D2779" t="s">
        <v>76</v>
      </c>
      <c r="E2779" t="s">
        <v>114</v>
      </c>
      <c r="F2779" t="s">
        <v>125</v>
      </c>
      <c r="G2779" t="s">
        <v>132</v>
      </c>
      <c r="H2779" t="s">
        <v>285</v>
      </c>
      <c r="I2779" t="s">
        <v>3292</v>
      </c>
      <c r="J2779" t="s">
        <v>308</v>
      </c>
      <c r="K2779" t="s">
        <v>42</v>
      </c>
    </row>
    <row r="2780" spans="1:11" x14ac:dyDescent="0.35">
      <c r="A2780" t="s">
        <v>3293</v>
      </c>
      <c r="B2780">
        <v>2025</v>
      </c>
      <c r="C2780" t="s">
        <v>1398</v>
      </c>
      <c r="D2780" t="s">
        <v>85</v>
      </c>
      <c r="E2780" t="s">
        <v>117</v>
      </c>
      <c r="F2780" t="s">
        <v>288</v>
      </c>
      <c r="G2780" t="s">
        <v>132</v>
      </c>
      <c r="H2780" t="s">
        <v>357</v>
      </c>
      <c r="I2780" t="s">
        <v>288</v>
      </c>
      <c r="J2780" t="s">
        <v>286</v>
      </c>
      <c r="K2780" t="s">
        <v>57</v>
      </c>
    </row>
    <row r="2781" spans="1:11" x14ac:dyDescent="0.35">
      <c r="A2781" t="s">
        <v>3294</v>
      </c>
      <c r="B2781">
        <v>2025</v>
      </c>
      <c r="C2781" t="s">
        <v>1398</v>
      </c>
      <c r="D2781" t="s">
        <v>76</v>
      </c>
      <c r="E2781" t="s">
        <v>118</v>
      </c>
      <c r="F2781" t="s">
        <v>125</v>
      </c>
      <c r="G2781" t="s">
        <v>128</v>
      </c>
      <c r="H2781" t="s">
        <v>285</v>
      </c>
      <c r="I2781" t="s">
        <v>77</v>
      </c>
      <c r="J2781" t="s">
        <v>286</v>
      </c>
      <c r="K2781" t="s">
        <v>57</v>
      </c>
    </row>
    <row r="2782" spans="1:11" x14ac:dyDescent="0.35">
      <c r="A2782" t="s">
        <v>3295</v>
      </c>
      <c r="B2782">
        <v>2025</v>
      </c>
      <c r="C2782" t="s">
        <v>1398</v>
      </c>
      <c r="D2782" t="s">
        <v>85</v>
      </c>
      <c r="E2782" t="s">
        <v>116</v>
      </c>
      <c r="F2782" t="s">
        <v>125</v>
      </c>
      <c r="G2782" t="s">
        <v>128</v>
      </c>
      <c r="H2782" t="s">
        <v>285</v>
      </c>
      <c r="I2782" t="s">
        <v>86</v>
      </c>
      <c r="J2782" t="s">
        <v>405</v>
      </c>
      <c r="K2782" t="s">
        <v>57</v>
      </c>
    </row>
    <row r="2783" spans="1:11" x14ac:dyDescent="0.35">
      <c r="A2783" t="s">
        <v>3296</v>
      </c>
      <c r="B2783">
        <v>2025</v>
      </c>
      <c r="C2783" t="s">
        <v>1398</v>
      </c>
      <c r="D2783" t="s">
        <v>85</v>
      </c>
      <c r="E2783" t="s">
        <v>120</v>
      </c>
      <c r="F2783" t="s">
        <v>134</v>
      </c>
      <c r="G2783" t="s">
        <v>128</v>
      </c>
      <c r="H2783" t="s">
        <v>357</v>
      </c>
      <c r="I2783" t="s">
        <v>77</v>
      </c>
      <c r="J2783" t="s">
        <v>286</v>
      </c>
      <c r="K2783" t="s">
        <v>57</v>
      </c>
    </row>
    <row r="2784" spans="1:11" x14ac:dyDescent="0.35">
      <c r="A2784" t="s">
        <v>3297</v>
      </c>
      <c r="B2784">
        <v>2025</v>
      </c>
      <c r="C2784" t="s">
        <v>1398</v>
      </c>
      <c r="D2784" t="s">
        <v>85</v>
      </c>
      <c r="E2784" t="s">
        <v>120</v>
      </c>
      <c r="F2784" t="s">
        <v>125</v>
      </c>
      <c r="G2784" t="s">
        <v>128</v>
      </c>
      <c r="H2784" t="s">
        <v>285</v>
      </c>
      <c r="I2784" t="s">
        <v>86</v>
      </c>
      <c r="J2784" t="s">
        <v>286</v>
      </c>
      <c r="K2784" t="s">
        <v>57</v>
      </c>
    </row>
    <row r="2785" spans="1:11" x14ac:dyDescent="0.35">
      <c r="A2785" t="s">
        <v>3298</v>
      </c>
      <c r="B2785">
        <v>2025</v>
      </c>
      <c r="C2785" t="s">
        <v>1398</v>
      </c>
      <c r="D2785" t="s">
        <v>85</v>
      </c>
      <c r="E2785" t="s">
        <v>116</v>
      </c>
      <c r="F2785" t="s">
        <v>129</v>
      </c>
      <c r="G2785" t="s">
        <v>128</v>
      </c>
      <c r="H2785" t="s">
        <v>357</v>
      </c>
      <c r="I2785" t="s">
        <v>1241</v>
      </c>
      <c r="J2785" t="s">
        <v>293</v>
      </c>
      <c r="K2785" t="s">
        <v>42</v>
      </c>
    </row>
    <row r="2786" spans="1:11" x14ac:dyDescent="0.35">
      <c r="A2786" t="s">
        <v>3299</v>
      </c>
      <c r="B2786">
        <v>2025</v>
      </c>
      <c r="C2786" t="s">
        <v>1398</v>
      </c>
      <c r="D2786" t="s">
        <v>76</v>
      </c>
      <c r="E2786" t="s">
        <v>109</v>
      </c>
      <c r="F2786" t="s">
        <v>127</v>
      </c>
      <c r="G2786" t="s">
        <v>130</v>
      </c>
      <c r="H2786" t="s">
        <v>285</v>
      </c>
      <c r="I2786" t="s">
        <v>77</v>
      </c>
      <c r="J2786" t="s">
        <v>286</v>
      </c>
      <c r="K2786" t="s">
        <v>57</v>
      </c>
    </row>
    <row r="2787" spans="1:11" x14ac:dyDescent="0.35">
      <c r="A2787" t="s">
        <v>3300</v>
      </c>
      <c r="B2787">
        <v>2025</v>
      </c>
      <c r="C2787" t="s">
        <v>1398</v>
      </c>
      <c r="D2787" t="s">
        <v>85</v>
      </c>
      <c r="E2787" t="s">
        <v>1486</v>
      </c>
      <c r="F2787" t="s">
        <v>129</v>
      </c>
      <c r="G2787" t="s">
        <v>130</v>
      </c>
      <c r="H2787" t="s">
        <v>357</v>
      </c>
      <c r="I2787" t="s">
        <v>77</v>
      </c>
      <c r="J2787" t="s">
        <v>295</v>
      </c>
      <c r="K2787" t="s">
        <v>57</v>
      </c>
    </row>
    <row r="2788" spans="1:11" x14ac:dyDescent="0.35">
      <c r="A2788" t="s">
        <v>3301</v>
      </c>
      <c r="B2788">
        <v>2025</v>
      </c>
      <c r="C2788" t="s">
        <v>1398</v>
      </c>
      <c r="D2788" t="s">
        <v>85</v>
      </c>
      <c r="E2788" t="s">
        <v>116</v>
      </c>
      <c r="F2788" t="s">
        <v>125</v>
      </c>
      <c r="G2788" t="s">
        <v>126</v>
      </c>
      <c r="H2788" t="s">
        <v>285</v>
      </c>
      <c r="I2788" t="s">
        <v>77</v>
      </c>
      <c r="J2788" t="s">
        <v>409</v>
      </c>
      <c r="K2788" t="s">
        <v>57</v>
      </c>
    </row>
    <row r="2789" spans="1:11" x14ac:dyDescent="0.35">
      <c r="A2789" t="s">
        <v>3302</v>
      </c>
      <c r="B2789">
        <v>2025</v>
      </c>
      <c r="C2789" t="s">
        <v>1398</v>
      </c>
      <c r="D2789" t="s">
        <v>76</v>
      </c>
      <c r="E2789" t="s">
        <v>108</v>
      </c>
      <c r="F2789" t="s">
        <v>125</v>
      </c>
      <c r="G2789" t="s">
        <v>128</v>
      </c>
      <c r="H2789" t="s">
        <v>285</v>
      </c>
      <c r="I2789" t="s">
        <v>77</v>
      </c>
      <c r="J2789" t="s">
        <v>286</v>
      </c>
      <c r="K2789" t="s">
        <v>57</v>
      </c>
    </row>
    <row r="2790" spans="1:11" x14ac:dyDescent="0.35">
      <c r="A2790" t="s">
        <v>3303</v>
      </c>
      <c r="B2790">
        <v>2025</v>
      </c>
      <c r="C2790" t="s">
        <v>1398</v>
      </c>
      <c r="D2790" t="s">
        <v>85</v>
      </c>
      <c r="E2790" t="s">
        <v>120</v>
      </c>
      <c r="F2790" t="s">
        <v>125</v>
      </c>
      <c r="G2790" t="s">
        <v>132</v>
      </c>
      <c r="H2790" t="s">
        <v>285</v>
      </c>
      <c r="I2790" t="s">
        <v>289</v>
      </c>
      <c r="J2790" t="s">
        <v>288</v>
      </c>
      <c r="K2790" t="s">
        <v>57</v>
      </c>
    </row>
    <row r="2791" spans="1:11" x14ac:dyDescent="0.35">
      <c r="A2791" t="s">
        <v>3304</v>
      </c>
      <c r="B2791">
        <v>2025</v>
      </c>
      <c r="C2791" t="s">
        <v>1398</v>
      </c>
      <c r="D2791" t="s">
        <v>76</v>
      </c>
      <c r="E2791" t="s">
        <v>118</v>
      </c>
      <c r="F2791" t="s">
        <v>125</v>
      </c>
      <c r="G2791" t="s">
        <v>130</v>
      </c>
      <c r="H2791" t="s">
        <v>285</v>
      </c>
      <c r="I2791" t="s">
        <v>86</v>
      </c>
      <c r="J2791" t="s">
        <v>286</v>
      </c>
      <c r="K2791" t="s">
        <v>57</v>
      </c>
    </row>
    <row r="2792" spans="1:11" x14ac:dyDescent="0.35">
      <c r="A2792" t="s">
        <v>3305</v>
      </c>
      <c r="B2792">
        <v>2025</v>
      </c>
      <c r="C2792" t="s">
        <v>1398</v>
      </c>
      <c r="D2792" t="s">
        <v>85</v>
      </c>
      <c r="E2792" t="s">
        <v>116</v>
      </c>
      <c r="F2792" t="s">
        <v>129</v>
      </c>
      <c r="G2792" t="s">
        <v>128</v>
      </c>
      <c r="H2792" t="s">
        <v>285</v>
      </c>
      <c r="I2792" t="s">
        <v>337</v>
      </c>
      <c r="J2792" t="s">
        <v>467</v>
      </c>
      <c r="K2792" t="s">
        <v>57</v>
      </c>
    </row>
    <row r="2793" spans="1:11" x14ac:dyDescent="0.35">
      <c r="A2793" t="s">
        <v>3306</v>
      </c>
      <c r="B2793">
        <v>2025</v>
      </c>
      <c r="C2793" t="s">
        <v>1398</v>
      </c>
      <c r="D2793" t="s">
        <v>85</v>
      </c>
      <c r="E2793" t="s">
        <v>120</v>
      </c>
      <c r="F2793" t="s">
        <v>133</v>
      </c>
      <c r="G2793" t="s">
        <v>128</v>
      </c>
      <c r="H2793" t="s">
        <v>305</v>
      </c>
      <c r="I2793" t="s">
        <v>77</v>
      </c>
      <c r="J2793" t="s">
        <v>295</v>
      </c>
      <c r="K2793" t="s">
        <v>57</v>
      </c>
    </row>
    <row r="2794" spans="1:11" x14ac:dyDescent="0.35">
      <c r="A2794" t="s">
        <v>3307</v>
      </c>
      <c r="B2794">
        <v>2025</v>
      </c>
      <c r="C2794" t="s">
        <v>1398</v>
      </c>
      <c r="D2794" t="s">
        <v>76</v>
      </c>
      <c r="E2794" t="s">
        <v>119</v>
      </c>
      <c r="F2794" t="s">
        <v>127</v>
      </c>
      <c r="G2794" t="s">
        <v>128</v>
      </c>
      <c r="H2794" t="s">
        <v>285</v>
      </c>
      <c r="I2794" t="s">
        <v>288</v>
      </c>
      <c r="J2794" t="s">
        <v>288</v>
      </c>
      <c r="K2794" t="s">
        <v>57</v>
      </c>
    </row>
    <row r="2795" spans="1:11" x14ac:dyDescent="0.35">
      <c r="A2795" t="s">
        <v>3308</v>
      </c>
      <c r="B2795">
        <v>2025</v>
      </c>
      <c r="C2795" t="s">
        <v>1398</v>
      </c>
      <c r="D2795" t="s">
        <v>85</v>
      </c>
      <c r="E2795" t="s">
        <v>344</v>
      </c>
      <c r="F2795" t="s">
        <v>129</v>
      </c>
      <c r="G2795" t="s">
        <v>128</v>
      </c>
      <c r="H2795" t="s">
        <v>357</v>
      </c>
      <c r="I2795" t="s">
        <v>288</v>
      </c>
      <c r="J2795" t="s">
        <v>288</v>
      </c>
      <c r="K2795" t="s">
        <v>57</v>
      </c>
    </row>
    <row r="2796" spans="1:11" x14ac:dyDescent="0.35">
      <c r="A2796" t="s">
        <v>3309</v>
      </c>
      <c r="B2796">
        <v>2025</v>
      </c>
      <c r="C2796" t="s">
        <v>1398</v>
      </c>
      <c r="D2796" t="s">
        <v>85</v>
      </c>
      <c r="E2796" t="s">
        <v>120</v>
      </c>
      <c r="F2796" t="s">
        <v>127</v>
      </c>
      <c r="G2796" t="s">
        <v>126</v>
      </c>
      <c r="H2796" t="s">
        <v>357</v>
      </c>
      <c r="I2796" t="s">
        <v>86</v>
      </c>
      <c r="J2796" t="s">
        <v>286</v>
      </c>
      <c r="K2796" t="s">
        <v>57</v>
      </c>
    </row>
    <row r="2797" spans="1:11" x14ac:dyDescent="0.35">
      <c r="A2797" t="s">
        <v>3310</v>
      </c>
      <c r="B2797">
        <v>2025</v>
      </c>
      <c r="C2797" t="s">
        <v>1398</v>
      </c>
      <c r="D2797" t="s">
        <v>76</v>
      </c>
      <c r="E2797" t="s">
        <v>115</v>
      </c>
      <c r="F2797" t="s">
        <v>127</v>
      </c>
      <c r="G2797" t="s">
        <v>126</v>
      </c>
      <c r="H2797" t="s">
        <v>285</v>
      </c>
      <c r="I2797" t="s">
        <v>333</v>
      </c>
      <c r="J2797" t="s">
        <v>286</v>
      </c>
      <c r="K2797" t="s">
        <v>57</v>
      </c>
    </row>
    <row r="2798" spans="1:11" x14ac:dyDescent="0.35">
      <c r="A2798" t="s">
        <v>3311</v>
      </c>
      <c r="B2798">
        <v>2025</v>
      </c>
      <c r="C2798" t="s">
        <v>1398</v>
      </c>
      <c r="D2798" t="s">
        <v>76</v>
      </c>
      <c r="E2798" t="s">
        <v>110</v>
      </c>
      <c r="F2798" t="s">
        <v>129</v>
      </c>
      <c r="G2798" t="s">
        <v>132</v>
      </c>
      <c r="H2798" t="s">
        <v>357</v>
      </c>
      <c r="I2798" t="s">
        <v>86</v>
      </c>
      <c r="J2798" t="s">
        <v>2549</v>
      </c>
      <c r="K2798" t="s">
        <v>42</v>
      </c>
    </row>
    <row r="2799" spans="1:11" x14ac:dyDescent="0.35">
      <c r="A2799" t="s">
        <v>3312</v>
      </c>
      <c r="B2799">
        <v>2025</v>
      </c>
      <c r="C2799" t="s">
        <v>1398</v>
      </c>
      <c r="D2799" t="s">
        <v>76</v>
      </c>
      <c r="E2799" t="s">
        <v>115</v>
      </c>
      <c r="F2799" t="s">
        <v>125</v>
      </c>
      <c r="G2799" t="s">
        <v>132</v>
      </c>
      <c r="H2799" t="s">
        <v>357</v>
      </c>
      <c r="I2799" t="s">
        <v>288</v>
      </c>
      <c r="J2799" t="s">
        <v>286</v>
      </c>
      <c r="K2799" t="s">
        <v>57</v>
      </c>
    </row>
    <row r="2800" spans="1:11" x14ac:dyDescent="0.35">
      <c r="A2800" t="s">
        <v>3313</v>
      </c>
      <c r="B2800">
        <v>2025</v>
      </c>
      <c r="C2800" t="s">
        <v>1398</v>
      </c>
      <c r="D2800" t="s">
        <v>76</v>
      </c>
      <c r="E2800" t="s">
        <v>115</v>
      </c>
      <c r="F2800" t="s">
        <v>133</v>
      </c>
      <c r="G2800" t="s">
        <v>128</v>
      </c>
      <c r="H2800" t="s">
        <v>285</v>
      </c>
      <c r="I2800" t="s">
        <v>77</v>
      </c>
      <c r="J2800" t="s">
        <v>447</v>
      </c>
      <c r="K2800" t="s">
        <v>57</v>
      </c>
    </row>
    <row r="2801" spans="1:11" x14ac:dyDescent="0.35">
      <c r="A2801" t="s">
        <v>3314</v>
      </c>
      <c r="B2801">
        <v>2025</v>
      </c>
      <c r="C2801" t="s">
        <v>1398</v>
      </c>
      <c r="D2801" t="s">
        <v>76</v>
      </c>
      <c r="E2801" t="s">
        <v>111</v>
      </c>
      <c r="F2801" t="s">
        <v>125</v>
      </c>
      <c r="G2801" t="s">
        <v>132</v>
      </c>
      <c r="H2801" t="s">
        <v>285</v>
      </c>
      <c r="I2801" t="s">
        <v>77</v>
      </c>
      <c r="J2801" t="s">
        <v>409</v>
      </c>
      <c r="K2801" t="s">
        <v>57</v>
      </c>
    </row>
    <row r="2802" spans="1:11" x14ac:dyDescent="0.35">
      <c r="A2802" t="s">
        <v>3315</v>
      </c>
      <c r="B2802">
        <v>2025</v>
      </c>
      <c r="C2802" t="s">
        <v>1398</v>
      </c>
      <c r="D2802" t="s">
        <v>85</v>
      </c>
      <c r="E2802" t="s">
        <v>116</v>
      </c>
      <c r="F2802" t="s">
        <v>129</v>
      </c>
      <c r="G2802" t="s">
        <v>132</v>
      </c>
      <c r="H2802" t="s">
        <v>357</v>
      </c>
      <c r="I2802" t="s">
        <v>288</v>
      </c>
      <c r="J2802" t="s">
        <v>288</v>
      </c>
      <c r="K2802" t="s">
        <v>57</v>
      </c>
    </row>
    <row r="2803" spans="1:11" x14ac:dyDescent="0.35">
      <c r="A2803" t="s">
        <v>3316</v>
      </c>
      <c r="B2803">
        <v>2025</v>
      </c>
      <c r="C2803" t="s">
        <v>1398</v>
      </c>
      <c r="D2803" t="s">
        <v>85</v>
      </c>
      <c r="E2803" t="s">
        <v>116</v>
      </c>
      <c r="F2803" t="s">
        <v>127</v>
      </c>
      <c r="G2803" t="s">
        <v>130</v>
      </c>
      <c r="H2803" t="s">
        <v>297</v>
      </c>
      <c r="I2803" t="s">
        <v>426</v>
      </c>
      <c r="J2803" t="s">
        <v>3317</v>
      </c>
      <c r="K2803" t="s">
        <v>42</v>
      </c>
    </row>
    <row r="2804" spans="1:11" x14ac:dyDescent="0.35">
      <c r="A2804" t="s">
        <v>3318</v>
      </c>
      <c r="B2804">
        <v>2025</v>
      </c>
      <c r="C2804" t="s">
        <v>1398</v>
      </c>
      <c r="D2804" t="s">
        <v>76</v>
      </c>
      <c r="E2804" t="s">
        <v>107</v>
      </c>
      <c r="F2804" t="s">
        <v>125</v>
      </c>
      <c r="G2804" t="s">
        <v>128</v>
      </c>
      <c r="H2804" t="s">
        <v>285</v>
      </c>
      <c r="I2804" t="s">
        <v>77</v>
      </c>
      <c r="J2804" t="s">
        <v>286</v>
      </c>
      <c r="K2804" t="s">
        <v>57</v>
      </c>
    </row>
    <row r="2805" spans="1:11" x14ac:dyDescent="0.35">
      <c r="A2805" t="s">
        <v>3319</v>
      </c>
      <c r="B2805">
        <v>2025</v>
      </c>
      <c r="C2805" t="s">
        <v>1398</v>
      </c>
      <c r="D2805" t="s">
        <v>76</v>
      </c>
      <c r="E2805" t="s">
        <v>107</v>
      </c>
      <c r="F2805" t="s">
        <v>125</v>
      </c>
      <c r="G2805" t="s">
        <v>128</v>
      </c>
      <c r="H2805" t="s">
        <v>285</v>
      </c>
      <c r="I2805" t="s">
        <v>77</v>
      </c>
      <c r="J2805" t="s">
        <v>317</v>
      </c>
      <c r="K2805" t="s">
        <v>57</v>
      </c>
    </row>
    <row r="2806" spans="1:11" x14ac:dyDescent="0.35">
      <c r="A2806" t="s">
        <v>3320</v>
      </c>
      <c r="B2806">
        <v>2025</v>
      </c>
      <c r="C2806" t="s">
        <v>1398</v>
      </c>
      <c r="D2806" t="s">
        <v>76</v>
      </c>
      <c r="E2806" t="s">
        <v>107</v>
      </c>
      <c r="F2806" t="s">
        <v>125</v>
      </c>
      <c r="G2806" t="s">
        <v>130</v>
      </c>
      <c r="H2806" t="s">
        <v>285</v>
      </c>
      <c r="I2806" t="s">
        <v>288</v>
      </c>
      <c r="J2806" t="s">
        <v>286</v>
      </c>
      <c r="K2806" t="s">
        <v>57</v>
      </c>
    </row>
    <row r="2807" spans="1:11" x14ac:dyDescent="0.35">
      <c r="A2807" t="s">
        <v>3321</v>
      </c>
      <c r="B2807">
        <v>2025</v>
      </c>
      <c r="C2807" t="s">
        <v>1398</v>
      </c>
      <c r="D2807" t="s">
        <v>76</v>
      </c>
      <c r="E2807" t="s">
        <v>110</v>
      </c>
      <c r="F2807" t="s">
        <v>127</v>
      </c>
      <c r="G2807" t="s">
        <v>126</v>
      </c>
      <c r="H2807" t="s">
        <v>285</v>
      </c>
      <c r="I2807" t="s">
        <v>77</v>
      </c>
      <c r="J2807" t="s">
        <v>286</v>
      </c>
      <c r="K2807" t="s">
        <v>57</v>
      </c>
    </row>
    <row r="2808" spans="1:11" x14ac:dyDescent="0.35">
      <c r="A2808" t="s">
        <v>3322</v>
      </c>
      <c r="B2808">
        <v>2025</v>
      </c>
      <c r="C2808" t="s">
        <v>1398</v>
      </c>
      <c r="D2808" t="s">
        <v>85</v>
      </c>
      <c r="E2808" t="s">
        <v>117</v>
      </c>
      <c r="F2808" t="s">
        <v>127</v>
      </c>
      <c r="G2808" t="s">
        <v>128</v>
      </c>
      <c r="H2808" t="s">
        <v>357</v>
      </c>
      <c r="I2808" t="s">
        <v>289</v>
      </c>
      <c r="J2808" t="s">
        <v>403</v>
      </c>
      <c r="K2808" t="s">
        <v>57</v>
      </c>
    </row>
    <row r="2809" spans="1:11" x14ac:dyDescent="0.35">
      <c r="A2809" t="s">
        <v>3323</v>
      </c>
      <c r="B2809">
        <v>2025</v>
      </c>
      <c r="C2809" t="s">
        <v>1398</v>
      </c>
      <c r="D2809" t="s">
        <v>85</v>
      </c>
      <c r="E2809" t="s">
        <v>120</v>
      </c>
      <c r="F2809" t="s">
        <v>133</v>
      </c>
      <c r="G2809" t="s">
        <v>128</v>
      </c>
      <c r="H2809" t="s">
        <v>285</v>
      </c>
      <c r="I2809" t="s">
        <v>289</v>
      </c>
      <c r="J2809" t="s">
        <v>326</v>
      </c>
      <c r="K2809" t="s">
        <v>57</v>
      </c>
    </row>
    <row r="2810" spans="1:11" x14ac:dyDescent="0.35">
      <c r="A2810" t="s">
        <v>3324</v>
      </c>
      <c r="B2810">
        <v>2025</v>
      </c>
      <c r="C2810" t="s">
        <v>1398</v>
      </c>
      <c r="D2810" t="s">
        <v>85</v>
      </c>
      <c r="E2810" t="s">
        <v>344</v>
      </c>
      <c r="F2810" t="s">
        <v>129</v>
      </c>
      <c r="G2810" t="s">
        <v>128</v>
      </c>
      <c r="H2810" t="s">
        <v>305</v>
      </c>
      <c r="I2810" t="s">
        <v>289</v>
      </c>
      <c r="J2810" t="s">
        <v>566</v>
      </c>
      <c r="K2810" t="s">
        <v>42</v>
      </c>
    </row>
    <row r="2811" spans="1:11" x14ac:dyDescent="0.35">
      <c r="A2811" t="s">
        <v>3325</v>
      </c>
      <c r="B2811">
        <v>2025</v>
      </c>
      <c r="C2811" t="s">
        <v>1398</v>
      </c>
      <c r="D2811" t="s">
        <v>85</v>
      </c>
      <c r="E2811" t="s">
        <v>120</v>
      </c>
      <c r="F2811" t="s">
        <v>127</v>
      </c>
      <c r="G2811" t="s">
        <v>132</v>
      </c>
      <c r="H2811" t="s">
        <v>357</v>
      </c>
      <c r="I2811" t="s">
        <v>86</v>
      </c>
      <c r="J2811" t="s">
        <v>295</v>
      </c>
      <c r="K2811" t="s">
        <v>57</v>
      </c>
    </row>
    <row r="2812" spans="1:11" x14ac:dyDescent="0.35">
      <c r="A2812" t="s">
        <v>3326</v>
      </c>
      <c r="B2812">
        <v>2025</v>
      </c>
      <c r="C2812" t="s">
        <v>1398</v>
      </c>
      <c r="D2812" t="s">
        <v>85</v>
      </c>
      <c r="E2812" t="s">
        <v>120</v>
      </c>
      <c r="F2812" t="s">
        <v>127</v>
      </c>
      <c r="G2812" t="s">
        <v>132</v>
      </c>
      <c r="H2812" t="s">
        <v>357</v>
      </c>
      <c r="I2812" t="s">
        <v>86</v>
      </c>
      <c r="J2812" t="s">
        <v>295</v>
      </c>
      <c r="K2812" t="s">
        <v>57</v>
      </c>
    </row>
    <row r="2813" spans="1:11" x14ac:dyDescent="0.35">
      <c r="A2813" t="s">
        <v>3327</v>
      </c>
      <c r="B2813">
        <v>2025</v>
      </c>
      <c r="C2813" t="s">
        <v>1398</v>
      </c>
      <c r="D2813" t="s">
        <v>76</v>
      </c>
      <c r="E2813" t="s">
        <v>119</v>
      </c>
      <c r="F2813" t="s">
        <v>125</v>
      </c>
      <c r="G2813" t="s">
        <v>128</v>
      </c>
      <c r="H2813" t="s">
        <v>285</v>
      </c>
      <c r="I2813" t="s">
        <v>77</v>
      </c>
      <c r="J2813" t="s">
        <v>1257</v>
      </c>
      <c r="K2813" t="s">
        <v>57</v>
      </c>
    </row>
    <row r="2814" spans="1:11" x14ac:dyDescent="0.35">
      <c r="A2814" t="s">
        <v>3328</v>
      </c>
      <c r="B2814">
        <v>2025</v>
      </c>
      <c r="C2814" t="s">
        <v>1398</v>
      </c>
      <c r="D2814" t="s">
        <v>76</v>
      </c>
      <c r="E2814" t="s">
        <v>107</v>
      </c>
      <c r="F2814" t="s">
        <v>125</v>
      </c>
      <c r="G2814" t="s">
        <v>128</v>
      </c>
      <c r="H2814" t="s">
        <v>285</v>
      </c>
      <c r="I2814" t="s">
        <v>86</v>
      </c>
      <c r="J2814" t="s">
        <v>286</v>
      </c>
      <c r="K2814" t="s">
        <v>57</v>
      </c>
    </row>
    <row r="2815" spans="1:11" x14ac:dyDescent="0.35">
      <c r="A2815" t="s">
        <v>3329</v>
      </c>
      <c r="B2815">
        <v>2025</v>
      </c>
      <c r="C2815" t="s">
        <v>1398</v>
      </c>
      <c r="D2815" t="s">
        <v>85</v>
      </c>
      <c r="E2815" t="s">
        <v>116</v>
      </c>
      <c r="F2815" t="s">
        <v>125</v>
      </c>
      <c r="G2815" t="s">
        <v>128</v>
      </c>
      <c r="H2815" t="s">
        <v>285</v>
      </c>
      <c r="I2815" t="s">
        <v>289</v>
      </c>
      <c r="J2815" t="s">
        <v>447</v>
      </c>
      <c r="K2815" t="s">
        <v>57</v>
      </c>
    </row>
    <row r="2816" spans="1:11" x14ac:dyDescent="0.35">
      <c r="A2816" t="s">
        <v>3330</v>
      </c>
      <c r="B2816">
        <v>2025</v>
      </c>
      <c r="C2816" t="s">
        <v>1398</v>
      </c>
      <c r="D2816" t="s">
        <v>76</v>
      </c>
      <c r="E2816" t="s">
        <v>115</v>
      </c>
      <c r="F2816" t="s">
        <v>125</v>
      </c>
      <c r="G2816" t="s">
        <v>128</v>
      </c>
      <c r="H2816" t="s">
        <v>285</v>
      </c>
      <c r="I2816" t="s">
        <v>77</v>
      </c>
      <c r="J2816" t="s">
        <v>286</v>
      </c>
      <c r="K2816" t="s">
        <v>57</v>
      </c>
    </row>
    <row r="2817" spans="1:11" x14ac:dyDescent="0.35">
      <c r="A2817" t="s">
        <v>3331</v>
      </c>
      <c r="B2817">
        <v>2025</v>
      </c>
      <c r="C2817" t="s">
        <v>1398</v>
      </c>
      <c r="D2817" t="s">
        <v>85</v>
      </c>
      <c r="E2817" t="s">
        <v>117</v>
      </c>
      <c r="F2817" t="s">
        <v>129</v>
      </c>
      <c r="G2817" t="s">
        <v>132</v>
      </c>
      <c r="H2817" t="s">
        <v>305</v>
      </c>
      <c r="I2817" t="s">
        <v>86</v>
      </c>
      <c r="J2817" t="s">
        <v>464</v>
      </c>
      <c r="K2817" t="s">
        <v>42</v>
      </c>
    </row>
    <row r="2818" spans="1:11" x14ac:dyDescent="0.35">
      <c r="A2818" t="s">
        <v>3332</v>
      </c>
      <c r="B2818">
        <v>2025</v>
      </c>
      <c r="C2818" t="s">
        <v>1398</v>
      </c>
      <c r="D2818" t="s">
        <v>85</v>
      </c>
      <c r="E2818" t="s">
        <v>117</v>
      </c>
      <c r="F2818" t="s">
        <v>125</v>
      </c>
      <c r="G2818" t="s">
        <v>126</v>
      </c>
      <c r="H2818" t="s">
        <v>305</v>
      </c>
      <c r="I2818" t="s">
        <v>86</v>
      </c>
      <c r="J2818" t="s">
        <v>464</v>
      </c>
      <c r="K2818" t="s">
        <v>42</v>
      </c>
    </row>
    <row r="2819" spans="1:11" x14ac:dyDescent="0.35">
      <c r="A2819" t="s">
        <v>3333</v>
      </c>
      <c r="B2819">
        <v>2025</v>
      </c>
      <c r="C2819" t="s">
        <v>1398</v>
      </c>
      <c r="D2819" t="s">
        <v>85</v>
      </c>
      <c r="E2819" t="s">
        <v>117</v>
      </c>
      <c r="F2819" t="s">
        <v>129</v>
      </c>
      <c r="G2819" t="s">
        <v>132</v>
      </c>
      <c r="H2819" t="s">
        <v>305</v>
      </c>
      <c r="I2819" t="s">
        <v>86</v>
      </c>
      <c r="J2819" t="s">
        <v>403</v>
      </c>
      <c r="K2819" t="s">
        <v>57</v>
      </c>
    </row>
    <row r="2820" spans="1:11" x14ac:dyDescent="0.35">
      <c r="A2820" t="s">
        <v>3334</v>
      </c>
      <c r="B2820">
        <v>2025</v>
      </c>
      <c r="C2820" t="s">
        <v>1398</v>
      </c>
      <c r="D2820" t="s">
        <v>85</v>
      </c>
      <c r="E2820" t="s">
        <v>116</v>
      </c>
      <c r="F2820" t="s">
        <v>131</v>
      </c>
      <c r="G2820" t="s">
        <v>128</v>
      </c>
      <c r="H2820" t="s">
        <v>285</v>
      </c>
      <c r="I2820" t="s">
        <v>77</v>
      </c>
      <c r="J2820" t="s">
        <v>405</v>
      </c>
      <c r="K2820" t="s">
        <v>57</v>
      </c>
    </row>
    <row r="2821" spans="1:11" x14ac:dyDescent="0.35">
      <c r="A2821" t="s">
        <v>3335</v>
      </c>
      <c r="B2821">
        <v>2025</v>
      </c>
      <c r="C2821" t="s">
        <v>1398</v>
      </c>
      <c r="D2821" t="s">
        <v>85</v>
      </c>
      <c r="E2821" t="s">
        <v>1486</v>
      </c>
      <c r="F2821" t="s">
        <v>131</v>
      </c>
      <c r="G2821" t="s">
        <v>128</v>
      </c>
      <c r="H2821" t="s">
        <v>357</v>
      </c>
      <c r="I2821" t="s">
        <v>426</v>
      </c>
      <c r="J2821" t="s">
        <v>3336</v>
      </c>
      <c r="K2821" t="s">
        <v>42</v>
      </c>
    </row>
    <row r="2822" spans="1:11" x14ac:dyDescent="0.35">
      <c r="A2822" t="s">
        <v>3337</v>
      </c>
      <c r="B2822">
        <v>2025</v>
      </c>
      <c r="C2822" t="s">
        <v>1398</v>
      </c>
      <c r="D2822" t="s">
        <v>76</v>
      </c>
      <c r="E2822" t="s">
        <v>108</v>
      </c>
      <c r="F2822" t="s">
        <v>125</v>
      </c>
      <c r="G2822" t="s">
        <v>132</v>
      </c>
      <c r="H2822" t="s">
        <v>285</v>
      </c>
      <c r="I2822" t="s">
        <v>86</v>
      </c>
      <c r="J2822" t="s">
        <v>286</v>
      </c>
      <c r="K2822" t="s">
        <v>57</v>
      </c>
    </row>
    <row r="2823" spans="1:11" x14ac:dyDescent="0.35">
      <c r="A2823" t="s">
        <v>3338</v>
      </c>
      <c r="B2823">
        <v>2025</v>
      </c>
      <c r="C2823" t="s">
        <v>1398</v>
      </c>
      <c r="D2823" t="s">
        <v>85</v>
      </c>
      <c r="E2823" t="s">
        <v>120</v>
      </c>
      <c r="F2823" t="s">
        <v>125</v>
      </c>
      <c r="G2823" t="s">
        <v>126</v>
      </c>
      <c r="H2823" t="s">
        <v>357</v>
      </c>
      <c r="I2823" t="s">
        <v>77</v>
      </c>
      <c r="J2823" t="s">
        <v>286</v>
      </c>
      <c r="K2823" t="s">
        <v>57</v>
      </c>
    </row>
    <row r="2824" spans="1:11" x14ac:dyDescent="0.35">
      <c r="A2824" t="s">
        <v>3339</v>
      </c>
      <c r="B2824">
        <v>2025</v>
      </c>
      <c r="C2824" t="s">
        <v>1398</v>
      </c>
      <c r="D2824" t="s">
        <v>85</v>
      </c>
      <c r="E2824" t="s">
        <v>377</v>
      </c>
      <c r="F2824" t="s">
        <v>131</v>
      </c>
      <c r="G2824" t="s">
        <v>128</v>
      </c>
      <c r="H2824" t="s">
        <v>305</v>
      </c>
      <c r="I2824" t="s">
        <v>77</v>
      </c>
      <c r="J2824" t="s">
        <v>317</v>
      </c>
      <c r="K2824" t="s">
        <v>57</v>
      </c>
    </row>
    <row r="2825" spans="1:11" x14ac:dyDescent="0.35">
      <c r="A2825" t="s">
        <v>3340</v>
      </c>
      <c r="B2825">
        <v>2025</v>
      </c>
      <c r="C2825" t="s">
        <v>1398</v>
      </c>
      <c r="D2825" t="s">
        <v>76</v>
      </c>
      <c r="E2825" t="s">
        <v>118</v>
      </c>
      <c r="F2825" t="s">
        <v>127</v>
      </c>
      <c r="G2825" t="s">
        <v>128</v>
      </c>
      <c r="H2825" t="s">
        <v>285</v>
      </c>
      <c r="I2825" t="s">
        <v>77</v>
      </c>
      <c r="J2825" t="s">
        <v>286</v>
      </c>
      <c r="K2825" t="s">
        <v>57</v>
      </c>
    </row>
    <row r="2826" spans="1:11" x14ac:dyDescent="0.35">
      <c r="A2826" t="s">
        <v>3341</v>
      </c>
      <c r="B2826">
        <v>2025</v>
      </c>
      <c r="C2826" t="s">
        <v>1398</v>
      </c>
      <c r="D2826" t="s">
        <v>85</v>
      </c>
      <c r="E2826" t="s">
        <v>117</v>
      </c>
      <c r="F2826" t="s">
        <v>131</v>
      </c>
      <c r="G2826" t="s">
        <v>128</v>
      </c>
      <c r="H2826" t="s">
        <v>357</v>
      </c>
      <c r="I2826" t="s">
        <v>288</v>
      </c>
      <c r="J2826" t="s">
        <v>288</v>
      </c>
      <c r="K2826" t="s">
        <v>57</v>
      </c>
    </row>
    <row r="2827" spans="1:11" x14ac:dyDescent="0.35">
      <c r="A2827" t="s">
        <v>3342</v>
      </c>
      <c r="B2827">
        <v>2025</v>
      </c>
      <c r="C2827" t="s">
        <v>1398</v>
      </c>
      <c r="D2827" t="s">
        <v>85</v>
      </c>
      <c r="E2827" t="s">
        <v>117</v>
      </c>
      <c r="F2827" t="s">
        <v>131</v>
      </c>
      <c r="G2827" t="s">
        <v>128</v>
      </c>
      <c r="H2827" t="s">
        <v>357</v>
      </c>
      <c r="I2827" t="s">
        <v>288</v>
      </c>
      <c r="J2827" t="s">
        <v>288</v>
      </c>
      <c r="K2827" t="s">
        <v>57</v>
      </c>
    </row>
    <row r="2828" spans="1:11" x14ac:dyDescent="0.35">
      <c r="A2828" t="s">
        <v>3343</v>
      </c>
      <c r="B2828">
        <v>2025</v>
      </c>
      <c r="C2828" t="s">
        <v>1398</v>
      </c>
      <c r="D2828" t="s">
        <v>76</v>
      </c>
      <c r="E2828" t="s">
        <v>107</v>
      </c>
      <c r="F2828" t="s">
        <v>125</v>
      </c>
      <c r="G2828" t="s">
        <v>128</v>
      </c>
      <c r="H2828" t="s">
        <v>285</v>
      </c>
      <c r="I2828" t="s">
        <v>461</v>
      </c>
      <c r="J2828" t="s">
        <v>286</v>
      </c>
      <c r="K2828" t="s">
        <v>57</v>
      </c>
    </row>
    <row r="2829" spans="1:11" x14ac:dyDescent="0.35">
      <c r="A2829" t="s">
        <v>3344</v>
      </c>
      <c r="B2829">
        <v>2025</v>
      </c>
      <c r="C2829" t="s">
        <v>1398</v>
      </c>
      <c r="D2829" t="s">
        <v>85</v>
      </c>
      <c r="E2829" t="s">
        <v>116</v>
      </c>
      <c r="F2829" t="s">
        <v>125</v>
      </c>
      <c r="G2829" t="s">
        <v>126</v>
      </c>
      <c r="H2829" t="s">
        <v>285</v>
      </c>
      <c r="I2829" t="s">
        <v>288</v>
      </c>
      <c r="J2829" t="s">
        <v>286</v>
      </c>
      <c r="K2829" t="s">
        <v>57</v>
      </c>
    </row>
    <row r="2830" spans="1:11" x14ac:dyDescent="0.35">
      <c r="A2830" t="s">
        <v>3345</v>
      </c>
      <c r="B2830">
        <v>2025</v>
      </c>
      <c r="C2830" t="s">
        <v>1398</v>
      </c>
      <c r="D2830" t="s">
        <v>76</v>
      </c>
      <c r="E2830" t="s">
        <v>119</v>
      </c>
      <c r="F2830" t="s">
        <v>125</v>
      </c>
      <c r="G2830" t="s">
        <v>128</v>
      </c>
      <c r="H2830" t="s">
        <v>285</v>
      </c>
      <c r="I2830" t="s">
        <v>86</v>
      </c>
      <c r="J2830" t="s">
        <v>308</v>
      </c>
      <c r="K2830" t="s">
        <v>42</v>
      </c>
    </row>
    <row r="2831" spans="1:11" x14ac:dyDescent="0.35">
      <c r="A2831" t="s">
        <v>3346</v>
      </c>
      <c r="B2831">
        <v>2025</v>
      </c>
      <c r="C2831" t="s">
        <v>1398</v>
      </c>
      <c r="D2831" t="s">
        <v>76</v>
      </c>
      <c r="E2831" t="s">
        <v>108</v>
      </c>
      <c r="F2831" t="s">
        <v>129</v>
      </c>
      <c r="G2831" t="s">
        <v>130</v>
      </c>
      <c r="H2831" t="s">
        <v>285</v>
      </c>
      <c r="I2831" t="s">
        <v>288</v>
      </c>
      <c r="J2831" t="s">
        <v>317</v>
      </c>
      <c r="K2831" t="s">
        <v>57</v>
      </c>
    </row>
    <row r="2832" spans="1:11" x14ac:dyDescent="0.35">
      <c r="A2832" t="s">
        <v>3347</v>
      </c>
      <c r="B2832">
        <v>2025</v>
      </c>
      <c r="C2832" t="s">
        <v>1398</v>
      </c>
      <c r="D2832" t="s">
        <v>76</v>
      </c>
      <c r="E2832" t="s">
        <v>113</v>
      </c>
      <c r="F2832" t="s">
        <v>125</v>
      </c>
      <c r="G2832" t="s">
        <v>126</v>
      </c>
      <c r="H2832" t="s">
        <v>285</v>
      </c>
      <c r="I2832" t="s">
        <v>638</v>
      </c>
      <c r="J2832" t="s">
        <v>286</v>
      </c>
      <c r="K2832" t="s">
        <v>57</v>
      </c>
    </row>
  </sheetData>
  <sheetProtection sheet="1" objects="1" scenarios="1" formatCells="0" formatColumns="0" formatRows="0" autoFilter="0"/>
  <autoFilter ref="A1:K1" xr:uid="{ADDC7BC5-2879-498C-9D77-A6EA1124EC59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命名范围</vt:lpstr>
      </vt:variant>
      <vt:variant>
        <vt:i4>30</vt:i4>
      </vt:variant>
    </vt:vector>
  </HeadingPairs>
  <TitlesOfParts>
    <vt:vector size="39" baseType="lpstr">
      <vt:lpstr>ReadMe</vt:lpstr>
      <vt:lpstr>Lists</vt:lpstr>
      <vt:lpstr>DSR_Register</vt:lpstr>
      <vt:lpstr>Incident_Log</vt:lpstr>
      <vt:lpstr>DPIA_Register</vt:lpstr>
      <vt:lpstr>Live_Alerts</vt:lpstr>
      <vt:lpstr>Monthly_Report</vt:lpstr>
      <vt:lpstr>Benchmark</vt:lpstr>
      <vt:lpstr>ICO_Retail_2024_25</vt:lpstr>
      <vt:lpstr>AckDays</vt:lpstr>
      <vt:lpstr>AmberDays</vt:lpstr>
      <vt:lpstr>HighScore</vt:lpstr>
      <vt:lpstr>Holidays</vt:lpstr>
      <vt:lpstr>IDPromptDays</vt:lpstr>
      <vt:lpstr>InternalDays</vt:lpstr>
      <vt:lpstr>L_ActionStatus</vt:lpstr>
      <vt:lpstr>L_Approver</vt:lpstr>
      <vt:lpstr>L_Area</vt:lpstr>
      <vt:lpstr>L_Channel</vt:lpstr>
      <vt:lpstr>L_Consult</vt:lpstr>
      <vt:lpstr>L_DSRStatus</vt:lpstr>
      <vt:lpstr>L_IncCat</vt:lpstr>
      <vt:lpstr>L_IncStatus</vt:lpstr>
      <vt:lpstr>L_IncType</vt:lpstr>
      <vt:lpstr>L_Owner</vt:lpstr>
      <vt:lpstr>L_ReqType</vt:lpstr>
      <vt:lpstr>L_Requester</vt:lpstr>
      <vt:lpstr>L_Risk</vt:lpstr>
      <vt:lpstr>L_Score</vt:lpstr>
      <vt:lpstr>L_SubjType</vt:lpstr>
      <vt:lpstr>L_YesNo</vt:lpstr>
      <vt:lpstr>MediumScore</vt:lpstr>
      <vt:lpstr>NotifyHours</vt:lpstr>
      <vt:lpstr>RedDays</vt:lpstr>
      <vt:lpstr>ReportDate</vt:lpstr>
      <vt:lpstr>ReqTypes</vt:lpstr>
      <vt:lpstr>ReviewMonths</vt:lpstr>
      <vt:lpstr>SubjectBands</vt:lpstr>
      <vt:lpstr>TimeBands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Ruoxin Liu</dc:creator>
  <cp:lastModifiedBy>Ruoxin Liu</cp:lastModifiedBy>
  <dcterms:created xsi:type="dcterms:W3CDTF">2026-10-20T00:52:31Z</dcterms:created>
  <dcterms:modified xsi:type="dcterms:W3CDTF">2026-10-20T00:52:38Z</dcterms:modified>
</cp:coreProperties>
</file>